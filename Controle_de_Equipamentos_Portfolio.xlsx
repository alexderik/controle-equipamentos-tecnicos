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Técnicos" sheetId="1" state="visible" r:id="rId3"/>
    <sheet name="Consulta" sheetId="2" state="visible" r:id="rId4"/>
    <sheet name="Dashboard" sheetId="3" state="visible" r:id="rId5"/>
    <sheet name="Comprovante DEV" sheetId="4" state="visible" r:id="rId6"/>
    <sheet name="Ranking Clientes" sheetId="5" state="visible" r:id="rId7"/>
    <sheet name="Catálogo_Itens" sheetId="6" state="hidden" r:id="rId8"/>
    <sheet name="Controle de Entrega" sheetId="7" state="visible" r:id="rId9"/>
    <sheet name="Apelidos_Tecnico" sheetId="8" state="hidden" r:id="rId10"/>
  </sheets>
  <definedNames>
    <definedName function="false" hidden="false" localSheetId="3" name="_xlnm.Print_Area" vbProcedure="false">'Comprovante DEV'!$A$1:$H$53</definedName>
    <definedName function="false" hidden="true" localSheetId="6" name="_xlnm._FilterDatabase" vbProcedure="false">'Controle de Entrega'!$A$5:$I$1273</definedName>
    <definedName function="false" hidden="false" localSheetId="4" name="_xlnm.Print_Area" vbProcedure="false">'Ranking Clientes'!$A$1:$E$38</definedName>
    <definedName function="false" hidden="true" localSheetId="4" name="_xlnm._FilterDatabase" vbProcedure="false">'Ranking Clientes'!$A$7:$E$38</definedName>
    <definedName function="false" hidden="true" localSheetId="0" name="_xlnm._FilterDatabase" vbProcedure="false">Técnicos!$A$4:$E$305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<sst xmlns="http://schemas.openxmlformats.org/spreadsheetml/2006/main" count="572" uniqueCount="284">
  <si>
    <t xml:space="preserve">CADASTRO DE TÉCNICOS</t>
  </si>
  <si>
    <t xml:space="preserve">Preencha aqui os técnicos. As células amarelas são de preenchimento manual. O 'Código Depósito' é gerado automaticamente e usado para integrar com a aba Controle de Entrega.</t>
  </si>
  <si>
    <t xml:space="preserve">Código do Técnico</t>
  </si>
  <si>
    <t xml:space="preserve">Código Depósito</t>
  </si>
  <si>
    <t xml:space="preserve">Nome do Técnico</t>
  </si>
  <si>
    <t xml:space="preserve">Equipe</t>
  </si>
  <si>
    <t xml:space="preserve">Situação</t>
  </si>
  <si>
    <t xml:space="preserve">MAX06-1001</t>
  </si>
  <si>
    <t xml:space="preserve">Carlos Eduardo Lima</t>
  </si>
  <si>
    <t xml:space="preserve">MAXIMA</t>
  </si>
  <si>
    <t xml:space="preserve">Ativo</t>
  </si>
  <si>
    <t xml:space="preserve">MAX06-1002</t>
  </si>
  <si>
    <t xml:space="preserve">Rafael Souza Martins</t>
  </si>
  <si>
    <t xml:space="preserve">REA06-2001</t>
  </si>
  <si>
    <t xml:space="preserve">Bruno Henrique Costa</t>
  </si>
  <si>
    <t xml:space="preserve">REAL</t>
  </si>
  <si>
    <t xml:space="preserve">REA06-2002</t>
  </si>
  <si>
    <t xml:space="preserve">Diego Ferreira Alves</t>
  </si>
  <si>
    <t xml:space="preserve">GRE06-3001</t>
  </si>
  <si>
    <t xml:space="preserve">Marcos Vinícius Rocha</t>
  </si>
  <si>
    <t xml:space="preserve">GREGATTI</t>
  </si>
  <si>
    <t xml:space="preserve">GRE06-3002</t>
  </si>
  <si>
    <t xml:space="preserve">Felipe Augusto Nunes</t>
  </si>
  <si>
    <t xml:space="preserve">MAX06-1003</t>
  </si>
  <si>
    <t xml:space="preserve">Thiago Ramos Silva</t>
  </si>
  <si>
    <t xml:space="preserve">Inativo</t>
  </si>
  <si>
    <t xml:space="preserve">REA06-2003</t>
  </si>
  <si>
    <t xml:space="preserve">Lucas Pereira Gomes</t>
  </si>
  <si>
    <t xml:space="preserve">CONSULTA DE ENTREGAS POR TÉCNICO E PERÍODO</t>
  </si>
  <si>
    <t xml:space="preserve">CONSULTA POR EQUIPAMENTO</t>
  </si>
  <si>
    <t xml:space="preserve">CONSULTA POR Nº DE SÉRIE</t>
  </si>
  <si>
    <t xml:space="preserve">Selecione o técnico e o período na área amarela. O resumo e a lista abaixo são atualizados automaticamente. Se não escolher datas, o período padrão (01/01/2000 a 31/12/2099) traz todo o histórico do técnico.</t>
  </si>
  <si>
    <t xml:space="preserve">Selecione o equipamento e, opcionalmente, um período. O padrão (01/01/2000 a 31/12/2099) traz todo o histórico.</t>
  </si>
  <si>
    <t xml:space="preserve">Digite o número de série. O resumo mostra a situação ATUAL (última movimentação); a lista abaixo mostra o HISTÓRICO COMPLETO — todas as entregas desse equipamento ao longo do tempo.</t>
  </si>
  <si>
    <t xml:space="preserve">Técnico:</t>
  </si>
  <si>
    <t xml:space="preserve">Equipamento:</t>
  </si>
  <si>
    <t xml:space="preserve">I00468</t>
  </si>
  <si>
    <t xml:space="preserve">Nº de série:</t>
  </si>
  <si>
    <t xml:space="preserve">FHTT46913810</t>
  </si>
  <si>
    <t xml:space="preserve">Data início:</t>
  </si>
  <si>
    <t xml:space="preserve">Data fim:</t>
  </si>
  <si>
    <t xml:space="preserve">SITUAÇÃO ATUAL (última movimentação)</t>
  </si>
  <si>
    <t xml:space="preserve">Total de movimentações</t>
  </si>
  <si>
    <t xml:space="preserve">RESUMO</t>
  </si>
  <si>
    <t xml:space="preserve">Técnico atual</t>
  </si>
  <si>
    <t xml:space="preserve">Registros encontrados</t>
  </si>
  <si>
    <t xml:space="preserve">Nº do item</t>
  </si>
  <si>
    <t xml:space="preserve">Quantidade total de equipamentos</t>
  </si>
  <si>
    <t xml:space="preserve">Quantidade total entregue</t>
  </si>
  <si>
    <t xml:space="preserve">Descrição do item</t>
  </si>
  <si>
    <t xml:space="preserve">Última entrega</t>
  </si>
  <si>
    <t xml:space="preserve">Quantidade</t>
  </si>
  <si>
    <t xml:space="preserve">DETALHAMENTO</t>
  </si>
  <si>
    <t xml:space="preserve">Data da última entrega</t>
  </si>
  <si>
    <t xml:space="preserve">Nº</t>
  </si>
  <si>
    <t xml:space="preserve">Posição no depósito</t>
  </si>
  <si>
    <t xml:space="preserve">Nº de série</t>
  </si>
  <si>
    <t xml:space="preserve">Técnico</t>
  </si>
  <si>
    <t xml:space="preserve">Entrega</t>
  </si>
  <si>
    <t xml:space="preserve">Nº Documento</t>
  </si>
  <si>
    <t xml:space="preserve">Observação</t>
  </si>
  <si>
    <t xml:space="preserve">DETALHAMENTO POR EQUIPAMENTO</t>
  </si>
  <si>
    <t xml:space="preserve">HISTÓRICO COMPLETO DE MOVIMENTAÇÕES DESTA SÉRIE (da mais antiga à mais recente)</t>
  </si>
  <si>
    <t xml:space="preserve">DASHBOARD — ENTREGAS POR PERÍODO</t>
  </si>
  <si>
    <t xml:space="preserve">Escolha o período abaixo. As tabelas e os gráficos são recalculados automaticamente com base nos dados da aba 'Controle de Entrega'.</t>
  </si>
  <si>
    <t xml:space="preserve">Quantidade entregue</t>
  </si>
  <si>
    <t xml:space="preserve">EQUIPAMENTOS ENTREGUES NO PERÍODO</t>
  </si>
  <si>
    <t xml:space="preserve">Descrição do equipamento</t>
  </si>
  <si>
    <t xml:space="preserve">EVOLUÇÃO MENSAL DAS ENTREGAS A CLIENTES (impacto na logística reversa)</t>
  </si>
  <si>
    <t xml:space="preserve">Mês</t>
  </si>
  <si>
    <t xml:space="preserve">Qtde. entregue a Clientes</t>
  </si>
  <si>
    <t xml:space="preserve">jan/2026</t>
  </si>
  <si>
    <t xml:space="preserve">fev/2026</t>
  </si>
  <si>
    <t xml:space="preserve">mar/2026</t>
  </si>
  <si>
    <t xml:space="preserve">abr/2026</t>
  </si>
  <si>
    <t xml:space="preserve">mai/2026</t>
  </si>
  <si>
    <t xml:space="preserve">jun/2026</t>
  </si>
  <si>
    <t xml:space="preserve">jul/2026</t>
  </si>
  <si>
    <t xml:space="preserve">ago/2026</t>
  </si>
  <si>
    <t xml:space="preserve">set/2026</t>
  </si>
  <si>
    <t xml:space="preserve">out/2026</t>
  </si>
  <si>
    <t xml:space="preserve">nov/2026</t>
  </si>
  <si>
    <t xml:space="preserve">dez/2026</t>
  </si>
  <si>
    <t xml:space="preserve">jan/2027</t>
  </si>
  <si>
    <t xml:space="preserve">fev/2027</t>
  </si>
  <si>
    <t xml:space="preserve">mar/2027</t>
  </si>
  <si>
    <t xml:space="preserve">abr/2027</t>
  </si>
  <si>
    <t xml:space="preserve">mai/2027</t>
  </si>
  <si>
    <t xml:space="preserve">jun/2027</t>
  </si>
  <si>
    <t xml:space="preserve">jul/2027</t>
  </si>
  <si>
    <t xml:space="preserve">ago/2027</t>
  </si>
  <si>
    <t xml:space="preserve">set/2027</t>
  </si>
  <si>
    <t xml:space="preserve">out/2027</t>
  </si>
  <si>
    <t xml:space="preserve">nov/2027</t>
  </si>
  <si>
    <t xml:space="preserve">dez/2027</t>
  </si>
  <si>
    <t xml:space="preserve">EQUIPAMENTOS MAIS ENTREGUES A CLIENTES</t>
  </si>
  <si>
    <t xml:space="preserve">DESTINO DOS EQUIPAMENTOS NO PERÍODO (filtro do topo da página)</t>
  </si>
  <si>
    <t xml:space="preserve">Destino</t>
  </si>
  <si>
    <t xml:space="preserve">Entregue direto ao Cliente</t>
  </si>
  <si>
    <t xml:space="preserve">Mantido com Técnico (estoque)</t>
  </si>
  <si>
    <t xml:space="preserve">COMPROVANTE DE DEVOLUÇÃO DE EQUIPAMENTOS</t>
  </si>
  <si>
    <t xml:space="preserve">Selecione o técnico e a data da entrega. A lista é preenchida automaticamente e, na impressão, somente os itens realmente entregues aparecem — as linhas sem equipamento ficam em branco, sem bordas.</t>
  </si>
  <si>
    <t xml:space="preserve">Data da entrega:</t>
  </si>
  <si>
    <t xml:space="preserve">Data por extenso:</t>
  </si>
  <si>
    <t xml:space="preserve">TOTAL DE ITENS:</t>
  </si>
  <si>
    <t xml:space="preserve">Declaro, para os devidos fins, ter entregue na referente data os equipamentos relacionados acima, em perfeito estado de funcionamento, responsabilizando-me pela sua guarda e uso adequado, conforme as normas internas da empresa.</t>
  </si>
  <si>
    <t xml:space="preserve">_____________________________________</t>
  </si>
  <si>
    <t xml:space="preserve">Assinatura do Técnico</t>
  </si>
  <si>
    <t xml:space="preserve">Assinatura do Responsável pelo Almoxarifado</t>
  </si>
  <si>
    <t xml:space="preserve">RANKING DE TÉCNICOS — EQUIPAMENTOS EM CLIENTES </t>
  </si>
  <si>
    <t xml:space="preserve">Lista para acompanhamento da MANUTENÇÃO/logística reversa: quais técnicos estão com mais equipamentos entregues diretamente a clientes (pendentes de devolução manual) no período.</t>
  </si>
  <si>
    <t xml:space="preserve">Posição</t>
  </si>
  <si>
    <t xml:space="preserve">Qtde. Roteadores em Clientes</t>
  </si>
  <si>
    <t xml:space="preserve">Qtde. total entregue</t>
  </si>
  <si>
    <t xml:space="preserve">% Clientes</t>
  </si>
  <si>
    <t xml:space="preserve">Descrição única (equipamento)</t>
  </si>
  <si>
    <t xml:space="preserve">ROTEADOR TP-LINK WIRELESS AC1200 ARCHER C5W GIGABIT DUAL BAND</t>
  </si>
  <si>
    <t xml:space="preserve">FIBERHOME ONU HG6143D GPON WI-FI AC 1200M</t>
  </si>
  <si>
    <t xml:space="preserve">I01335</t>
  </si>
  <si>
    <t xml:space="preserve">REPETIDOR DE SINAL TP-LINK RE305</t>
  </si>
  <si>
    <t xml:space="preserve">FIBRA</t>
  </si>
  <si>
    <t xml:space="preserve">I03340</t>
  </si>
  <si>
    <t xml:space="preserve">HG8245W5-6T GPON 1G Terminal,SC/APC</t>
  </si>
  <si>
    <t xml:space="preserve">ONT ECHOLIFE HG8145V5 GPON/EPON SC/APC</t>
  </si>
  <si>
    <t xml:space="preserve">I03380</t>
  </si>
  <si>
    <t xml:space="preserve">ONT NOKIA 1425-GA</t>
  </si>
  <si>
    <t xml:space="preserve">I03443</t>
  </si>
  <si>
    <t xml:space="preserve">ONU GPON ZTE F670L - WIFI AC1200 MBPS 2X2 COM 2 ANTENAS</t>
  </si>
  <si>
    <t xml:space="preserve">ONT TP-LINK XX230V WIFI 6 AX1800 SEMINOVA</t>
  </si>
  <si>
    <t xml:space="preserve">I04326</t>
  </si>
  <si>
    <t xml:space="preserve">WDC ONT NOKIA 1425-GA</t>
  </si>
  <si>
    <t xml:space="preserve">ONU GPON ZTE F6600P AX18000 DUAL-BAND WIFI 6 SEMINOVO</t>
  </si>
  <si>
    <t xml:space="preserve">I04340</t>
  </si>
  <si>
    <t xml:space="preserve">ONU GPON ZTE F6600P AX3000 DUAL-BAND WIFI 6</t>
  </si>
  <si>
    <t xml:space="preserve">I04549</t>
  </si>
  <si>
    <t xml:space="preserve">ONU GPON ZTE F6600P AX18000 DUAL-BAND WIFI 6</t>
  </si>
  <si>
    <t xml:space="preserve">ROTEADOR VIA REAL </t>
  </si>
  <si>
    <t xml:space="preserve">I04693</t>
  </si>
  <si>
    <t xml:space="preserve">ONT GPON ZYXEL PX3321-T1 AX3000 WIFI 6</t>
  </si>
  <si>
    <t xml:space="preserve">ONT GPON ZYXEL PX3321-T1 AX3000 WIFI 6 SEMINOVO</t>
  </si>
  <si>
    <t xml:space="preserve">I04694</t>
  </si>
  <si>
    <t xml:space="preserve">ROTEADOR MESH ZYXEL EX3320-T1 AX3000 WIFI 6</t>
  </si>
  <si>
    <t xml:space="preserve">I04705</t>
  </si>
  <si>
    <t xml:space="preserve">Mesh ZTE H3601PI AX3000 Wi-Fi 6</t>
  </si>
  <si>
    <t xml:space="preserve">I05103</t>
  </si>
  <si>
    <t xml:space="preserve">ONT HUAWEI EG8145X6-10 AX3000</t>
  </si>
  <si>
    <t xml:space="preserve">REPETIDOR DE SINAL TP-LINK RE305 (SEMI-NOVO)</t>
  </si>
  <si>
    <t xml:space="preserve">I05350</t>
  </si>
  <si>
    <t xml:space="preserve">ONU GPON ZTE F6201B AX3000 DUAL-BAND WIFI 6</t>
  </si>
  <si>
    <t xml:space="preserve">SM01570</t>
  </si>
  <si>
    <t xml:space="preserve">ONT NOKIA 2425G B</t>
  </si>
  <si>
    <t xml:space="preserve">SMFB001</t>
  </si>
  <si>
    <t xml:space="preserve">SMI00371</t>
  </si>
  <si>
    <t xml:space="preserve">ONU EPON WIFI COMPLETA</t>
  </si>
  <si>
    <t xml:space="preserve">ONU GPON ZTE F6600P AX3000 DUAL-BAND WIFI 6 SEMINOVO</t>
  </si>
  <si>
    <t xml:space="preserve">SMI00375</t>
  </si>
  <si>
    <t xml:space="preserve">ONU GPON WIFI COMPLETA</t>
  </si>
  <si>
    <t xml:space="preserve">SMI00376</t>
  </si>
  <si>
    <t xml:space="preserve">ONU SIMPLES GPON 1 PORTA</t>
  </si>
  <si>
    <t xml:space="preserve">SMI00468</t>
  </si>
  <si>
    <t xml:space="preserve">SMI00470</t>
  </si>
  <si>
    <t xml:space="preserve">ROTEADOR TP-LINK WIRELESS AC750 ARCHER C20 DUAL BAND 3 ANT</t>
  </si>
  <si>
    <t xml:space="preserve">FIBERHOME MODEL AN5506-04</t>
  </si>
  <si>
    <t xml:space="preserve">SMI01335</t>
  </si>
  <si>
    <t xml:space="preserve">1GE GPON ONT</t>
  </si>
  <si>
    <t xml:space="preserve">SMI01570</t>
  </si>
  <si>
    <t xml:space="preserve">AcAP MESH HUAWEI ECHOLIFE WA8021V5</t>
  </si>
  <si>
    <t xml:space="preserve">SMI02398</t>
  </si>
  <si>
    <t xml:space="preserve">ROKU STREAMING SEMINOVO</t>
  </si>
  <si>
    <t xml:space="preserve">SMI02763</t>
  </si>
  <si>
    <t xml:space="preserve"> ONU GPON ZTE F6600P AX18000 DUAL-BAND WIFI 6</t>
  </si>
  <si>
    <t xml:space="preserve">SMI03380</t>
  </si>
  <si>
    <t xml:space="preserve">Mesh ZTE H3601PI AX3000 Wi-Fi 6 SEMINOVO</t>
  </si>
  <si>
    <t xml:space="preserve">SMI03443</t>
  </si>
  <si>
    <t xml:space="preserve">SMI04181</t>
  </si>
  <si>
    <t xml:space="preserve">ONT FIBERHOME HG6145F3 AX3000</t>
  </si>
  <si>
    <t xml:space="preserve">SMI04326</t>
  </si>
  <si>
    <t xml:space="preserve">SMI04340</t>
  </si>
  <si>
    <t xml:space="preserve">ONU VIAREAL</t>
  </si>
  <si>
    <t xml:space="preserve">SMI04549</t>
  </si>
  <si>
    <t xml:space="preserve">ONU AN5506-04-FG</t>
  </si>
  <si>
    <t xml:space="preserve">SMI04678</t>
  </si>
  <si>
    <t xml:space="preserve">ONU TPLINK</t>
  </si>
  <si>
    <t xml:space="preserve">SMI04693</t>
  </si>
  <si>
    <t xml:space="preserve">ONU VIA REAL</t>
  </si>
  <si>
    <t xml:space="preserve">SMI04694</t>
  </si>
  <si>
    <t xml:space="preserve">SMI04705</t>
  </si>
  <si>
    <t xml:space="preserve">ONU FIBERHOME </t>
  </si>
  <si>
    <t xml:space="preserve">SMI04715</t>
  </si>
  <si>
    <t xml:space="preserve">SMI05102</t>
  </si>
  <si>
    <t xml:space="preserve">ONU FIBERHOME AN5506</t>
  </si>
  <si>
    <t xml:space="preserve">SMI05103</t>
  </si>
  <si>
    <t xml:space="preserve">ONT NOKIA G- 1425-GB</t>
  </si>
  <si>
    <t xml:space="preserve">SMI05119</t>
  </si>
  <si>
    <t xml:space="preserve">MESH HUAWEI K562 AX3000</t>
  </si>
  <si>
    <t xml:space="preserve">ONU TP LINK AC1200</t>
  </si>
  <si>
    <t xml:space="preserve">SMI05350</t>
  </si>
  <si>
    <t xml:space="preserve">ONU GPON ZTE F6201B AX3000 DUAL-BAND WIFI 6 SEMINOVO</t>
  </si>
  <si>
    <t xml:space="preserve">TP LINK AC750N</t>
  </si>
  <si>
    <t xml:space="preserve">SMI2763</t>
  </si>
  <si>
    <t xml:space="preserve">GPON ONT ANATEL </t>
  </si>
  <si>
    <t xml:space="preserve">GPON ONT VIAREAL </t>
  </si>
  <si>
    <t xml:space="preserve">GPON ONU FIBER HOME MODEL AN5506</t>
  </si>
  <si>
    <t xml:space="preserve">GPON ONU FIBERHOME AN5506-04</t>
  </si>
  <si>
    <t xml:space="preserve">FIBERHOME ONU HG6143D GPON WI-FI AC 1200M / ENTREGOU EQUIPAMENTO DANIFICADO POR CLIENTE </t>
  </si>
  <si>
    <t xml:space="preserve">TP LINK AC750 </t>
  </si>
  <si>
    <t xml:space="preserve">GPON VIAREAL </t>
  </si>
  <si>
    <t xml:space="preserve">FIBERHOME AN5506-04</t>
  </si>
  <si>
    <t xml:space="preserve">1 GPON ONT ANATEL</t>
  </si>
  <si>
    <t xml:space="preserve">GPON INTELBRAS WRN150</t>
  </si>
  <si>
    <t xml:space="preserve">TP LINK ARCHER C5&lt;W&gt; AC1200</t>
  </si>
  <si>
    <t xml:space="preserve">INTELBRAS WRN150</t>
  </si>
  <si>
    <t xml:space="preserve">ONT VIA REAL</t>
  </si>
  <si>
    <t xml:space="preserve">TP LINK TL-WR841HP</t>
  </si>
  <si>
    <t xml:space="preserve">AUDIO CODE</t>
  </si>
  <si>
    <t xml:space="preserve">TP LINK AC1200</t>
  </si>
  <si>
    <t xml:space="preserve">ONT VIAREAL </t>
  </si>
  <si>
    <t xml:space="preserve">GRANDSTREAM </t>
  </si>
  <si>
    <t xml:space="preserve">TPLINK ARCHER C5</t>
  </si>
  <si>
    <t xml:space="preserve">GPON ONT </t>
  </si>
  <si>
    <t xml:space="preserve">1GE GPON ONT ( MAC COM DIFICULDADE DE LEITURA </t>
  </si>
  <si>
    <t xml:space="preserve">CONTROLE DE ENTREGA DE EQUIPAMENTOS</t>
  </si>
  <si>
    <t xml:space="preserve">Linhas 5 até o fim do histórico: dados importados da planilha original. A partir da linha marcada 'NOVOS REGISTROS', preencha apenas as células amarelas (Nº do item, Nº de série, Quantidade, Técnico, Entrega, Documento, Observação) — 'Posição no depósito' e 'Descrição do item' são preenchidos automaticamente a partir das abas Técnicos e Catálogo_Itens.</t>
  </si>
  <si>
    <t xml:space="preserve">Quantidade do item</t>
  </si>
  <si>
    <t xml:space="preserve">ENTREGA</t>
  </si>
  <si>
    <t xml:space="preserve">Nº DOCUMENTO</t>
  </si>
  <si>
    <t xml:space="preserve">OBSERVAÇÃO</t>
  </si>
  <si>
    <t xml:space="preserve">Ordem (aux. Consulta)</t>
  </si>
  <si>
    <t xml:space="preserve">Ordem (aux. Consulta Equip.)</t>
  </si>
  <si>
    <t xml:space="preserve">Ordem (aux. Consulta Série)</t>
  </si>
  <si>
    <t xml:space="preserve">Ordem (aux. Comprovante)</t>
  </si>
  <si>
    <t xml:space="preserve">Técnico (Normalizado)</t>
  </si>
  <si>
    <t xml:space="preserve">DEV06-1002</t>
  </si>
  <si>
    <t xml:space="preserve">CLIENTE</t>
  </si>
  <si>
    <t xml:space="preserve">FHTT21668732</t>
  </si>
  <si>
    <t xml:space="preserve">DEV06-1001</t>
  </si>
  <si>
    <t xml:space="preserve">FHTT39345092</t>
  </si>
  <si>
    <t xml:space="preserve">FHTT36687537</t>
  </si>
  <si>
    <t xml:space="preserve">DEV06-1003</t>
  </si>
  <si>
    <t xml:space="preserve">FHTT70291817</t>
  </si>
  <si>
    <t xml:space="preserve">MAXIMA-THIAGO RAMOS SILVA</t>
  </si>
  <si>
    <t xml:space="preserve">FHTT66722344</t>
  </si>
  <si>
    <t xml:space="preserve">DEV06-2002</t>
  </si>
  <si>
    <t xml:space="preserve">FHTT23718431</t>
  </si>
  <si>
    <t xml:space="preserve">DEV06-3002</t>
  </si>
  <si>
    <t xml:space="preserve">FHTT91030736</t>
  </si>
  <si>
    <t xml:space="preserve">DEV06-2003</t>
  </si>
  <si>
    <t xml:space="preserve">FHTT26753883</t>
  </si>
  <si>
    <t xml:space="preserve">LUCAS PEREIRA GOMES REAL</t>
  </si>
  <si>
    <t xml:space="preserve">DEV06-3001</t>
  </si>
  <si>
    <t xml:space="preserve">FHTT58537831</t>
  </si>
  <si>
    <t xml:space="preserve">FHTT98753260</t>
  </si>
  <si>
    <t xml:space="preserve">FHTT23556182</t>
  </si>
  <si>
    <t xml:space="preserve">FHTT59684848</t>
  </si>
  <si>
    <t xml:space="preserve">FHTT91756179</t>
  </si>
  <si>
    <t xml:space="preserve">FHTT72043515</t>
  </si>
  <si>
    <t xml:space="preserve">FHTT17507864</t>
  </si>
  <si>
    <t xml:space="preserve">FHTT45935572</t>
  </si>
  <si>
    <t xml:space="preserve">FHTT97971488</t>
  </si>
  <si>
    <t xml:space="preserve">FHTT45551614</t>
  </si>
  <si>
    <t xml:space="preserve">FHTT67503414</t>
  </si>
  <si>
    <t xml:space="preserve">FHTT78387461</t>
  </si>
  <si>
    <t xml:space="preserve">FHTT30514014</t>
  </si>
  <si>
    <t xml:space="preserve">FHTT18526544</t>
  </si>
  <si>
    <t xml:space="preserve">FHTT43744231</t>
  </si>
  <si>
    <t xml:space="preserve">FHTT82070937</t>
  </si>
  <si>
    <t xml:space="preserve">FHTT49392920</t>
  </si>
  <si>
    <t xml:space="preserve">FHTT77187530</t>
  </si>
  <si>
    <t xml:space="preserve">FHTT95758349</t>
  </si>
  <si>
    <t xml:space="preserve">DEV06-2001</t>
  </si>
  <si>
    <t xml:space="preserve">FHTT31682744</t>
  </si>
  <si>
    <t xml:space="preserve">FHTT53507489</t>
  </si>
  <si>
    <t xml:space="preserve">FHTT42138745</t>
  </si>
  <si>
    <t xml:space="preserve">FHTT75228535</t>
  </si>
  <si>
    <t xml:space="preserve">FHTT98550256</t>
  </si>
  <si>
    <t xml:space="preserve">FHTT80823176</t>
  </si>
  <si>
    <t xml:space="preserve">FHTT36998038</t>
  </si>
  <si>
    <t xml:space="preserve">FHTT79467853</t>
  </si>
  <si>
    <t xml:space="preserve">FHTT55377076</t>
  </si>
  <si>
    <t xml:space="preserve">FHTT39557077</t>
  </si>
  <si>
    <t xml:space="preserve">FHTT19046318</t>
  </si>
  <si>
    <t xml:space="preserve">FHTT41944441</t>
  </si>
  <si>
    <t xml:space="preserve">Nome no histórico</t>
  </si>
  <si>
    <t xml:space="preserve">Nome canônico (cadastro)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</si>
</sst>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m/d/yyyy"/>
    <numFmt numFmtId="167" formatCode="0%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4"/>
      <color rgb="FF2E7D32"/>
      <name val="Arial"/>
      <family val="0"/>
      <charset val="1"/>
    </font>
    <font>
      <b val="true"/>
      <sz val="14"/>
      <color rgb="FF6A1B9A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2E7D32"/>
      <name val="Arial"/>
      <family val="0"/>
      <charset val="1"/>
    </font>
    <font>
      <b val="true"/>
      <sz val="11"/>
      <color rgb="FF6A1B9A"/>
      <name val="Arial"/>
      <family val="0"/>
      <charset val="1"/>
    </font>
    <font>
      <sz val="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sz val="10"/>
      <color rgb="FF000000"/>
      <name val="Calibri"/>
      <family val="2"/>
    </font>
    <font>
      <b val="true"/>
      <sz val="18"/>
      <color rgb="FF000000"/>
      <name val="Calibri"/>
      <family val="2"/>
    </font>
    <font>
      <b val="true"/>
      <sz val="10"/>
      <color rgb="FF000000"/>
      <name val="Calibri"/>
      <family val="2"/>
    </font>
    <font>
      <sz val="20"/>
      <color rgb="FF595959"/>
      <name val="Cambria"/>
      <family val="2"/>
    </font>
    <font>
      <sz val="9"/>
      <color rgb="FF595959"/>
      <name val="Calibri"/>
      <family val="2"/>
    </font>
    <font>
      <sz val="9"/>
      <color rgb="FF595959"/>
      <name val="Arial"/>
      <family val="0"/>
      <charset val="1"/>
    </font>
    <font>
      <sz val="9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theme="1"/>
      <name val="Calibri"/>
      <family val="2"/>
      <charset val="1"/>
    </font>
    <font>
      <sz val="14"/>
      <name val="Arial"/>
      <family val="2"/>
      <charset val="1"/>
    </font>
    <font>
      <b val="true"/>
      <sz val="15"/>
      <color rgb="FFB45309"/>
      <name val="Arial"/>
      <family val="2"/>
      <charset val="1"/>
    </font>
    <font>
      <b val="true"/>
      <sz val="11"/>
      <color rgb="FFB45309"/>
      <name val="Arial"/>
      <family val="0"/>
      <charset val="1"/>
    </font>
    <font>
      <sz val="8"/>
      <color rgb="FFA6A6A6"/>
      <name val="Arial"/>
      <family val="0"/>
      <charset val="1"/>
    </font>
    <font>
      <b val="true"/>
      <sz val="11"/>
      <color rgb="FFFFFFFF"/>
      <name val="Arial"/>
      <family val="2"/>
      <charset val="1"/>
    </font>
    <font>
      <sz val="9"/>
      <color rgb="FF40404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3A608D"/>
      </patternFill>
    </fill>
    <fill>
      <patternFill patternType="solid">
        <fgColor theme="0"/>
        <bgColor rgb="FFFFF2CC"/>
      </patternFill>
    </fill>
    <fill>
      <patternFill patternType="solid">
        <fgColor rgb="FFFFF2CC"/>
        <bgColor rgb="FFFFFFFF"/>
      </patternFill>
    </fill>
    <fill>
      <patternFill patternType="solid">
        <fgColor rgb="FF2E7D32"/>
        <bgColor rgb="FF008000"/>
      </patternFill>
    </fill>
    <fill>
      <patternFill patternType="solid">
        <fgColor rgb="FF6A1B9A"/>
        <bgColor rgb="FF800080"/>
      </patternFill>
    </fill>
    <fill>
      <patternFill patternType="solid">
        <fgColor rgb="FFB45309"/>
        <bgColor rgb="FFBA4D4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border diagonalUp="false" diagonalDown="false">
        <left/>
        <right/>
        <top/>
        <bottom/>
        <diagonal/>
      </border>
    </dxf>
    <dxf>
      <fill>
        <patternFill patternType="solid">
          <fgColor rgb="FFB4530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38B42"/>
      <rgbColor rgb="FF6A1B9A"/>
      <rgbColor rgb="FF4C7DB7"/>
      <rgbColor rgb="FFBFBFBF"/>
      <rgbColor rgb="FF878787"/>
      <rgbColor rgb="FF9999FF"/>
      <rgbColor rgb="FF8F3B39"/>
      <rgbColor rgb="FFFFF2CC"/>
      <rgbColor rgb="FFCCFFFF"/>
      <rgbColor rgb="FF660066"/>
      <rgbColor rgb="FFFF8080"/>
      <rgbColor rgb="FF3A608D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CCFFFF"/>
      <rgbColor rgb="FFCCFFCC"/>
      <rgbColor rgb="FFFFFF99"/>
      <rgbColor rgb="FF99CCFF"/>
      <rgbColor rgb="FFFF99CC"/>
      <rgbColor rgb="FFB3B3B3"/>
      <rgbColor rgb="FFFFCC99"/>
      <rgbColor rgb="FF4A7EBB"/>
      <rgbColor rgb="FF33CCCC"/>
      <rgbColor rgb="FF96B656"/>
      <rgbColor rgb="FFFFCC00"/>
      <rgbColor rgb="FFFF9900"/>
      <rgbColor rgb="FFC0504D"/>
      <rgbColor rgb="FF595959"/>
      <rgbColor rgb="FFA6A6A6"/>
      <rgbColor rgb="FF003366"/>
      <rgbColor rgb="FF2E7D32"/>
      <rgbColor rgb="FF003300"/>
      <rgbColor rgb="FF333300"/>
      <rgbColor rgb="FFB45309"/>
      <rgbColor rgb="FFBA4D4A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Dashboard!$B$6</c:f>
              <c:strCache>
                <c:ptCount val="1"/>
                <c:pt idx="0">
                  <c:v>Quantidade entregue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Dashboard!$A$7:$A$37</c:f>
              <c:strCache>
                <c:ptCount val="31"/>
                <c:pt idx="0">
                  <c:v>Carlos Eduardo Lima</c:v>
                </c:pt>
                <c:pt idx="1">
                  <c:v>Rafael Souza Martins</c:v>
                </c:pt>
                <c:pt idx="2">
                  <c:v>Bruno Henrique Costa</c:v>
                </c:pt>
                <c:pt idx="3">
                  <c:v>Diego Ferreira Alves</c:v>
                </c:pt>
                <c:pt idx="4">
                  <c:v>Marcos Vinícius Rocha</c:v>
                </c:pt>
                <c:pt idx="5">
                  <c:v>Felipe Augusto Nunes</c:v>
                </c:pt>
                <c:pt idx="6">
                  <c:v>Thiago Ramos Silva</c:v>
                </c:pt>
                <c:pt idx="7">
                  <c:v>Lucas Pereira Gomes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strCache>
            </c:strRef>
          </c:cat>
          <c:val>
            <c:numRef>
              <c:f>Dashboard!$B$7:$B$37</c:f>
              <c:numCache>
                <c:formatCode>General</c:formatCode>
                <c:ptCount val="31"/>
                <c:pt idx="0">
                  <c:v>8</c:v>
                </c:pt>
                <c:pt idx="1">
                  <c:v>7</c:v>
                </c:pt>
                <c:pt idx="2">
                  <c:v>3</c:v>
                </c:pt>
                <c:pt idx="3">
                  <c:v>7</c:v>
                </c:pt>
                <c:pt idx="4">
                  <c:v>3</c:v>
                </c:pt>
                <c:pt idx="5">
                  <c:v>7</c:v>
                </c:pt>
                <c:pt idx="6">
                  <c:v>2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75"/>
        <c:overlap val="0"/>
        <c:axId val="88194144"/>
        <c:axId val="68573115"/>
      </c:barChart>
      <c:catAx>
        <c:axId val="881941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573115"/>
        <c:crosses val="autoZero"/>
        <c:auto val="1"/>
        <c:lblAlgn val="ctr"/>
        <c:lblOffset val="100"/>
        <c:noMultiLvlLbl val="0"/>
      </c:catAx>
      <c:valAx>
        <c:axId val="6857311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19414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Dashboard!$B$40</c:f>
              <c:strCache>
                <c:ptCount val="1"/>
                <c:pt idx="0">
                  <c:v>Quantidade entregue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Dashboard!$A$41:$A$106</c:f>
              <c:strCache>
                <c:ptCount val="66"/>
                <c:pt idx="0">
                  <c:v>FIBERHOME ONU HG6143D GPON WI-FI AC 1200M</c:v>
                </c:pt>
                <c:pt idx="1">
                  <c:v>FIBRA</c:v>
                </c:pt>
                <c:pt idx="2">
                  <c:v>ONT ECHOLIFE HG8145V5 GPON/EPON SC/APC</c:v>
                </c:pt>
                <c:pt idx="3">
                  <c:v>ONT NOKIA 1425-GA</c:v>
                </c:pt>
                <c:pt idx="4">
                  <c:v>ONT TP-LINK XX230V WIFI 6 AX1800 SEMINOVA</c:v>
                </c:pt>
                <c:pt idx="5">
                  <c:v>ONU GPON ZTE F6600P AX18000 DUAL-BAND WIFI 6 SEMINOVO</c:v>
                </c:pt>
                <c:pt idx="6">
                  <c:v>ROTEADOR TP-LINK WIRELESS AC1200 ARCHER C5W GIGABIT DUAL BAND</c:v>
                </c:pt>
                <c:pt idx="7">
                  <c:v>ROTEADOR VIA REAL </c:v>
                </c:pt>
                <c:pt idx="8">
                  <c:v>ONT GPON ZYXEL PX3321-T1 AX3000 WIFI 6 SEMINOVO</c:v>
                </c:pt>
                <c:pt idx="9">
                  <c:v>ONU GPON ZTE F670L - WIFI AC1200 MBPS 2X2 COM 2 ANTENAS</c:v>
                </c:pt>
                <c:pt idx="10">
                  <c:v>REPETIDOR DE SINAL TP-LINK RE305</c:v>
                </c:pt>
                <c:pt idx="11">
                  <c:v>REPETIDOR DE SINAL TP-LINK RE305 (SEMI-NOVO)</c:v>
                </c:pt>
                <c:pt idx="12">
                  <c:v>ONT GPON ZYXEL PX3321-T1 AX3000 WIFI 6</c:v>
                </c:pt>
                <c:pt idx="13">
                  <c:v>ONT NOKIA 2425G B</c:v>
                </c:pt>
                <c:pt idx="14">
                  <c:v>ONU GPON ZTE F6600P AX3000 DUAL-BAND WIFI 6</c:v>
                </c:pt>
                <c:pt idx="15">
                  <c:v>ONU GPON ZTE F6600P AX3000 DUAL-BAND WIFI 6 SEMINOVO</c:v>
                </c:pt>
                <c:pt idx="16">
                  <c:v>ONT HUAWEI EG8145X6-10 AX3000</c:v>
                </c:pt>
                <c:pt idx="17">
                  <c:v>WDC ONT NOKIA 1425-GA</c:v>
                </c:pt>
                <c:pt idx="18">
                  <c:v>ONU SIMPLES GPON 1 PORTA</c:v>
                </c:pt>
                <c:pt idx="19">
                  <c:v>FIBERHOME MODEL AN5506-04</c:v>
                </c:pt>
                <c:pt idx="20">
                  <c:v>1GE GPON ONT</c:v>
                </c:pt>
                <c:pt idx="21">
                  <c:v>AcAP MESH HUAWEI ECHOLIFE WA8021V5</c:v>
                </c:pt>
                <c:pt idx="22">
                  <c:v>ROKU STREAMING SEMINOVO</c:v>
                </c:pt>
                <c:pt idx="23">
                  <c:v> ONU GPON ZTE F6600P AX18000 DUAL-BAND WIFI 6</c:v>
                </c:pt>
                <c:pt idx="24">
                  <c:v>Mesh ZTE H3601PI AX3000 Wi-Fi 6 SEMINOVO</c:v>
                </c:pt>
                <c:pt idx="25">
                  <c:v>ROTEADOR MESH ZYXEL EX3320-T1 AX3000 WIFI 6</c:v>
                </c:pt>
                <c:pt idx="26">
                  <c:v>ONT FIBERHOME HG6145F3 AX3000</c:v>
                </c:pt>
                <c:pt idx="27">
                  <c:v>ONU GPON WIFI COMPLETA</c:v>
                </c:pt>
                <c:pt idx="28">
                  <c:v>ONU VIAREAL</c:v>
                </c:pt>
                <c:pt idx="29">
                  <c:v>ONU AN5506-04-FG</c:v>
                </c:pt>
                <c:pt idx="30">
                  <c:v>ONU TPLINK</c:v>
                </c:pt>
                <c:pt idx="31">
                  <c:v>ONU VIA REAL</c:v>
                </c:pt>
                <c:pt idx="32">
                  <c:v>ROTEADOR TP-LINK WIRELESS AC750 ARCHER C20 DUAL BAND 3 ANT</c:v>
                </c:pt>
                <c:pt idx="33">
                  <c:v>ONU FIBERHOME </c:v>
                </c:pt>
                <c:pt idx="34">
                  <c:v>Mesh ZTE H3601PI AX3000 Wi-Fi 6</c:v>
                </c:pt>
                <c:pt idx="35">
                  <c:v>ONU FIBERHOME AN5506</c:v>
                </c:pt>
                <c:pt idx="36">
                  <c:v>ONT NOKIA G- 1425-GB</c:v>
                </c:pt>
                <c:pt idx="37">
                  <c:v>ONU TP LINK AC1200</c:v>
                </c:pt>
                <c:pt idx="38">
                  <c:v>TP LINK AC750N</c:v>
                </c:pt>
                <c:pt idx="39">
                  <c:v>GPON ONT ANATEL </c:v>
                </c:pt>
                <c:pt idx="40">
                  <c:v>GPON ONT VIAREAL </c:v>
                </c:pt>
                <c:pt idx="41">
                  <c:v>GPON ONU FIBER HOME MODEL AN5506</c:v>
                </c:pt>
                <c:pt idx="42">
                  <c:v>GPON ONU FIBERHOME AN5506-04</c:v>
                </c:pt>
                <c:pt idx="43">
                  <c:v>FIBERHOME ONU HG6143D GPON WI-FI AC 1200M / ENTREGOU EQUIPAMENTO DANIFICADO POR CLIENTE </c:v>
                </c:pt>
                <c:pt idx="44">
                  <c:v>TP LINK AC750 </c:v>
                </c:pt>
                <c:pt idx="45">
                  <c:v>GPON VIAREAL </c:v>
                </c:pt>
                <c:pt idx="46">
                  <c:v>FIBERHOME AN5506-04</c:v>
                </c:pt>
                <c:pt idx="47">
                  <c:v>1 GPON ONT ANATEL</c:v>
                </c:pt>
                <c:pt idx="48">
                  <c:v>MESH HUAWEI K562 AX3000</c:v>
                </c:pt>
                <c:pt idx="49">
                  <c:v>ONU EPON WIFI COMPLETA</c:v>
                </c:pt>
                <c:pt idx="50">
                  <c:v>ONU GPON ZTE F6600P AX18000 DUAL-BAND WIFI 6</c:v>
                </c:pt>
                <c:pt idx="51">
                  <c:v>GPON INTELBRAS WRN150</c:v>
                </c:pt>
                <c:pt idx="52">
                  <c:v>TP LINK ARCHER C5&lt;W&gt; AC1200</c:v>
                </c:pt>
                <c:pt idx="53">
                  <c:v>INTELBRAS WRN150</c:v>
                </c:pt>
                <c:pt idx="54">
                  <c:v>HG8245W5-6T GPON 1G Terminal,SC/APC</c:v>
                </c:pt>
                <c:pt idx="55">
                  <c:v>ONT VIA REAL</c:v>
                </c:pt>
                <c:pt idx="56">
                  <c:v>TP LINK TL-WR841HP</c:v>
                </c:pt>
                <c:pt idx="57">
                  <c:v>AUDIO CODE</c:v>
                </c:pt>
                <c:pt idx="58">
                  <c:v>TP LINK AC1200</c:v>
                </c:pt>
                <c:pt idx="59">
                  <c:v>ONU GPON ZTE F6201B AX3000 DUAL-BAND WIFI 6</c:v>
                </c:pt>
                <c:pt idx="60">
                  <c:v>ONT VIAREAL </c:v>
                </c:pt>
                <c:pt idx="61">
                  <c:v>ONU GPON ZTE F6201B AX3000 DUAL-BAND WIFI 6 SEMINOVO</c:v>
                </c:pt>
                <c:pt idx="62">
                  <c:v>GRANDSTREAM </c:v>
                </c:pt>
                <c:pt idx="63">
                  <c:v>TPLINK ARCHER C5</c:v>
                </c:pt>
                <c:pt idx="64">
                  <c:v>GPON ONT </c:v>
                </c:pt>
                <c:pt idx="65">
                  <c:v>1GE GPON ONT ( MAC COM DIFICULDADE DE LEITURA </c:v>
                </c:pt>
              </c:strCache>
            </c:strRef>
          </c:cat>
          <c:val>
            <c:numRef>
              <c:f>Dashboard!$B$41:$B$106</c:f>
              <c:numCache>
                <c:formatCode>General</c:formatCode>
                <c:ptCount val="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</c:v>
                </c:pt>
                <c:pt idx="4">
                  <c:v>0</c:v>
                </c:pt>
                <c:pt idx="5">
                  <c:v>0</c:v>
                </c:pt>
                <c:pt idx="6">
                  <c:v>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</c:v>
                </c:pt>
                <c:pt idx="11">
                  <c:v>0</c:v>
                </c:pt>
                <c:pt idx="12">
                  <c:v>11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val>
        </c:ser>
        <c:gapWidth val="75"/>
        <c:overlap val="40"/>
        <c:axId val="82221708"/>
        <c:axId val="82839393"/>
      </c:barChart>
      <c:catAx>
        <c:axId val="822217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839393"/>
        <c:crosses val="autoZero"/>
        <c:auto val="1"/>
        <c:lblAlgn val="ctr"/>
        <c:lblOffset val="100"/>
        <c:noMultiLvlLbl val="0"/>
      </c:catAx>
      <c:valAx>
        <c:axId val="828393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2217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pt-BR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pt-BR" sz="1800" spc="-1" strike="noStrike">
                <a:solidFill>
                  <a:srgbClr val="000000"/>
                </a:solidFill>
                <a:latin typeface="Calibri"/>
              </a:rPr>
              <a:t>Evolução mensal aparelhos em clientes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Dashboard!$B$110</c:f>
              <c:strCache>
                <c:ptCount val="1"/>
                <c:pt idx="0">
                  <c:v>Qtde. entregue a Clientes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1"/>
            <c:showVal val="1"/>
            <c:showCatName val="1"/>
            <c:showSerName val="1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Dashboard!$A$111:$A$134</c:f>
              <c:strCache>
                <c:ptCount val="24"/>
                <c:pt idx="0">
                  <c:v>jan/2026</c:v>
                </c:pt>
                <c:pt idx="1">
                  <c:v>fev/2026</c:v>
                </c:pt>
                <c:pt idx="2">
                  <c:v>mar/2026</c:v>
                </c:pt>
                <c:pt idx="3">
                  <c:v>abr/2026</c:v>
                </c:pt>
                <c:pt idx="4">
                  <c:v>mai/2026</c:v>
                </c:pt>
                <c:pt idx="5">
                  <c:v>jun/2026</c:v>
                </c:pt>
                <c:pt idx="6">
                  <c:v>jul/2026</c:v>
                </c:pt>
                <c:pt idx="7">
                  <c:v>ago/2026</c:v>
                </c:pt>
                <c:pt idx="8">
                  <c:v>set/2026</c:v>
                </c:pt>
                <c:pt idx="9">
                  <c:v>out/2026</c:v>
                </c:pt>
                <c:pt idx="10">
                  <c:v>nov/2026</c:v>
                </c:pt>
                <c:pt idx="11">
                  <c:v>dez/2026</c:v>
                </c:pt>
                <c:pt idx="12">
                  <c:v>jan/2027</c:v>
                </c:pt>
                <c:pt idx="13">
                  <c:v>fev/2027</c:v>
                </c:pt>
                <c:pt idx="14">
                  <c:v>mar/2027</c:v>
                </c:pt>
                <c:pt idx="15">
                  <c:v>abr/2027</c:v>
                </c:pt>
                <c:pt idx="16">
                  <c:v>mai/2027</c:v>
                </c:pt>
                <c:pt idx="17">
                  <c:v>jun/2027</c:v>
                </c:pt>
                <c:pt idx="18">
                  <c:v>jul/2027</c:v>
                </c:pt>
                <c:pt idx="19">
                  <c:v>ago/2027</c:v>
                </c:pt>
                <c:pt idx="20">
                  <c:v>set/2027</c:v>
                </c:pt>
                <c:pt idx="21">
                  <c:v>out/2027</c:v>
                </c:pt>
                <c:pt idx="22">
                  <c:v>nov/2027</c:v>
                </c:pt>
                <c:pt idx="23">
                  <c:v>dez/2027</c:v>
                </c:pt>
              </c:strCache>
            </c:strRef>
          </c:cat>
          <c:val>
            <c:numRef>
              <c:f>Dashboard!$B$111:$B$134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3231014"/>
        <c:axId val="90428405"/>
      </c:lineChart>
      <c:catAx>
        <c:axId val="232310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pt-BR" sz="1000" spc="-1" strike="noStrike">
                    <a:solidFill>
                      <a:srgbClr val="000000"/>
                    </a:solidFill>
                    <a:latin typeface="Calibri"/>
                  </a:rPr>
                  <a:t>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428405"/>
        <c:crosses val="autoZero"/>
        <c:auto val="1"/>
        <c:lblAlgn val="ctr"/>
        <c:lblOffset val="100"/>
        <c:noMultiLvlLbl val="0"/>
      </c:catAx>
      <c:valAx>
        <c:axId val="904284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pt-BR" sz="1000" spc="-1" strike="noStrike">
                    <a:solidFill>
                      <a:srgbClr val="000000"/>
                    </a:solidFill>
                    <a:latin typeface="Calibri"/>
                  </a:rPr>
                  <a:t>Quantidade entregue a clientes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2310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pt-BR" sz="2000" spc="-1" strike="noStrike">
                <a:solidFill>
                  <a:srgbClr val="595959"/>
                </a:solidFill>
                <a:latin typeface="Cambria"/>
              </a:defRPr>
            </a:pPr>
            <a:r>
              <a:rPr b="0" lang="pt-BR" sz="2000" spc="-1" strike="noStrike">
                <a:solidFill>
                  <a:srgbClr val="595959"/>
                </a:solidFill>
                <a:latin typeface="Cambria"/>
              </a:rPr>
              <a:t>Equipamentos Custodia de Clientes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Dashboard!$B$137</c:f>
              <c:strCache>
                <c:ptCount val="1"/>
                <c:pt idx="0">
                  <c:v>Qtde. entregue a Clientes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Dashboard!$A$138:$A$203</c:f>
              <c:strCache>
                <c:ptCount val="66"/>
                <c:pt idx="0">
                  <c:v>FIBERHOME ONU HG6143D GPON WI-FI AC 1200M</c:v>
                </c:pt>
                <c:pt idx="1">
                  <c:v>FIBRA</c:v>
                </c:pt>
                <c:pt idx="2">
                  <c:v>ONT ECHOLIFE HG8145V5 GPON/EPON SC/APC</c:v>
                </c:pt>
                <c:pt idx="3">
                  <c:v>ONT NOKIA 1425-GA</c:v>
                </c:pt>
                <c:pt idx="4">
                  <c:v>ONT TP-LINK XX230V WIFI 6 AX1800 SEMINOVA</c:v>
                </c:pt>
                <c:pt idx="5">
                  <c:v>ONU GPON ZTE F6600P AX18000 DUAL-BAND WIFI 6 SEMINOVO</c:v>
                </c:pt>
                <c:pt idx="6">
                  <c:v>ROTEADOR TP-LINK WIRELESS AC1200 ARCHER C5W GIGABIT DUAL BAND</c:v>
                </c:pt>
                <c:pt idx="7">
                  <c:v>ROTEADOR VIA REAL </c:v>
                </c:pt>
                <c:pt idx="8">
                  <c:v>ONT GPON ZYXEL PX3321-T1 AX3000 WIFI 6 SEMINOVO</c:v>
                </c:pt>
                <c:pt idx="9">
                  <c:v>ONU GPON ZTE F670L - WIFI AC1200 MBPS 2X2 COM 2 ANTENAS</c:v>
                </c:pt>
                <c:pt idx="10">
                  <c:v>REPETIDOR DE SINAL TP-LINK RE305</c:v>
                </c:pt>
                <c:pt idx="11">
                  <c:v>REPETIDOR DE SINAL TP-LINK RE305 (SEMI-NOVO)</c:v>
                </c:pt>
                <c:pt idx="12">
                  <c:v>ONT GPON ZYXEL PX3321-T1 AX3000 WIFI 6</c:v>
                </c:pt>
                <c:pt idx="13">
                  <c:v>ONT NOKIA 2425G B</c:v>
                </c:pt>
                <c:pt idx="14">
                  <c:v>ONU GPON ZTE F6600P AX3000 DUAL-BAND WIFI 6</c:v>
                </c:pt>
                <c:pt idx="15">
                  <c:v>ONU GPON ZTE F6600P AX3000 DUAL-BAND WIFI 6 SEMINOVO</c:v>
                </c:pt>
                <c:pt idx="16">
                  <c:v>ONT HUAWEI EG8145X6-10 AX3000</c:v>
                </c:pt>
                <c:pt idx="17">
                  <c:v>WDC ONT NOKIA 1425-GA</c:v>
                </c:pt>
                <c:pt idx="18">
                  <c:v>ONU SIMPLES GPON 1 PORTA</c:v>
                </c:pt>
                <c:pt idx="19">
                  <c:v>FIBERHOME MODEL AN5506-04</c:v>
                </c:pt>
                <c:pt idx="20">
                  <c:v>1GE GPON ONT</c:v>
                </c:pt>
                <c:pt idx="21">
                  <c:v>AcAP MESH HUAWEI ECHOLIFE WA8021V5</c:v>
                </c:pt>
                <c:pt idx="22">
                  <c:v>ROKU STREAMING SEMINOVO</c:v>
                </c:pt>
                <c:pt idx="23">
                  <c:v> ONU GPON ZTE F6600P AX18000 DUAL-BAND WIFI 6</c:v>
                </c:pt>
                <c:pt idx="24">
                  <c:v>Mesh ZTE H3601PI AX3000 Wi-Fi 6 SEMINOVO</c:v>
                </c:pt>
                <c:pt idx="25">
                  <c:v>ROTEADOR MESH ZYXEL EX3320-T1 AX3000 WIFI 6</c:v>
                </c:pt>
                <c:pt idx="26">
                  <c:v>ONT FIBERHOME HG6145F3 AX3000</c:v>
                </c:pt>
                <c:pt idx="27">
                  <c:v>ONU GPON WIFI COMPLETA</c:v>
                </c:pt>
                <c:pt idx="28">
                  <c:v>ONU VIAREAL</c:v>
                </c:pt>
                <c:pt idx="29">
                  <c:v>ONU AN5506-04-FG</c:v>
                </c:pt>
                <c:pt idx="30">
                  <c:v>ONU TPLINK</c:v>
                </c:pt>
                <c:pt idx="31">
                  <c:v>ONU VIA REAL</c:v>
                </c:pt>
                <c:pt idx="32">
                  <c:v>ROTEADOR TP-LINK WIRELESS AC750 ARCHER C20 DUAL BAND 3 ANT</c:v>
                </c:pt>
                <c:pt idx="33">
                  <c:v>ONU FIBERHOME </c:v>
                </c:pt>
                <c:pt idx="34">
                  <c:v>Mesh ZTE H3601PI AX3000 Wi-Fi 6</c:v>
                </c:pt>
                <c:pt idx="35">
                  <c:v>ONU FIBERHOME AN5506</c:v>
                </c:pt>
                <c:pt idx="36">
                  <c:v>ONT NOKIA G- 1425-GB</c:v>
                </c:pt>
                <c:pt idx="37">
                  <c:v>ONU TP LINK AC1200</c:v>
                </c:pt>
                <c:pt idx="38">
                  <c:v>TP LINK AC750N</c:v>
                </c:pt>
                <c:pt idx="39">
                  <c:v>GPON ONT ANATEL </c:v>
                </c:pt>
                <c:pt idx="40">
                  <c:v>GPON ONT VIAREAL </c:v>
                </c:pt>
                <c:pt idx="41">
                  <c:v>GPON ONU FIBER HOME MODEL AN5506</c:v>
                </c:pt>
                <c:pt idx="42">
                  <c:v>GPON ONU FIBERHOME AN5506-04</c:v>
                </c:pt>
                <c:pt idx="43">
                  <c:v>FIBERHOME ONU HG6143D GPON WI-FI AC 1200M / ENTREGOU EQUIPAMENTO DANIFICADO POR CLIENTE </c:v>
                </c:pt>
                <c:pt idx="44">
                  <c:v>TP LINK AC750 </c:v>
                </c:pt>
                <c:pt idx="45">
                  <c:v>GPON VIAREAL </c:v>
                </c:pt>
                <c:pt idx="46">
                  <c:v>FIBERHOME AN5506-04</c:v>
                </c:pt>
                <c:pt idx="47">
                  <c:v>1 GPON ONT ANATEL</c:v>
                </c:pt>
                <c:pt idx="48">
                  <c:v>MESH HUAWEI K562 AX3000</c:v>
                </c:pt>
                <c:pt idx="49">
                  <c:v>ONU EPON WIFI COMPLETA</c:v>
                </c:pt>
                <c:pt idx="50">
                  <c:v>ONU GPON ZTE F6600P AX18000 DUAL-BAND WIFI 6</c:v>
                </c:pt>
                <c:pt idx="51">
                  <c:v>GPON INTELBRAS WRN150</c:v>
                </c:pt>
                <c:pt idx="52">
                  <c:v>TP LINK ARCHER C5&lt;W&gt; AC1200</c:v>
                </c:pt>
                <c:pt idx="53">
                  <c:v>INTELBRAS WRN150</c:v>
                </c:pt>
                <c:pt idx="54">
                  <c:v>HG8245W5-6T GPON 1G Terminal,SC/APC</c:v>
                </c:pt>
                <c:pt idx="55">
                  <c:v>ONT VIA REAL</c:v>
                </c:pt>
                <c:pt idx="56">
                  <c:v>TP LINK TL-WR841HP</c:v>
                </c:pt>
                <c:pt idx="57">
                  <c:v>AUDIO CODE</c:v>
                </c:pt>
                <c:pt idx="58">
                  <c:v>TP LINK AC1200</c:v>
                </c:pt>
                <c:pt idx="59">
                  <c:v>ONU GPON ZTE F6201B AX3000 DUAL-BAND WIFI 6</c:v>
                </c:pt>
                <c:pt idx="60">
                  <c:v>ONT VIAREAL </c:v>
                </c:pt>
                <c:pt idx="61">
                  <c:v>ONU GPON ZTE F6201B AX3000 DUAL-BAND WIFI 6 SEMINOVO</c:v>
                </c:pt>
                <c:pt idx="62">
                  <c:v>GRANDSTREAM </c:v>
                </c:pt>
                <c:pt idx="63">
                  <c:v>TPLINK ARCHER C5</c:v>
                </c:pt>
                <c:pt idx="64">
                  <c:v>GPON ONT </c:v>
                </c:pt>
                <c:pt idx="65">
                  <c:v>1GE GPON ONT ( MAC COM DIFICULDADE DE LEITURA </c:v>
                </c:pt>
              </c:strCache>
            </c:strRef>
          </c:cat>
          <c:val>
            <c:numRef>
              <c:f>Dashboard!$B$138:$B$203</c:f>
              <c:numCache>
                <c:formatCode>General</c:formatCode>
                <c:ptCount val="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</c:v>
                </c:pt>
                <c:pt idx="11">
                  <c:v>0</c:v>
                </c:pt>
                <c:pt idx="12">
                  <c:v>5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val>
        </c:ser>
        <c:gapWidth val="75"/>
        <c:overlap val="-25"/>
        <c:axId val="19893149"/>
        <c:axId val="97299517"/>
      </c:barChart>
      <c:catAx>
        <c:axId val="1989314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7299517"/>
        <c:crosses val="autoZero"/>
        <c:auto val="1"/>
        <c:lblAlgn val="ctr"/>
        <c:lblOffset val="100"/>
        <c:noMultiLvlLbl val="0"/>
      </c:catAx>
      <c:valAx>
        <c:axId val="9729951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989314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pt-BR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pt-BR" sz="1800" spc="-1" strike="noStrike">
                <a:solidFill>
                  <a:srgbClr val="000000"/>
                </a:solidFill>
                <a:latin typeface="Calibri"/>
              </a:rPr>
              <a:t>Destino dos equipamentos no período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Dashboard!$B$206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Dashboard!$A$207:$A$208</c:f>
              <c:strCache>
                <c:ptCount val="2"/>
                <c:pt idx="0">
                  <c:v>Entregue direto ao Cliente</c:v>
                </c:pt>
                <c:pt idx="1">
                  <c:v>Mantido com Técnico (estoque)</c:v>
                </c:pt>
              </c:strCache>
            </c:strRef>
          </c:cat>
          <c:val>
            <c:numRef>
              <c:f>Dashboard!$B$207:$B$208</c:f>
              <c:numCache>
                <c:formatCode>General</c:formatCode>
                <c:ptCount val="2"/>
                <c:pt idx="0">
                  <c:v>22</c:v>
                </c:pt>
                <c:pt idx="1">
                  <c:v>18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962410985246838"/>
          <c:y val="0.0824343426828361"/>
          <c:w val="0.902887533427481"/>
          <c:h val="0.559630979837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'Ranking Clientes'!$C$7</c:f>
              <c:strCache>
                <c:ptCount val="1"/>
                <c:pt idx="0">
                  <c:v>Qtde. Roteadores em Clientes</c:v>
                </c:pt>
              </c:strCache>
            </c:strRef>
          </c:tx>
          <c:spPr>
            <a:gradFill>
              <a:gsLst>
                <a:gs pos="0">
                  <a:srgbClr val="3a608d"/>
                </a:gs>
                <a:gs pos="80000">
                  <a:srgbClr val="4c7cb7"/>
                </a:gs>
                <a:gs pos="100000">
                  <a:srgbClr val="4c7db7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'Ranking Clientes'!$B$8:$B$38</c:f>
              <c:strCache>
                <c:ptCount val="31"/>
                <c:pt idx="0">
                  <c:v>Carlos Eduardo Lima</c:v>
                </c:pt>
                <c:pt idx="1">
                  <c:v>Felipe Augusto Nunes</c:v>
                </c:pt>
                <c:pt idx="2">
                  <c:v>Diego Ferreira Alves</c:v>
                </c:pt>
                <c:pt idx="3">
                  <c:v>Rafael Souza Martins</c:v>
                </c:pt>
                <c:pt idx="4">
                  <c:v>Marcos Vinícius Rocha</c:v>
                </c:pt>
                <c:pt idx="5">
                  <c:v>Lucas Pereira Gomes</c:v>
                </c:pt>
                <c:pt idx="6">
                  <c:v>Thiago Ramos Silva</c:v>
                </c:pt>
                <c:pt idx="7">
                  <c:v>Bruno Henrique Costa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strCache>
            </c:strRef>
          </c:cat>
          <c:val>
            <c:numRef>
              <c:f>'Ranking Clientes'!$C$8:$C$38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ser>
          <c:idx val="1"/>
          <c:order val="1"/>
          <c:tx>
            <c:strRef>
              <c:f>'Ranking Clientes'!$D$7</c:f>
              <c:strCache>
                <c:ptCount val="1"/>
                <c:pt idx="0">
                  <c:v>Qtde. total entregue</c:v>
                </c:pt>
              </c:strCache>
            </c:strRef>
          </c:tx>
          <c:spPr>
            <a:gradFill>
              <a:gsLst>
                <a:gs pos="0">
                  <a:srgbClr val="8f3b39"/>
                </a:gs>
                <a:gs pos="80000">
                  <a:srgbClr val="ba4d4a"/>
                </a:gs>
                <a:gs pos="100000">
                  <a:srgbClr val="ba4d4a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'Ranking Clientes'!$B$8:$B$38</c:f>
              <c:strCache>
                <c:ptCount val="31"/>
                <c:pt idx="0">
                  <c:v>Carlos Eduardo Lima</c:v>
                </c:pt>
                <c:pt idx="1">
                  <c:v>Felipe Augusto Nunes</c:v>
                </c:pt>
                <c:pt idx="2">
                  <c:v>Diego Ferreira Alves</c:v>
                </c:pt>
                <c:pt idx="3">
                  <c:v>Rafael Souza Martins</c:v>
                </c:pt>
                <c:pt idx="4">
                  <c:v>Marcos Vinícius Rocha</c:v>
                </c:pt>
                <c:pt idx="5">
                  <c:v>Lucas Pereira Gomes</c:v>
                </c:pt>
                <c:pt idx="6">
                  <c:v>Thiago Ramos Silva</c:v>
                </c:pt>
                <c:pt idx="7">
                  <c:v>Bruno Henrique Costa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strCache>
            </c:strRef>
          </c:cat>
          <c:val>
            <c:numRef>
              <c:f>'Ranking Clientes'!$D$8:$D$38</c:f>
              <c:numCache>
                <c:formatCode>General</c:formatCode>
                <c:ptCount val="31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ser>
          <c:idx val="2"/>
          <c:order val="2"/>
          <c:tx>
            <c:strRef>
              <c:f>'Ranking Clientes'!$E$7</c:f>
              <c:strCache>
                <c:ptCount val="1"/>
                <c:pt idx="0">
                  <c:v>% Clientes</c:v>
                </c:pt>
              </c:strCache>
            </c:strRef>
          </c:tx>
          <c:spPr>
            <a:gradFill>
              <a:gsLst>
                <a:gs pos="0">
                  <a:srgbClr val="738b42"/>
                </a:gs>
                <a:gs pos="80000">
                  <a:srgbClr val="96b556"/>
                </a:gs>
                <a:gs pos="100000">
                  <a:srgbClr val="96b656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'Ranking Clientes'!$B$8:$B$38</c:f>
              <c:strCache>
                <c:ptCount val="31"/>
                <c:pt idx="0">
                  <c:v>Carlos Eduardo Lima</c:v>
                </c:pt>
                <c:pt idx="1">
                  <c:v>Felipe Augusto Nunes</c:v>
                </c:pt>
                <c:pt idx="2">
                  <c:v>Diego Ferreira Alves</c:v>
                </c:pt>
                <c:pt idx="3">
                  <c:v>Rafael Souza Martins</c:v>
                </c:pt>
                <c:pt idx="4">
                  <c:v>Marcos Vinícius Rocha</c:v>
                </c:pt>
                <c:pt idx="5">
                  <c:v>Lucas Pereira Gomes</c:v>
                </c:pt>
                <c:pt idx="6">
                  <c:v>Thiago Ramos Silva</c:v>
                </c:pt>
                <c:pt idx="7">
                  <c:v>Bruno Henrique Costa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strCache>
            </c:strRef>
          </c:cat>
          <c:val>
            <c:numRef>
              <c:f>'Ranking Clientes'!$E$8:$E$38</c:f>
              <c:numCache>
                <c:formatCode>0%</c:formatCode>
                <c:ptCount val="31"/>
                <c:pt idx="0">
                  <c:v>0.625</c:v>
                </c:pt>
                <c:pt idx="1">
                  <c:v>0.714285714285714</c:v>
                </c:pt>
                <c:pt idx="2">
                  <c:v>0.571428571428571</c:v>
                </c:pt>
                <c:pt idx="3">
                  <c:v>0.428571428571429</c:v>
                </c:pt>
                <c:pt idx="4">
                  <c:v>0.666666666666667</c:v>
                </c:pt>
                <c:pt idx="5">
                  <c:v>0.666666666666667</c:v>
                </c:pt>
                <c:pt idx="6">
                  <c:v>0.5</c:v>
                </c:pt>
                <c:pt idx="7">
                  <c:v>0</c:v>
                </c:pt>
              </c:numCache>
            </c:numRef>
          </c:val>
        </c:ser>
        <c:gapWidth val="110"/>
        <c:overlap val="0"/>
        <c:axId val="47554230"/>
        <c:axId val="36934226"/>
      </c:barChart>
      <c:catAx>
        <c:axId val="4755423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6934226"/>
        <c:crosses val="autoZero"/>
        <c:auto val="1"/>
        <c:lblAlgn val="ctr"/>
        <c:lblOffset val="100"/>
        <c:noMultiLvlLbl val="0"/>
      </c:catAx>
      <c:valAx>
        <c:axId val="3693422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554230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4</xdr:row>
      <xdr:rowOff>160560</xdr:rowOff>
    </xdr:from>
    <xdr:to>
      <xdr:col>20</xdr:col>
      <xdr:colOff>78480</xdr:colOff>
      <xdr:row>32</xdr:row>
      <xdr:rowOff>75240</xdr:rowOff>
    </xdr:to>
    <xdr:graphicFrame>
      <xdr:nvGraphicFramePr>
        <xdr:cNvPr id="0" name="Chart 1"/>
        <xdr:cNvGraphicFramePr/>
      </xdr:nvGraphicFramePr>
      <xdr:xfrm>
        <a:off x="11438280" y="1094040"/>
        <a:ext cx="8674920" cy="5439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66</xdr:row>
      <xdr:rowOff>50400</xdr:rowOff>
    </xdr:from>
    <xdr:to>
      <xdr:col>20</xdr:col>
      <xdr:colOff>78480</xdr:colOff>
      <xdr:row>100</xdr:row>
      <xdr:rowOff>52560</xdr:rowOff>
    </xdr:to>
    <xdr:graphicFrame>
      <xdr:nvGraphicFramePr>
        <xdr:cNvPr id="1" name="Chart 2"/>
        <xdr:cNvGraphicFramePr/>
      </xdr:nvGraphicFramePr>
      <xdr:xfrm>
        <a:off x="11438280" y="13176000"/>
        <a:ext cx="8674920" cy="64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107</xdr:row>
      <xdr:rowOff>50400</xdr:rowOff>
    </xdr:from>
    <xdr:to>
      <xdr:col>21</xdr:col>
      <xdr:colOff>186840</xdr:colOff>
      <xdr:row>129</xdr:row>
      <xdr:rowOff>28080</xdr:rowOff>
    </xdr:to>
    <xdr:graphicFrame>
      <xdr:nvGraphicFramePr>
        <xdr:cNvPr id="2" name="Chart 3"/>
        <xdr:cNvGraphicFramePr/>
      </xdr:nvGraphicFramePr>
      <xdr:xfrm>
        <a:off x="11438280" y="20986200"/>
        <a:ext cx="9397440" cy="4359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133</xdr:row>
      <xdr:rowOff>90000</xdr:rowOff>
    </xdr:from>
    <xdr:to>
      <xdr:col>20</xdr:col>
      <xdr:colOff>78480</xdr:colOff>
      <xdr:row>166</xdr:row>
      <xdr:rowOff>132480</xdr:rowOff>
    </xdr:to>
    <xdr:graphicFrame>
      <xdr:nvGraphicFramePr>
        <xdr:cNvPr id="3" name="Chart 4"/>
        <xdr:cNvGraphicFramePr/>
      </xdr:nvGraphicFramePr>
      <xdr:xfrm>
        <a:off x="11438280" y="26169480"/>
        <a:ext cx="8674920" cy="6519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0</xdr:colOff>
      <xdr:row>201</xdr:row>
      <xdr:rowOff>130320</xdr:rowOff>
    </xdr:from>
    <xdr:to>
      <xdr:col>14</xdr:col>
      <xdr:colOff>147240</xdr:colOff>
      <xdr:row>220</xdr:row>
      <xdr:rowOff>110160</xdr:rowOff>
    </xdr:to>
    <xdr:graphicFrame>
      <xdr:nvGraphicFramePr>
        <xdr:cNvPr id="4" name="Chart 5"/>
        <xdr:cNvGraphicFramePr/>
      </xdr:nvGraphicFramePr>
      <xdr:xfrm>
        <a:off x="11438280" y="39354120"/>
        <a:ext cx="50594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190440</xdr:colOff>
      <xdr:row>11</xdr:row>
      <xdr:rowOff>104760</xdr:rowOff>
    </xdr:from>
    <xdr:to>
      <xdr:col>30</xdr:col>
      <xdr:colOff>504360</xdr:colOff>
      <xdr:row>36</xdr:row>
      <xdr:rowOff>180720</xdr:rowOff>
    </xdr:to>
    <xdr:graphicFrame>
      <xdr:nvGraphicFramePr>
        <xdr:cNvPr id="5" name="Chart 1"/>
        <xdr:cNvGraphicFramePr/>
      </xdr:nvGraphicFramePr>
      <xdr:xfrm>
        <a:off x="8416800" y="2581200"/>
        <a:ext cx="11980800" cy="4838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17" activePane="bottomLeft" state="frozen"/>
      <selection pane="topLeft" activeCell="A1" activeCellId="0" sqref="A1"/>
      <selection pane="bottomLeft" activeCell="S302" activeCellId="0" sqref="S302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47.42"/>
    <col collapsed="false" customWidth="true" hidden="false" outlineLevel="0" max="4" min="4" style="0" width="18.42"/>
    <col collapsed="false" customWidth="true" hidden="false" outlineLevel="0" max="5" min="5" style="0" width="14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str">
        <f aca="false">IF(A5="","","DEV"&amp;MID(A5,4,LEN(A5)-3))</f>
        <v>DEV06-1001</v>
      </c>
      <c r="C5" s="5" t="s">
        <v>8</v>
      </c>
      <c r="D5" s="4" t="s">
        <v>9</v>
      </c>
      <c r="E5" s="4" t="s">
        <v>10</v>
      </c>
    </row>
    <row r="6" customFormat="false" ht="15" hidden="false" customHeight="false" outlineLevel="0" collapsed="false">
      <c r="A6" s="4" t="s">
        <v>11</v>
      </c>
      <c r="B6" s="4" t="str">
        <f aca="false">IF(A6="","","DEV"&amp;MID(A6,4,LEN(A6)-3))</f>
        <v>DEV06-1002</v>
      </c>
      <c r="C6" s="5" t="s">
        <v>12</v>
      </c>
      <c r="D6" s="4" t="s">
        <v>9</v>
      </c>
      <c r="E6" s="4" t="s">
        <v>10</v>
      </c>
    </row>
    <row r="7" customFormat="false" ht="15" hidden="false" customHeight="false" outlineLevel="0" collapsed="false">
      <c r="A7" s="4" t="s">
        <v>13</v>
      </c>
      <c r="B7" s="4" t="str">
        <f aca="false">IF(A7="","","DEV"&amp;MID(A7,4,LEN(A7)-3))</f>
        <v>DEV06-2001</v>
      </c>
      <c r="C7" s="5" t="s">
        <v>14</v>
      </c>
      <c r="D7" s="4" t="s">
        <v>15</v>
      </c>
      <c r="E7" s="4" t="s">
        <v>10</v>
      </c>
    </row>
    <row r="8" customFormat="false" ht="15" hidden="false" customHeight="false" outlineLevel="0" collapsed="false">
      <c r="A8" s="4" t="s">
        <v>16</v>
      </c>
      <c r="B8" s="4" t="str">
        <f aca="false">IF(A8="","","DEV"&amp;MID(A8,4,LEN(A8)-3))</f>
        <v>DEV06-2002</v>
      </c>
      <c r="C8" s="5" t="s">
        <v>17</v>
      </c>
      <c r="D8" s="4" t="s">
        <v>15</v>
      </c>
      <c r="E8" s="4" t="s">
        <v>10</v>
      </c>
    </row>
    <row r="9" customFormat="false" ht="15" hidden="false" customHeight="false" outlineLevel="0" collapsed="false">
      <c r="A9" s="4" t="s">
        <v>18</v>
      </c>
      <c r="B9" s="4" t="str">
        <f aca="false">IF(A9="","","DEV"&amp;MID(A9,4,LEN(A9)-3))</f>
        <v>DEV06-3001</v>
      </c>
      <c r="C9" s="5" t="s">
        <v>19</v>
      </c>
      <c r="D9" s="4" t="s">
        <v>20</v>
      </c>
      <c r="E9" s="4" t="s">
        <v>10</v>
      </c>
    </row>
    <row r="10" customFormat="false" ht="15" hidden="false" customHeight="false" outlineLevel="0" collapsed="false">
      <c r="A10" s="4" t="s">
        <v>21</v>
      </c>
      <c r="B10" s="4" t="str">
        <f aca="false">IF(A10="","","DEV"&amp;MID(A10,4,LEN(A10)-3))</f>
        <v>DEV06-3002</v>
      </c>
      <c r="C10" s="5" t="s">
        <v>22</v>
      </c>
      <c r="D10" s="4" t="s">
        <v>20</v>
      </c>
      <c r="E10" s="4" t="s">
        <v>10</v>
      </c>
    </row>
    <row r="11" customFormat="false" ht="15" hidden="false" customHeight="false" outlineLevel="0" collapsed="false">
      <c r="A11" s="4" t="s">
        <v>23</v>
      </c>
      <c r="B11" s="4" t="str">
        <f aca="false">IF(A11="","","DEV"&amp;MID(A11,4,LEN(A11)-3))</f>
        <v>DEV06-1003</v>
      </c>
      <c r="C11" s="5" t="s">
        <v>24</v>
      </c>
      <c r="D11" s="4" t="s">
        <v>9</v>
      </c>
      <c r="E11" s="4" t="s">
        <v>25</v>
      </c>
    </row>
    <row r="12" customFormat="false" ht="15" hidden="false" customHeight="false" outlineLevel="0" collapsed="false">
      <c r="A12" s="4" t="s">
        <v>26</v>
      </c>
      <c r="B12" s="4" t="str">
        <f aca="false">IF(A12="","","DEV"&amp;MID(A12,4,LEN(A12)-3))</f>
        <v>DEV06-2003</v>
      </c>
      <c r="C12" s="5" t="s">
        <v>27</v>
      </c>
      <c r="D12" s="4" t="s">
        <v>15</v>
      </c>
      <c r="E12" s="4" t="s">
        <v>10</v>
      </c>
    </row>
    <row r="13" customFormat="false" ht="15" hidden="false" customHeight="false" outlineLevel="0" collapsed="false">
      <c r="A13" s="4"/>
      <c r="B13" s="4"/>
      <c r="C13" s="5"/>
      <c r="D13" s="4"/>
      <c r="E13" s="4"/>
    </row>
    <row r="14" customFormat="false" ht="15" hidden="false" customHeight="false" outlineLevel="0" collapsed="false">
      <c r="A14" s="4"/>
      <c r="B14" s="4"/>
      <c r="C14" s="5"/>
      <c r="D14" s="4"/>
      <c r="E14" s="4"/>
    </row>
    <row r="15" customFormat="false" ht="15" hidden="false" customHeight="false" outlineLevel="0" collapsed="false">
      <c r="A15" s="4"/>
      <c r="B15" s="4"/>
      <c r="C15" s="5"/>
      <c r="D15" s="4"/>
      <c r="E15" s="4"/>
    </row>
    <row r="16" customFormat="false" ht="15" hidden="false" customHeight="false" outlineLevel="0" collapsed="false">
      <c r="A16" s="4"/>
      <c r="B16" s="4"/>
      <c r="C16" s="5"/>
      <c r="D16" s="4"/>
      <c r="E16" s="4"/>
    </row>
    <row r="17" customFormat="false" ht="15" hidden="false" customHeight="false" outlineLevel="0" collapsed="false">
      <c r="A17" s="4"/>
      <c r="B17" s="4"/>
      <c r="C17" s="5"/>
      <c r="D17" s="4"/>
      <c r="E17" s="4"/>
    </row>
    <row r="18" customFormat="false" ht="15" hidden="false" customHeight="false" outlineLevel="0" collapsed="false">
      <c r="A18" s="4"/>
      <c r="B18" s="4"/>
      <c r="C18" s="5"/>
      <c r="D18" s="4"/>
      <c r="E18" s="4"/>
    </row>
    <row r="19" customFormat="false" ht="15" hidden="false" customHeight="false" outlineLevel="0" collapsed="false">
      <c r="A19" s="4"/>
      <c r="B19" s="4"/>
      <c r="C19" s="5"/>
      <c r="D19" s="4"/>
      <c r="E19" s="4"/>
    </row>
    <row r="20" customFormat="false" ht="15" hidden="false" customHeight="false" outlineLevel="0" collapsed="false">
      <c r="A20" s="4"/>
      <c r="B20" s="4"/>
      <c r="C20" s="5"/>
      <c r="D20" s="4"/>
      <c r="E20" s="4"/>
    </row>
    <row r="21" customFormat="false" ht="15" hidden="false" customHeight="false" outlineLevel="0" collapsed="false">
      <c r="A21" s="4"/>
      <c r="B21" s="4"/>
      <c r="C21" s="5"/>
      <c r="D21" s="4"/>
      <c r="E21" s="4"/>
    </row>
    <row r="22" customFormat="false" ht="15" hidden="false" customHeight="false" outlineLevel="0" collapsed="false">
      <c r="A22" s="4"/>
      <c r="B22" s="4"/>
      <c r="C22" s="5"/>
      <c r="D22" s="4"/>
      <c r="E22" s="4"/>
    </row>
    <row r="23" customFormat="false" ht="15" hidden="false" customHeight="false" outlineLevel="0" collapsed="false">
      <c r="A23" s="4"/>
      <c r="B23" s="4"/>
      <c r="C23" s="5"/>
      <c r="D23" s="4"/>
      <c r="E23" s="4"/>
    </row>
    <row r="24" customFormat="false" ht="15" hidden="false" customHeight="false" outlineLevel="0" collapsed="false">
      <c r="A24" s="4"/>
      <c r="B24" s="4"/>
      <c r="C24" s="5"/>
      <c r="D24" s="4"/>
      <c r="E24" s="4"/>
    </row>
    <row r="25" customFormat="false" ht="15" hidden="false" customHeight="false" outlineLevel="0" collapsed="false">
      <c r="A25" s="4"/>
      <c r="B25" s="4"/>
      <c r="C25" s="5"/>
      <c r="D25" s="4"/>
      <c r="E25" s="4"/>
    </row>
    <row r="26" customFormat="false" ht="15" hidden="false" customHeight="false" outlineLevel="0" collapsed="false">
      <c r="A26" s="4"/>
      <c r="B26" s="4"/>
      <c r="C26" s="5"/>
      <c r="D26" s="4"/>
      <c r="E26" s="4"/>
    </row>
    <row r="27" customFormat="false" ht="15" hidden="false" customHeight="false" outlineLevel="0" collapsed="false">
      <c r="A27" s="4"/>
      <c r="B27" s="4"/>
      <c r="C27" s="5"/>
      <c r="D27" s="4"/>
      <c r="E27" s="4"/>
    </row>
    <row r="28" customFormat="false" ht="15" hidden="false" customHeight="true" outlineLevel="0" collapsed="false">
      <c r="A28" s="4"/>
      <c r="B28" s="4"/>
      <c r="C28" s="5"/>
      <c r="D28" s="4"/>
      <c r="E28" s="4"/>
    </row>
    <row r="29" customFormat="false" ht="15" hidden="false" customHeight="true" outlineLevel="0" collapsed="false">
      <c r="A29" s="4"/>
      <c r="B29" s="4"/>
      <c r="C29" s="5"/>
      <c r="D29" s="4"/>
      <c r="E29" s="4"/>
    </row>
    <row r="30" customFormat="false" ht="15" hidden="false" customHeight="true" outlineLevel="0" collapsed="false">
      <c r="A30" s="4"/>
      <c r="B30" s="4"/>
      <c r="C30" s="5"/>
      <c r="D30" s="4"/>
      <c r="E30" s="4"/>
    </row>
    <row r="31" customFormat="false" ht="15" hidden="false" customHeight="true" outlineLevel="0" collapsed="false">
      <c r="A31" s="4"/>
      <c r="B31" s="4"/>
      <c r="C31" s="5"/>
      <c r="D31" s="4"/>
      <c r="E31" s="4"/>
    </row>
    <row r="32" customFormat="false" ht="15" hidden="false" customHeight="true" outlineLevel="0" collapsed="false">
      <c r="A32" s="4"/>
      <c r="B32" s="4"/>
      <c r="C32" s="5"/>
      <c r="D32" s="4"/>
      <c r="E32" s="4"/>
    </row>
    <row r="33" customFormat="false" ht="15" hidden="false" customHeight="true" outlineLevel="0" collapsed="false">
      <c r="A33" s="4"/>
      <c r="B33" s="4"/>
      <c r="C33" s="5"/>
      <c r="D33" s="4"/>
      <c r="E33" s="4"/>
    </row>
    <row r="34" customFormat="false" ht="15" hidden="false" customHeight="true" outlineLevel="0" collapsed="false">
      <c r="A34" s="4"/>
      <c r="B34" s="4"/>
      <c r="C34" s="5"/>
      <c r="D34" s="4"/>
      <c r="E34" s="4"/>
    </row>
    <row r="35" customFormat="false" ht="15" hidden="false" customHeight="true" outlineLevel="0" collapsed="false">
      <c r="A35" s="4"/>
      <c r="B35" s="4"/>
      <c r="C35" s="5"/>
      <c r="D35" s="4"/>
      <c r="E35" s="4"/>
    </row>
    <row r="36" customFormat="false" ht="15" hidden="false" customHeight="false" outlineLevel="0" collapsed="false">
      <c r="A36" s="4"/>
      <c r="B36" s="4" t="str">
        <f aca="false">IF(A36="","","DEV"&amp;MID(A36,4,LEN(A36)-3))</f>
        <v/>
      </c>
      <c r="C36" s="4"/>
      <c r="D36" s="4"/>
      <c r="E36" s="4"/>
    </row>
    <row r="37" customFormat="false" ht="15" hidden="false" customHeight="false" outlineLevel="0" collapsed="false">
      <c r="A37" s="4"/>
      <c r="B37" s="4" t="str">
        <f aca="false">IF(A37="","","DEV"&amp;MID(A37,4,LEN(A37)-3))</f>
        <v/>
      </c>
      <c r="C37" s="4"/>
      <c r="D37" s="4"/>
      <c r="E37" s="4"/>
    </row>
    <row r="38" customFormat="false" ht="15" hidden="false" customHeight="false" outlineLevel="0" collapsed="false">
      <c r="A38" s="4"/>
      <c r="B38" s="4" t="str">
        <f aca="false">IF(A38="","","DEV"&amp;MID(A38,4,LEN(A38)-3))</f>
        <v/>
      </c>
      <c r="C38" s="4"/>
      <c r="D38" s="4"/>
      <c r="E38" s="4"/>
    </row>
    <row r="39" customFormat="false" ht="15" hidden="false" customHeight="false" outlineLevel="0" collapsed="false">
      <c r="A39" s="4"/>
      <c r="B39" s="4" t="str">
        <f aca="false">IF(A39="","","DEV"&amp;MID(A39,4,LEN(A39)-3))</f>
        <v/>
      </c>
      <c r="C39" s="4"/>
      <c r="D39" s="4"/>
      <c r="E39" s="4"/>
    </row>
    <row r="40" customFormat="false" ht="15" hidden="false" customHeight="false" outlineLevel="0" collapsed="false">
      <c r="A40" s="4"/>
      <c r="B40" s="4" t="str">
        <f aca="false">IF(A40="","","DEV"&amp;MID(A40,4,LEN(A40)-3))</f>
        <v/>
      </c>
      <c r="C40" s="4"/>
      <c r="D40" s="4"/>
      <c r="E40" s="4"/>
    </row>
    <row r="41" customFormat="false" ht="15" hidden="false" customHeight="false" outlineLevel="0" collapsed="false">
      <c r="A41" s="4"/>
      <c r="B41" s="4" t="str">
        <f aca="false">IF(A41="","","DEV"&amp;MID(A41,4,LEN(A41)-3))</f>
        <v/>
      </c>
      <c r="C41" s="4"/>
      <c r="D41" s="4"/>
      <c r="E41" s="4"/>
    </row>
    <row r="42" customFormat="false" ht="15" hidden="false" customHeight="false" outlineLevel="0" collapsed="false">
      <c r="A42" s="4"/>
      <c r="B42" s="4" t="str">
        <f aca="false">IF(A42="","","DEV"&amp;MID(A42,4,LEN(A42)-3))</f>
        <v/>
      </c>
      <c r="C42" s="4"/>
      <c r="D42" s="4"/>
      <c r="E42" s="4"/>
    </row>
    <row r="43" customFormat="false" ht="15" hidden="false" customHeight="false" outlineLevel="0" collapsed="false">
      <c r="A43" s="4"/>
      <c r="B43" s="4" t="str">
        <f aca="false">IF(A43="","","DEV"&amp;MID(A43,4,LEN(A43)-3))</f>
        <v/>
      </c>
      <c r="C43" s="4"/>
      <c r="D43" s="4"/>
      <c r="E43" s="4"/>
    </row>
    <row r="44" customFormat="false" ht="15" hidden="false" customHeight="false" outlineLevel="0" collapsed="false">
      <c r="A44" s="4"/>
      <c r="B44" s="4" t="str">
        <f aca="false">IF(A44="","","DEV"&amp;MID(A44,4,LEN(A44)-3))</f>
        <v/>
      </c>
      <c r="C44" s="4"/>
      <c r="D44" s="4"/>
      <c r="E44" s="4"/>
    </row>
    <row r="45" customFormat="false" ht="15" hidden="false" customHeight="false" outlineLevel="0" collapsed="false">
      <c r="A45" s="4"/>
      <c r="B45" s="4" t="str">
        <f aca="false">IF(A45="","","DEV"&amp;MID(A45,4,LEN(A45)-3))</f>
        <v/>
      </c>
      <c r="C45" s="4"/>
      <c r="D45" s="4"/>
      <c r="E45" s="4"/>
    </row>
    <row r="46" customFormat="false" ht="15" hidden="false" customHeight="false" outlineLevel="0" collapsed="false">
      <c r="A46" s="4"/>
      <c r="B46" s="4" t="str">
        <f aca="false">IF(A46="","","DEV"&amp;MID(A46,4,LEN(A46)-3))</f>
        <v/>
      </c>
      <c r="C46" s="4"/>
      <c r="D46" s="4"/>
      <c r="E46" s="4"/>
    </row>
    <row r="47" customFormat="false" ht="15" hidden="false" customHeight="false" outlineLevel="0" collapsed="false">
      <c r="A47" s="4"/>
      <c r="B47" s="4" t="str">
        <f aca="false">IF(A47="","","DEV"&amp;MID(A47,4,LEN(A47)-3))</f>
        <v/>
      </c>
      <c r="C47" s="4"/>
      <c r="D47" s="4"/>
      <c r="E47" s="4"/>
    </row>
    <row r="48" customFormat="false" ht="15" hidden="false" customHeight="false" outlineLevel="0" collapsed="false">
      <c r="A48" s="4"/>
      <c r="B48" s="4" t="str">
        <f aca="false">IF(A48="","","DEV"&amp;MID(A48,4,LEN(A48)-3))</f>
        <v/>
      </c>
      <c r="C48" s="4"/>
      <c r="D48" s="4"/>
      <c r="E48" s="4"/>
    </row>
    <row r="49" customFormat="false" ht="15" hidden="false" customHeight="false" outlineLevel="0" collapsed="false">
      <c r="A49" s="4"/>
      <c r="B49" s="4" t="str">
        <f aca="false">IF(A49="","","DEV"&amp;MID(A49,4,LEN(A49)-3))</f>
        <v/>
      </c>
      <c r="C49" s="4"/>
      <c r="D49" s="4"/>
      <c r="E49" s="4"/>
    </row>
    <row r="50" customFormat="false" ht="15" hidden="false" customHeight="false" outlineLevel="0" collapsed="false">
      <c r="A50" s="4"/>
      <c r="B50" s="4" t="str">
        <f aca="false">IF(A50="","","DEV"&amp;MID(A50,4,LEN(A50)-3))</f>
        <v/>
      </c>
      <c r="C50" s="4"/>
      <c r="D50" s="4"/>
      <c r="E50" s="4"/>
    </row>
    <row r="51" customFormat="false" ht="15" hidden="false" customHeight="false" outlineLevel="0" collapsed="false">
      <c r="A51" s="4"/>
      <c r="B51" s="4" t="str">
        <f aca="false">IF(A51="","","DEV"&amp;MID(A51,4,LEN(A51)-3))</f>
        <v/>
      </c>
      <c r="C51" s="4"/>
      <c r="D51" s="4"/>
      <c r="E51" s="4"/>
    </row>
    <row r="52" customFormat="false" ht="15" hidden="false" customHeight="false" outlineLevel="0" collapsed="false">
      <c r="A52" s="4"/>
      <c r="B52" s="4" t="str">
        <f aca="false">IF(A52="","","DEV"&amp;MID(A52,4,LEN(A52)-3))</f>
        <v/>
      </c>
      <c r="C52" s="4"/>
      <c r="D52" s="4"/>
      <c r="E52" s="4"/>
    </row>
    <row r="53" customFormat="false" ht="15" hidden="false" customHeight="false" outlineLevel="0" collapsed="false">
      <c r="A53" s="4"/>
      <c r="B53" s="4" t="str">
        <f aca="false">IF(A53="","","DEV"&amp;MID(A53,4,LEN(A53)-3))</f>
        <v/>
      </c>
      <c r="C53" s="4"/>
      <c r="D53" s="4"/>
      <c r="E53" s="4"/>
    </row>
    <row r="54" customFormat="false" ht="15" hidden="false" customHeight="false" outlineLevel="0" collapsed="false">
      <c r="A54" s="4"/>
      <c r="B54" s="4" t="str">
        <f aca="false">IF(A54="","","DEV"&amp;MID(A54,4,LEN(A54)-3))</f>
        <v/>
      </c>
      <c r="C54" s="4"/>
      <c r="D54" s="4"/>
      <c r="E54" s="4"/>
    </row>
    <row r="55" customFormat="false" ht="15" hidden="false" customHeight="false" outlineLevel="0" collapsed="false">
      <c r="A55" s="4"/>
      <c r="B55" s="4" t="str">
        <f aca="false">IF(A55="","","DEV"&amp;MID(A55,4,LEN(A55)-3))</f>
        <v/>
      </c>
      <c r="C55" s="4"/>
      <c r="D55" s="4"/>
      <c r="E55" s="4"/>
    </row>
    <row r="56" customFormat="false" ht="15" hidden="false" customHeight="false" outlineLevel="0" collapsed="false">
      <c r="A56" s="4"/>
      <c r="B56" s="4" t="str">
        <f aca="false">IF(A56="","","DEV"&amp;MID(A56,4,LEN(A56)-3))</f>
        <v/>
      </c>
      <c r="C56" s="4"/>
      <c r="D56" s="4"/>
      <c r="E56" s="4"/>
    </row>
    <row r="57" customFormat="false" ht="15" hidden="false" customHeight="false" outlineLevel="0" collapsed="false">
      <c r="A57" s="4"/>
      <c r="B57" s="4" t="str">
        <f aca="false">IF(A57="","","DEV"&amp;MID(A57,4,LEN(A57)-3))</f>
        <v/>
      </c>
      <c r="C57" s="4"/>
      <c r="D57" s="4"/>
      <c r="E57" s="4"/>
    </row>
    <row r="58" customFormat="false" ht="15" hidden="false" customHeight="false" outlineLevel="0" collapsed="false">
      <c r="A58" s="4"/>
      <c r="B58" s="4" t="str">
        <f aca="false">IF(A58="","","DEV"&amp;MID(A58,4,LEN(A58)-3))</f>
        <v/>
      </c>
      <c r="C58" s="4"/>
      <c r="D58" s="4"/>
      <c r="E58" s="4"/>
    </row>
    <row r="59" customFormat="false" ht="15" hidden="false" customHeight="false" outlineLevel="0" collapsed="false">
      <c r="A59" s="4"/>
      <c r="B59" s="4" t="str">
        <f aca="false">IF(A59="","","DEV"&amp;MID(A59,4,LEN(A59)-3))</f>
        <v/>
      </c>
      <c r="C59" s="4"/>
      <c r="D59" s="4"/>
      <c r="E59" s="4"/>
    </row>
    <row r="60" customFormat="false" ht="15" hidden="false" customHeight="false" outlineLevel="0" collapsed="false">
      <c r="A60" s="4"/>
      <c r="B60" s="4" t="str">
        <f aca="false">IF(A60="","","DEV"&amp;MID(A60,4,LEN(A60)-3))</f>
        <v/>
      </c>
      <c r="C60" s="4"/>
      <c r="D60" s="4"/>
      <c r="E60" s="4"/>
    </row>
    <row r="61" customFormat="false" ht="15" hidden="false" customHeight="false" outlineLevel="0" collapsed="false">
      <c r="A61" s="4"/>
      <c r="B61" s="4" t="str">
        <f aca="false">IF(A61="","","DEV"&amp;MID(A61,4,LEN(A61)-3))</f>
        <v/>
      </c>
      <c r="C61" s="4"/>
      <c r="D61" s="4"/>
      <c r="E61" s="4"/>
    </row>
    <row r="62" customFormat="false" ht="15" hidden="false" customHeight="false" outlineLevel="0" collapsed="false">
      <c r="A62" s="4"/>
      <c r="B62" s="4" t="str">
        <f aca="false">IF(A62="","","DEV"&amp;MID(A62,4,LEN(A62)-3))</f>
        <v/>
      </c>
      <c r="C62" s="4"/>
      <c r="D62" s="4"/>
      <c r="E62" s="4"/>
    </row>
    <row r="63" customFormat="false" ht="15" hidden="false" customHeight="false" outlineLevel="0" collapsed="false">
      <c r="A63" s="4"/>
      <c r="B63" s="4" t="str">
        <f aca="false">IF(A63="","","DEV"&amp;MID(A63,4,LEN(A63)-3))</f>
        <v/>
      </c>
      <c r="C63" s="4"/>
      <c r="D63" s="4"/>
      <c r="E63" s="4"/>
    </row>
    <row r="64" customFormat="false" ht="15" hidden="false" customHeight="false" outlineLevel="0" collapsed="false">
      <c r="A64" s="4"/>
      <c r="B64" s="4" t="str">
        <f aca="false">IF(A64="","","DEV"&amp;MID(A64,4,LEN(A64)-3))</f>
        <v/>
      </c>
      <c r="C64" s="4"/>
      <c r="D64" s="4"/>
      <c r="E64" s="4"/>
    </row>
    <row r="65" customFormat="false" ht="15" hidden="false" customHeight="false" outlineLevel="0" collapsed="false">
      <c r="A65" s="4"/>
      <c r="B65" s="4" t="str">
        <f aca="false">IF(A65="","","DEV"&amp;MID(A65,4,LEN(A65)-3))</f>
        <v/>
      </c>
      <c r="C65" s="4"/>
      <c r="D65" s="4"/>
      <c r="E65" s="4"/>
    </row>
    <row r="66" customFormat="false" ht="15" hidden="false" customHeight="false" outlineLevel="0" collapsed="false">
      <c r="A66" s="4"/>
      <c r="B66" s="4" t="str">
        <f aca="false">IF(A66="","","DEV"&amp;MID(A66,4,LEN(A66)-3))</f>
        <v/>
      </c>
      <c r="C66" s="4"/>
      <c r="D66" s="4"/>
      <c r="E66" s="4"/>
    </row>
    <row r="67" customFormat="false" ht="15" hidden="false" customHeight="false" outlineLevel="0" collapsed="false">
      <c r="A67" s="4"/>
      <c r="B67" s="4" t="str">
        <f aca="false">IF(A67="","","DEV"&amp;MID(A67,4,LEN(A67)-3))</f>
        <v/>
      </c>
      <c r="C67" s="4"/>
      <c r="D67" s="4"/>
      <c r="E67" s="4"/>
    </row>
    <row r="68" customFormat="false" ht="15" hidden="false" customHeight="false" outlineLevel="0" collapsed="false">
      <c r="A68" s="4"/>
      <c r="B68" s="4" t="str">
        <f aca="false">IF(A68="","","DEV"&amp;MID(A68,4,LEN(A68)-3))</f>
        <v/>
      </c>
      <c r="C68" s="4"/>
      <c r="D68" s="4"/>
      <c r="E68" s="4"/>
    </row>
    <row r="69" customFormat="false" ht="15" hidden="false" customHeight="false" outlineLevel="0" collapsed="false">
      <c r="A69" s="4"/>
      <c r="B69" s="4" t="str">
        <f aca="false">IF(A69="","","DEV"&amp;MID(A69,4,LEN(A69)-3))</f>
        <v/>
      </c>
      <c r="C69" s="4"/>
      <c r="D69" s="4"/>
      <c r="E69" s="4"/>
    </row>
    <row r="70" customFormat="false" ht="15" hidden="false" customHeight="false" outlineLevel="0" collapsed="false">
      <c r="A70" s="4"/>
      <c r="B70" s="4" t="str">
        <f aca="false">IF(A70="","","DEV"&amp;MID(A70,4,LEN(A70)-3))</f>
        <v/>
      </c>
      <c r="C70" s="4"/>
      <c r="D70" s="4"/>
      <c r="E70" s="4"/>
    </row>
    <row r="71" customFormat="false" ht="15" hidden="false" customHeight="false" outlineLevel="0" collapsed="false">
      <c r="A71" s="4"/>
      <c r="B71" s="4" t="str">
        <f aca="false">IF(A71="","","DEV"&amp;MID(A71,4,LEN(A71)-3))</f>
        <v/>
      </c>
      <c r="C71" s="4"/>
      <c r="D71" s="4"/>
      <c r="E71" s="4"/>
    </row>
    <row r="72" customFormat="false" ht="15" hidden="false" customHeight="false" outlineLevel="0" collapsed="false">
      <c r="A72" s="4"/>
      <c r="B72" s="4" t="str">
        <f aca="false">IF(A72="","","DEV"&amp;MID(A72,4,LEN(A72)-3))</f>
        <v/>
      </c>
      <c r="C72" s="4"/>
      <c r="D72" s="4"/>
      <c r="E72" s="4"/>
    </row>
    <row r="73" customFormat="false" ht="15" hidden="false" customHeight="false" outlineLevel="0" collapsed="false">
      <c r="A73" s="4"/>
      <c r="B73" s="4" t="str">
        <f aca="false">IF(A73="","","DEV"&amp;MID(A73,4,LEN(A73)-3))</f>
        <v/>
      </c>
      <c r="C73" s="4"/>
      <c r="D73" s="4"/>
      <c r="E73" s="4"/>
    </row>
    <row r="74" customFormat="false" ht="15" hidden="false" customHeight="false" outlineLevel="0" collapsed="false">
      <c r="A74" s="4"/>
      <c r="B74" s="4" t="str">
        <f aca="false">IF(A74="","","DEV"&amp;MID(A74,4,LEN(A74)-3))</f>
        <v/>
      </c>
      <c r="C74" s="4"/>
      <c r="D74" s="4"/>
      <c r="E74" s="4"/>
    </row>
    <row r="75" customFormat="false" ht="15" hidden="false" customHeight="false" outlineLevel="0" collapsed="false">
      <c r="A75" s="4"/>
      <c r="B75" s="4" t="str">
        <f aca="false">IF(A75="","","DEV"&amp;MID(A75,4,LEN(A75)-3))</f>
        <v/>
      </c>
      <c r="C75" s="4"/>
      <c r="D75" s="4"/>
      <c r="E75" s="4"/>
    </row>
    <row r="76" customFormat="false" ht="15" hidden="false" customHeight="false" outlineLevel="0" collapsed="false">
      <c r="A76" s="4"/>
      <c r="B76" s="4" t="str">
        <f aca="false">IF(A76="","","DEV"&amp;MID(A76,4,LEN(A76)-3))</f>
        <v/>
      </c>
      <c r="C76" s="4"/>
      <c r="D76" s="4"/>
      <c r="E76" s="4"/>
    </row>
    <row r="77" customFormat="false" ht="15" hidden="false" customHeight="false" outlineLevel="0" collapsed="false">
      <c r="A77" s="4"/>
      <c r="B77" s="4" t="str">
        <f aca="false">IF(A77="","","DEV"&amp;MID(A77,4,LEN(A77)-3))</f>
        <v/>
      </c>
      <c r="C77" s="4"/>
      <c r="D77" s="4"/>
      <c r="E77" s="4"/>
    </row>
    <row r="78" customFormat="false" ht="15" hidden="false" customHeight="false" outlineLevel="0" collapsed="false">
      <c r="A78" s="4"/>
      <c r="B78" s="4" t="str">
        <f aca="false">IF(A78="","","DEV"&amp;MID(A78,4,LEN(A78)-3))</f>
        <v/>
      </c>
      <c r="C78" s="4"/>
      <c r="D78" s="4"/>
      <c r="E78" s="4"/>
    </row>
    <row r="79" customFormat="false" ht="15" hidden="false" customHeight="false" outlineLevel="0" collapsed="false">
      <c r="A79" s="4"/>
      <c r="B79" s="4" t="str">
        <f aca="false">IF(A79="","","DEV"&amp;MID(A79,4,LEN(A79)-3))</f>
        <v/>
      </c>
      <c r="C79" s="4"/>
      <c r="D79" s="4"/>
      <c r="E79" s="4"/>
    </row>
    <row r="80" customFormat="false" ht="15" hidden="false" customHeight="false" outlineLevel="0" collapsed="false">
      <c r="A80" s="4"/>
      <c r="B80" s="4" t="str">
        <f aca="false">IF(A80="","","DEV"&amp;MID(A80,4,LEN(A80)-3))</f>
        <v/>
      </c>
      <c r="C80" s="4"/>
      <c r="D80" s="4"/>
      <c r="E80" s="4"/>
    </row>
    <row r="81" customFormat="false" ht="15" hidden="false" customHeight="false" outlineLevel="0" collapsed="false">
      <c r="A81" s="4"/>
      <c r="B81" s="4" t="str">
        <f aca="false">IF(A81="","","DEV"&amp;MID(A81,4,LEN(A81)-3))</f>
        <v/>
      </c>
      <c r="C81" s="4"/>
      <c r="D81" s="4"/>
      <c r="E81" s="4"/>
    </row>
    <row r="82" customFormat="false" ht="15" hidden="false" customHeight="false" outlineLevel="0" collapsed="false">
      <c r="A82" s="4"/>
      <c r="B82" s="4" t="str">
        <f aca="false">IF(A82="","","DEV"&amp;MID(A82,4,LEN(A82)-3))</f>
        <v/>
      </c>
      <c r="C82" s="4"/>
      <c r="D82" s="4"/>
      <c r="E82" s="4"/>
    </row>
    <row r="83" customFormat="false" ht="15" hidden="false" customHeight="false" outlineLevel="0" collapsed="false">
      <c r="A83" s="4"/>
      <c r="B83" s="4" t="str">
        <f aca="false">IF(A83="","","DEV"&amp;MID(A83,4,LEN(A83)-3))</f>
        <v/>
      </c>
      <c r="C83" s="4"/>
      <c r="D83" s="4"/>
      <c r="E83" s="4"/>
    </row>
    <row r="84" customFormat="false" ht="15" hidden="false" customHeight="false" outlineLevel="0" collapsed="false">
      <c r="A84" s="4"/>
      <c r="B84" s="4" t="str">
        <f aca="false">IF(A84="","","DEV"&amp;MID(A84,4,LEN(A84)-3))</f>
        <v/>
      </c>
      <c r="C84" s="4"/>
      <c r="D84" s="4"/>
      <c r="E84" s="4"/>
    </row>
    <row r="85" customFormat="false" ht="15" hidden="false" customHeight="false" outlineLevel="0" collapsed="false">
      <c r="A85" s="4"/>
      <c r="B85" s="4" t="str">
        <f aca="false">IF(A85="","","DEV"&amp;MID(A85,4,LEN(A85)-3))</f>
        <v/>
      </c>
      <c r="C85" s="4"/>
      <c r="D85" s="4"/>
      <c r="E85" s="4"/>
    </row>
    <row r="86" customFormat="false" ht="15" hidden="false" customHeight="false" outlineLevel="0" collapsed="false">
      <c r="A86" s="4"/>
      <c r="B86" s="4" t="str">
        <f aca="false">IF(A86="","","DEV"&amp;MID(A86,4,LEN(A86)-3))</f>
        <v/>
      </c>
      <c r="C86" s="4"/>
      <c r="D86" s="4"/>
      <c r="E86" s="4"/>
    </row>
    <row r="87" customFormat="false" ht="15" hidden="false" customHeight="false" outlineLevel="0" collapsed="false">
      <c r="A87" s="4"/>
      <c r="B87" s="4" t="str">
        <f aca="false">IF(A87="","","DEV"&amp;MID(A87,4,LEN(A87)-3))</f>
        <v/>
      </c>
      <c r="C87" s="4"/>
      <c r="D87" s="4"/>
      <c r="E87" s="4"/>
    </row>
    <row r="88" customFormat="false" ht="15" hidden="false" customHeight="false" outlineLevel="0" collapsed="false">
      <c r="A88" s="4"/>
      <c r="B88" s="4" t="str">
        <f aca="false">IF(A88="","","DEV"&amp;MID(A88,4,LEN(A88)-3))</f>
        <v/>
      </c>
      <c r="C88" s="4"/>
      <c r="D88" s="4"/>
      <c r="E88" s="4"/>
    </row>
    <row r="89" customFormat="false" ht="15" hidden="false" customHeight="false" outlineLevel="0" collapsed="false">
      <c r="A89" s="4"/>
      <c r="B89" s="4" t="str">
        <f aca="false">IF(A89="","","DEV"&amp;MID(A89,4,LEN(A89)-3))</f>
        <v/>
      </c>
      <c r="C89" s="4"/>
      <c r="D89" s="4"/>
      <c r="E89" s="4"/>
    </row>
    <row r="90" customFormat="false" ht="15" hidden="false" customHeight="false" outlineLevel="0" collapsed="false">
      <c r="A90" s="4"/>
      <c r="B90" s="4" t="str">
        <f aca="false">IF(A90="","","DEV"&amp;MID(A90,4,LEN(A90)-3))</f>
        <v/>
      </c>
      <c r="C90" s="4"/>
      <c r="D90" s="4"/>
      <c r="E90" s="4"/>
    </row>
    <row r="91" customFormat="false" ht="15" hidden="false" customHeight="false" outlineLevel="0" collapsed="false">
      <c r="A91" s="4"/>
      <c r="B91" s="4" t="str">
        <f aca="false">IF(A91="","","DEV"&amp;MID(A91,4,LEN(A91)-3))</f>
        <v/>
      </c>
      <c r="C91" s="4"/>
      <c r="D91" s="4"/>
      <c r="E91" s="4"/>
    </row>
    <row r="92" customFormat="false" ht="15" hidden="false" customHeight="false" outlineLevel="0" collapsed="false">
      <c r="A92" s="4"/>
      <c r="B92" s="4" t="str">
        <f aca="false">IF(A92="","","DEV"&amp;MID(A92,4,LEN(A92)-3))</f>
        <v/>
      </c>
      <c r="C92" s="4"/>
      <c r="D92" s="4"/>
      <c r="E92" s="4"/>
    </row>
    <row r="93" customFormat="false" ht="15" hidden="false" customHeight="false" outlineLevel="0" collapsed="false">
      <c r="A93" s="4"/>
      <c r="B93" s="4" t="str">
        <f aca="false">IF(A93="","","DEV"&amp;MID(A93,4,LEN(A93)-3))</f>
        <v/>
      </c>
      <c r="C93" s="4"/>
      <c r="D93" s="4"/>
      <c r="E93" s="4"/>
    </row>
    <row r="94" customFormat="false" ht="15" hidden="false" customHeight="false" outlineLevel="0" collapsed="false">
      <c r="A94" s="4"/>
      <c r="B94" s="4" t="str">
        <f aca="false">IF(A94="","","DEV"&amp;MID(A94,4,LEN(A94)-3))</f>
        <v/>
      </c>
      <c r="C94" s="4"/>
      <c r="D94" s="4"/>
      <c r="E94" s="4"/>
    </row>
    <row r="95" customFormat="false" ht="15" hidden="false" customHeight="false" outlineLevel="0" collapsed="false">
      <c r="A95" s="4"/>
      <c r="B95" s="4" t="str">
        <f aca="false">IF(A95="","","DEV"&amp;MID(A95,4,LEN(A95)-3))</f>
        <v/>
      </c>
      <c r="C95" s="4"/>
      <c r="D95" s="4"/>
      <c r="E95" s="4"/>
    </row>
    <row r="96" customFormat="false" ht="15" hidden="false" customHeight="false" outlineLevel="0" collapsed="false">
      <c r="A96" s="4"/>
      <c r="B96" s="4" t="str">
        <f aca="false">IF(A96="","","DEV"&amp;MID(A96,4,LEN(A96)-3))</f>
        <v/>
      </c>
      <c r="C96" s="4"/>
      <c r="D96" s="4"/>
      <c r="E96" s="4"/>
    </row>
    <row r="97" customFormat="false" ht="15" hidden="false" customHeight="false" outlineLevel="0" collapsed="false">
      <c r="A97" s="4"/>
      <c r="B97" s="4" t="str">
        <f aca="false">IF(A97="","","DEV"&amp;MID(A97,4,LEN(A97)-3))</f>
        <v/>
      </c>
      <c r="C97" s="4"/>
      <c r="D97" s="4"/>
      <c r="E97" s="4"/>
    </row>
    <row r="98" customFormat="false" ht="15" hidden="false" customHeight="false" outlineLevel="0" collapsed="false">
      <c r="A98" s="4"/>
      <c r="B98" s="4" t="str">
        <f aca="false">IF(A98="","","DEV"&amp;MID(A98,4,LEN(A98)-3))</f>
        <v/>
      </c>
      <c r="C98" s="4"/>
      <c r="D98" s="4"/>
      <c r="E98" s="4"/>
    </row>
    <row r="99" customFormat="false" ht="15" hidden="false" customHeight="false" outlineLevel="0" collapsed="false">
      <c r="A99" s="4"/>
      <c r="B99" s="4" t="str">
        <f aca="false">IF(A99="","","DEV"&amp;MID(A99,4,LEN(A99)-3))</f>
        <v/>
      </c>
      <c r="C99" s="4"/>
      <c r="D99" s="4"/>
      <c r="E99" s="4"/>
    </row>
    <row r="100" customFormat="false" ht="15" hidden="false" customHeight="false" outlineLevel="0" collapsed="false">
      <c r="A100" s="4"/>
      <c r="B100" s="4" t="str">
        <f aca="false">IF(A100="","","DEV"&amp;MID(A100,4,LEN(A100)-3))</f>
        <v/>
      </c>
      <c r="C100" s="4"/>
      <c r="D100" s="4"/>
      <c r="E100" s="4"/>
    </row>
    <row r="101" customFormat="false" ht="15" hidden="false" customHeight="false" outlineLevel="0" collapsed="false">
      <c r="A101" s="4"/>
      <c r="B101" s="4" t="str">
        <f aca="false">IF(A101="","","DEV"&amp;MID(A101,4,LEN(A101)-3))</f>
        <v/>
      </c>
      <c r="C101" s="4"/>
      <c r="D101" s="4"/>
      <c r="E101" s="4"/>
    </row>
    <row r="102" customFormat="false" ht="15" hidden="false" customHeight="false" outlineLevel="0" collapsed="false">
      <c r="A102" s="4"/>
      <c r="B102" s="4" t="str">
        <f aca="false">IF(A102="","","DEV"&amp;MID(A102,4,LEN(A102)-3))</f>
        <v/>
      </c>
      <c r="C102" s="4"/>
      <c r="D102" s="4"/>
      <c r="E102" s="4"/>
    </row>
    <row r="103" customFormat="false" ht="15" hidden="false" customHeight="false" outlineLevel="0" collapsed="false">
      <c r="A103" s="4"/>
      <c r="B103" s="4" t="str">
        <f aca="false">IF(A103="","","DEV"&amp;MID(A103,4,LEN(A103)-3))</f>
        <v/>
      </c>
      <c r="C103" s="4"/>
      <c r="D103" s="4"/>
      <c r="E103" s="4"/>
    </row>
    <row r="104" customFormat="false" ht="15" hidden="false" customHeight="false" outlineLevel="0" collapsed="false">
      <c r="A104" s="4"/>
      <c r="B104" s="4" t="str">
        <f aca="false">IF(A104="","","DEV"&amp;MID(A104,4,LEN(A104)-3))</f>
        <v/>
      </c>
      <c r="C104" s="4"/>
      <c r="D104" s="4"/>
      <c r="E104" s="4"/>
    </row>
    <row r="105" customFormat="false" ht="15" hidden="false" customHeight="false" outlineLevel="0" collapsed="false">
      <c r="A105" s="4"/>
      <c r="B105" s="4" t="str">
        <f aca="false">IF(A105="","","DEV"&amp;MID(A105,4,LEN(A105)-3))</f>
        <v/>
      </c>
      <c r="C105" s="4"/>
      <c r="D105" s="4"/>
      <c r="E105" s="4"/>
    </row>
    <row r="106" customFormat="false" ht="15" hidden="false" customHeight="false" outlineLevel="0" collapsed="false">
      <c r="A106" s="4"/>
      <c r="B106" s="4" t="str">
        <f aca="false">IF(A106="","","DEV"&amp;MID(A106,4,LEN(A106)-3))</f>
        <v/>
      </c>
      <c r="C106" s="4"/>
      <c r="D106" s="4"/>
      <c r="E106" s="4"/>
    </row>
    <row r="107" customFormat="false" ht="15" hidden="false" customHeight="false" outlineLevel="0" collapsed="false">
      <c r="A107" s="4"/>
      <c r="B107" s="4" t="str">
        <f aca="false">IF(A107="","","DEV"&amp;MID(A107,4,LEN(A107)-3))</f>
        <v/>
      </c>
      <c r="C107" s="4"/>
      <c r="D107" s="4"/>
      <c r="E107" s="4"/>
    </row>
    <row r="108" customFormat="false" ht="15" hidden="false" customHeight="false" outlineLevel="0" collapsed="false">
      <c r="A108" s="4"/>
      <c r="B108" s="4" t="str">
        <f aca="false">IF(A108="","","DEV"&amp;MID(A108,4,LEN(A108)-3))</f>
        <v/>
      </c>
      <c r="C108" s="4"/>
      <c r="D108" s="4"/>
      <c r="E108" s="4"/>
    </row>
    <row r="109" customFormat="false" ht="15" hidden="false" customHeight="false" outlineLevel="0" collapsed="false">
      <c r="A109" s="4"/>
      <c r="B109" s="4" t="str">
        <f aca="false">IF(A109="","","DEV"&amp;MID(A109,4,LEN(A109)-3))</f>
        <v/>
      </c>
      <c r="C109" s="4"/>
      <c r="D109" s="4"/>
      <c r="E109" s="4"/>
    </row>
    <row r="110" customFormat="false" ht="15" hidden="false" customHeight="false" outlineLevel="0" collapsed="false">
      <c r="A110" s="4"/>
      <c r="B110" s="4" t="str">
        <f aca="false">IF(A110="","","DEV"&amp;MID(A110,4,LEN(A110)-3))</f>
        <v/>
      </c>
      <c r="C110" s="4"/>
      <c r="D110" s="4"/>
      <c r="E110" s="4"/>
    </row>
    <row r="111" customFormat="false" ht="15" hidden="false" customHeight="false" outlineLevel="0" collapsed="false">
      <c r="A111" s="4"/>
      <c r="B111" s="4" t="str">
        <f aca="false">IF(A111="","","DEV"&amp;MID(A111,4,LEN(A111)-3))</f>
        <v/>
      </c>
      <c r="C111" s="4"/>
      <c r="D111" s="4"/>
      <c r="E111" s="4"/>
    </row>
    <row r="112" customFormat="false" ht="15" hidden="false" customHeight="false" outlineLevel="0" collapsed="false">
      <c r="A112" s="4"/>
      <c r="B112" s="4" t="str">
        <f aca="false">IF(A112="","","DEV"&amp;MID(A112,4,LEN(A112)-3))</f>
        <v/>
      </c>
      <c r="C112" s="4"/>
      <c r="D112" s="4"/>
      <c r="E112" s="4"/>
    </row>
    <row r="113" customFormat="false" ht="15" hidden="false" customHeight="false" outlineLevel="0" collapsed="false">
      <c r="A113" s="4"/>
      <c r="B113" s="4" t="str">
        <f aca="false">IF(A113="","","DEV"&amp;MID(A113,4,LEN(A113)-3))</f>
        <v/>
      </c>
      <c r="C113" s="4"/>
      <c r="D113" s="4"/>
      <c r="E113" s="4"/>
    </row>
    <row r="114" customFormat="false" ht="15" hidden="false" customHeight="false" outlineLevel="0" collapsed="false">
      <c r="A114" s="4"/>
      <c r="B114" s="4" t="str">
        <f aca="false">IF(A114="","","DEV"&amp;MID(A114,4,LEN(A114)-3))</f>
        <v/>
      </c>
      <c r="C114" s="4"/>
      <c r="D114" s="4"/>
      <c r="E114" s="4"/>
    </row>
    <row r="115" customFormat="false" ht="15" hidden="false" customHeight="false" outlineLevel="0" collapsed="false">
      <c r="A115" s="4"/>
      <c r="B115" s="4" t="str">
        <f aca="false">IF(A115="","","DEV"&amp;MID(A115,4,LEN(A115)-3))</f>
        <v/>
      </c>
      <c r="C115" s="4"/>
      <c r="D115" s="4"/>
      <c r="E115" s="4"/>
    </row>
    <row r="116" customFormat="false" ht="15" hidden="false" customHeight="false" outlineLevel="0" collapsed="false">
      <c r="A116" s="4"/>
      <c r="B116" s="4" t="str">
        <f aca="false">IF(A116="","","DEV"&amp;MID(A116,4,LEN(A116)-3))</f>
        <v/>
      </c>
      <c r="C116" s="4"/>
      <c r="D116" s="4"/>
      <c r="E116" s="4"/>
    </row>
    <row r="117" customFormat="false" ht="15" hidden="false" customHeight="false" outlineLevel="0" collapsed="false">
      <c r="A117" s="4"/>
      <c r="B117" s="4" t="str">
        <f aca="false">IF(A117="","","DEV"&amp;MID(A117,4,LEN(A117)-3))</f>
        <v/>
      </c>
      <c r="C117" s="4"/>
      <c r="D117" s="4"/>
      <c r="E117" s="4"/>
    </row>
    <row r="118" customFormat="false" ht="15" hidden="false" customHeight="false" outlineLevel="0" collapsed="false">
      <c r="A118" s="4"/>
      <c r="B118" s="4" t="str">
        <f aca="false">IF(A118="","","DEV"&amp;MID(A118,4,LEN(A118)-3))</f>
        <v/>
      </c>
      <c r="C118" s="4"/>
      <c r="D118" s="4"/>
      <c r="E118" s="4"/>
    </row>
    <row r="119" customFormat="false" ht="15" hidden="false" customHeight="false" outlineLevel="0" collapsed="false">
      <c r="A119" s="4"/>
      <c r="B119" s="4" t="str">
        <f aca="false">IF(A119="","","DEV"&amp;MID(A119,4,LEN(A119)-3))</f>
        <v/>
      </c>
      <c r="C119" s="4"/>
      <c r="D119" s="4"/>
      <c r="E119" s="4"/>
    </row>
    <row r="120" customFormat="false" ht="15" hidden="false" customHeight="false" outlineLevel="0" collapsed="false">
      <c r="A120" s="4"/>
      <c r="B120" s="4" t="str">
        <f aca="false">IF(A120="","","DEV"&amp;MID(A120,4,LEN(A120)-3))</f>
        <v/>
      </c>
      <c r="C120" s="4"/>
      <c r="D120" s="4"/>
      <c r="E120" s="4"/>
    </row>
    <row r="121" customFormat="false" ht="15" hidden="false" customHeight="false" outlineLevel="0" collapsed="false">
      <c r="A121" s="4"/>
      <c r="B121" s="4" t="str">
        <f aca="false">IF(A121="","","DEV"&amp;MID(A121,4,LEN(A121)-3))</f>
        <v/>
      </c>
      <c r="C121" s="4"/>
      <c r="D121" s="4"/>
      <c r="E121" s="4"/>
    </row>
    <row r="122" customFormat="false" ht="15" hidden="false" customHeight="false" outlineLevel="0" collapsed="false">
      <c r="A122" s="4"/>
      <c r="B122" s="4" t="str">
        <f aca="false">IF(A122="","","DEV"&amp;MID(A122,4,LEN(A122)-3))</f>
        <v/>
      </c>
      <c r="C122" s="4"/>
      <c r="D122" s="4"/>
      <c r="E122" s="4"/>
    </row>
    <row r="123" customFormat="false" ht="15" hidden="false" customHeight="false" outlineLevel="0" collapsed="false">
      <c r="A123" s="4"/>
      <c r="B123" s="4" t="str">
        <f aca="false">IF(A123="","","DEV"&amp;MID(A123,4,LEN(A123)-3))</f>
        <v/>
      </c>
      <c r="C123" s="4"/>
      <c r="D123" s="4"/>
      <c r="E123" s="4"/>
    </row>
    <row r="124" customFormat="false" ht="15" hidden="false" customHeight="false" outlineLevel="0" collapsed="false">
      <c r="A124" s="4"/>
      <c r="B124" s="4" t="str">
        <f aca="false">IF(A124="","","DEV"&amp;MID(A124,4,LEN(A124)-3))</f>
        <v/>
      </c>
      <c r="C124" s="4"/>
      <c r="D124" s="4"/>
      <c r="E124" s="4"/>
    </row>
    <row r="125" customFormat="false" ht="15" hidden="false" customHeight="false" outlineLevel="0" collapsed="false">
      <c r="A125" s="4"/>
      <c r="B125" s="4" t="str">
        <f aca="false">IF(A125="","","DEV"&amp;MID(A125,4,LEN(A125)-3))</f>
        <v/>
      </c>
      <c r="C125" s="4"/>
      <c r="D125" s="4"/>
      <c r="E125" s="4"/>
    </row>
    <row r="126" customFormat="false" ht="15" hidden="false" customHeight="false" outlineLevel="0" collapsed="false">
      <c r="A126" s="4"/>
      <c r="B126" s="4" t="str">
        <f aca="false">IF(A126="","","DEV"&amp;MID(A126,4,LEN(A126)-3))</f>
        <v/>
      </c>
      <c r="C126" s="4"/>
      <c r="D126" s="4"/>
      <c r="E126" s="4"/>
    </row>
    <row r="127" customFormat="false" ht="15" hidden="false" customHeight="false" outlineLevel="0" collapsed="false">
      <c r="A127" s="4"/>
      <c r="B127" s="4" t="str">
        <f aca="false">IF(A127="","","DEV"&amp;MID(A127,4,LEN(A127)-3))</f>
        <v/>
      </c>
      <c r="C127" s="4"/>
      <c r="D127" s="4"/>
      <c r="E127" s="4"/>
    </row>
    <row r="128" customFormat="false" ht="15" hidden="false" customHeight="false" outlineLevel="0" collapsed="false">
      <c r="A128" s="4"/>
      <c r="B128" s="4" t="str">
        <f aca="false">IF(A128="","","DEV"&amp;MID(A128,4,LEN(A128)-3))</f>
        <v/>
      </c>
      <c r="C128" s="4"/>
      <c r="D128" s="4"/>
      <c r="E128" s="4"/>
    </row>
    <row r="129" customFormat="false" ht="15" hidden="false" customHeight="false" outlineLevel="0" collapsed="false">
      <c r="A129" s="4"/>
      <c r="B129" s="4" t="str">
        <f aca="false">IF(A129="","","DEV"&amp;MID(A129,4,LEN(A129)-3))</f>
        <v/>
      </c>
      <c r="C129" s="4"/>
      <c r="D129" s="4"/>
      <c r="E129" s="4"/>
    </row>
    <row r="130" customFormat="false" ht="15" hidden="false" customHeight="false" outlineLevel="0" collapsed="false">
      <c r="A130" s="4"/>
      <c r="B130" s="4" t="str">
        <f aca="false">IF(A130="","","DEV"&amp;MID(A130,4,LEN(A130)-3))</f>
        <v/>
      </c>
      <c r="C130" s="4"/>
      <c r="D130" s="4"/>
      <c r="E130" s="4"/>
    </row>
    <row r="131" customFormat="false" ht="15" hidden="false" customHeight="false" outlineLevel="0" collapsed="false">
      <c r="A131" s="4"/>
      <c r="B131" s="4" t="str">
        <f aca="false">IF(A131="","","DEV"&amp;MID(A131,4,LEN(A131)-3))</f>
        <v/>
      </c>
      <c r="C131" s="4"/>
      <c r="D131" s="4"/>
      <c r="E131" s="4"/>
    </row>
    <row r="132" customFormat="false" ht="15" hidden="false" customHeight="false" outlineLevel="0" collapsed="false">
      <c r="A132" s="4"/>
      <c r="B132" s="4" t="str">
        <f aca="false">IF(A132="","","DEV"&amp;MID(A132,4,LEN(A132)-3))</f>
        <v/>
      </c>
      <c r="C132" s="4"/>
      <c r="D132" s="4"/>
      <c r="E132" s="4"/>
    </row>
    <row r="133" customFormat="false" ht="15" hidden="false" customHeight="false" outlineLevel="0" collapsed="false">
      <c r="A133" s="4"/>
      <c r="B133" s="4" t="str">
        <f aca="false">IF(A133="","","DEV"&amp;MID(A133,4,LEN(A133)-3))</f>
        <v/>
      </c>
      <c r="C133" s="4"/>
      <c r="D133" s="4"/>
      <c r="E133" s="4"/>
    </row>
    <row r="134" customFormat="false" ht="15" hidden="false" customHeight="false" outlineLevel="0" collapsed="false">
      <c r="A134" s="4"/>
      <c r="B134" s="4" t="str">
        <f aca="false">IF(A134="","","DEV"&amp;MID(A134,4,LEN(A134)-3))</f>
        <v/>
      </c>
      <c r="C134" s="4"/>
      <c r="D134" s="4"/>
      <c r="E134" s="4"/>
    </row>
    <row r="135" customFormat="false" ht="15" hidden="false" customHeight="false" outlineLevel="0" collapsed="false">
      <c r="A135" s="4"/>
      <c r="B135" s="4" t="str">
        <f aca="false">IF(A135="","","DEV"&amp;MID(A135,4,LEN(A135)-3))</f>
        <v/>
      </c>
      <c r="C135" s="4"/>
      <c r="D135" s="4"/>
      <c r="E135" s="4"/>
    </row>
    <row r="136" customFormat="false" ht="15" hidden="false" customHeight="false" outlineLevel="0" collapsed="false">
      <c r="A136" s="4"/>
      <c r="B136" s="4" t="str">
        <f aca="false">IF(A136="","","DEV"&amp;MID(A136,4,LEN(A136)-3))</f>
        <v/>
      </c>
      <c r="C136" s="4"/>
      <c r="D136" s="4"/>
      <c r="E136" s="4"/>
    </row>
    <row r="137" customFormat="false" ht="15" hidden="false" customHeight="false" outlineLevel="0" collapsed="false">
      <c r="A137" s="4"/>
      <c r="B137" s="4" t="str">
        <f aca="false">IF(A137="","","DEV"&amp;MID(A137,4,LEN(A137)-3))</f>
        <v/>
      </c>
      <c r="C137" s="4"/>
      <c r="D137" s="4"/>
      <c r="E137" s="4"/>
    </row>
    <row r="138" customFormat="false" ht="15" hidden="false" customHeight="false" outlineLevel="0" collapsed="false">
      <c r="A138" s="4"/>
      <c r="B138" s="4" t="str">
        <f aca="false">IF(A138="","","DEV"&amp;MID(A138,4,LEN(A138)-3))</f>
        <v/>
      </c>
      <c r="C138" s="4"/>
      <c r="D138" s="4"/>
      <c r="E138" s="4"/>
    </row>
    <row r="139" customFormat="false" ht="15" hidden="false" customHeight="false" outlineLevel="0" collapsed="false">
      <c r="A139" s="4"/>
      <c r="B139" s="4" t="str">
        <f aca="false">IF(A139="","","DEV"&amp;MID(A139,4,LEN(A139)-3))</f>
        <v/>
      </c>
      <c r="C139" s="4"/>
      <c r="D139" s="4"/>
      <c r="E139" s="4"/>
    </row>
    <row r="140" customFormat="false" ht="15" hidden="false" customHeight="false" outlineLevel="0" collapsed="false">
      <c r="A140" s="4"/>
      <c r="B140" s="4" t="str">
        <f aca="false">IF(A140="","","DEV"&amp;MID(A140,4,LEN(A140)-3))</f>
        <v/>
      </c>
      <c r="C140" s="4"/>
      <c r="D140" s="4"/>
      <c r="E140" s="4"/>
    </row>
    <row r="141" customFormat="false" ht="15" hidden="false" customHeight="false" outlineLevel="0" collapsed="false">
      <c r="A141" s="4"/>
      <c r="B141" s="4" t="str">
        <f aca="false">IF(A141="","","DEV"&amp;MID(A141,4,LEN(A141)-3))</f>
        <v/>
      </c>
      <c r="C141" s="4"/>
      <c r="D141" s="4"/>
      <c r="E141" s="4"/>
    </row>
    <row r="142" customFormat="false" ht="15" hidden="false" customHeight="false" outlineLevel="0" collapsed="false">
      <c r="A142" s="4"/>
      <c r="B142" s="4" t="str">
        <f aca="false">IF(A142="","","DEV"&amp;MID(A142,4,LEN(A142)-3))</f>
        <v/>
      </c>
      <c r="C142" s="4"/>
      <c r="D142" s="4"/>
      <c r="E142" s="4"/>
    </row>
    <row r="143" customFormat="false" ht="15" hidden="false" customHeight="false" outlineLevel="0" collapsed="false">
      <c r="A143" s="4"/>
      <c r="B143" s="4" t="str">
        <f aca="false">IF(A143="","","DEV"&amp;MID(A143,4,LEN(A143)-3))</f>
        <v/>
      </c>
      <c r="C143" s="4"/>
      <c r="D143" s="4"/>
      <c r="E143" s="4"/>
    </row>
    <row r="144" customFormat="false" ht="15" hidden="false" customHeight="false" outlineLevel="0" collapsed="false">
      <c r="A144" s="4"/>
      <c r="B144" s="4" t="str">
        <f aca="false">IF(A144="","","DEV"&amp;MID(A144,4,LEN(A144)-3))</f>
        <v/>
      </c>
      <c r="C144" s="4"/>
      <c r="D144" s="4"/>
      <c r="E144" s="4"/>
    </row>
    <row r="145" customFormat="false" ht="15" hidden="false" customHeight="false" outlineLevel="0" collapsed="false">
      <c r="A145" s="4"/>
      <c r="B145" s="4" t="str">
        <f aca="false">IF(A145="","","DEV"&amp;MID(A145,4,LEN(A145)-3))</f>
        <v/>
      </c>
      <c r="C145" s="4"/>
      <c r="D145" s="4"/>
      <c r="E145" s="4"/>
    </row>
    <row r="146" customFormat="false" ht="15" hidden="false" customHeight="false" outlineLevel="0" collapsed="false">
      <c r="A146" s="4"/>
      <c r="B146" s="4" t="str">
        <f aca="false">IF(A146="","","DEV"&amp;MID(A146,4,LEN(A146)-3))</f>
        <v/>
      </c>
      <c r="C146" s="4"/>
      <c r="D146" s="4"/>
      <c r="E146" s="4"/>
    </row>
    <row r="147" customFormat="false" ht="15" hidden="false" customHeight="false" outlineLevel="0" collapsed="false">
      <c r="A147" s="4"/>
      <c r="B147" s="4" t="str">
        <f aca="false">IF(A147="","","DEV"&amp;MID(A147,4,LEN(A147)-3))</f>
        <v/>
      </c>
      <c r="C147" s="4"/>
      <c r="D147" s="4"/>
      <c r="E147" s="4"/>
    </row>
    <row r="148" customFormat="false" ht="15" hidden="false" customHeight="false" outlineLevel="0" collapsed="false">
      <c r="A148" s="4"/>
      <c r="B148" s="4" t="str">
        <f aca="false">IF(A148="","","DEV"&amp;MID(A148,4,LEN(A148)-3))</f>
        <v/>
      </c>
      <c r="C148" s="4"/>
      <c r="D148" s="4"/>
      <c r="E148" s="4"/>
    </row>
    <row r="149" customFormat="false" ht="15" hidden="false" customHeight="false" outlineLevel="0" collapsed="false">
      <c r="A149" s="4"/>
      <c r="B149" s="4" t="str">
        <f aca="false">IF(A149="","","DEV"&amp;MID(A149,4,LEN(A149)-3))</f>
        <v/>
      </c>
      <c r="C149" s="4"/>
      <c r="D149" s="4"/>
      <c r="E149" s="4"/>
    </row>
    <row r="150" customFormat="false" ht="15" hidden="false" customHeight="false" outlineLevel="0" collapsed="false">
      <c r="A150" s="4"/>
      <c r="B150" s="4" t="str">
        <f aca="false">IF(A150="","","DEV"&amp;MID(A150,4,LEN(A150)-3))</f>
        <v/>
      </c>
      <c r="C150" s="4"/>
      <c r="D150" s="4"/>
      <c r="E150" s="4"/>
    </row>
    <row r="151" customFormat="false" ht="15" hidden="false" customHeight="false" outlineLevel="0" collapsed="false">
      <c r="A151" s="4"/>
      <c r="B151" s="4" t="str">
        <f aca="false">IF(A151="","","DEV"&amp;MID(A151,4,LEN(A151)-3))</f>
        <v/>
      </c>
      <c r="C151" s="4"/>
      <c r="D151" s="4"/>
      <c r="E151" s="4"/>
    </row>
    <row r="152" customFormat="false" ht="15" hidden="false" customHeight="false" outlineLevel="0" collapsed="false">
      <c r="A152" s="4"/>
      <c r="B152" s="4" t="str">
        <f aca="false">IF(A152="","","DEV"&amp;MID(A152,4,LEN(A152)-3))</f>
        <v/>
      </c>
      <c r="C152" s="4"/>
      <c r="D152" s="4"/>
      <c r="E152" s="4"/>
    </row>
    <row r="153" customFormat="false" ht="15" hidden="false" customHeight="false" outlineLevel="0" collapsed="false">
      <c r="A153" s="4"/>
      <c r="B153" s="4" t="str">
        <f aca="false">IF(A153="","","DEV"&amp;MID(A153,4,LEN(A153)-3))</f>
        <v/>
      </c>
      <c r="C153" s="4"/>
      <c r="D153" s="4"/>
      <c r="E153" s="4"/>
    </row>
    <row r="154" customFormat="false" ht="15" hidden="false" customHeight="false" outlineLevel="0" collapsed="false">
      <c r="A154" s="4"/>
      <c r="B154" s="4" t="str">
        <f aca="false">IF(A154="","","DEV"&amp;MID(A154,4,LEN(A154)-3))</f>
        <v/>
      </c>
      <c r="C154" s="4"/>
      <c r="D154" s="4"/>
      <c r="E154" s="4"/>
    </row>
    <row r="155" customFormat="false" ht="15" hidden="false" customHeight="false" outlineLevel="0" collapsed="false">
      <c r="A155" s="4"/>
      <c r="B155" s="4" t="str">
        <f aca="false">IF(A155="","","DEV"&amp;MID(A155,4,LEN(A155)-3))</f>
        <v/>
      </c>
      <c r="C155" s="4"/>
      <c r="D155" s="4"/>
      <c r="E155" s="4"/>
    </row>
    <row r="156" customFormat="false" ht="15" hidden="false" customHeight="false" outlineLevel="0" collapsed="false">
      <c r="A156" s="4"/>
      <c r="B156" s="4" t="str">
        <f aca="false">IF(A156="","","DEV"&amp;MID(A156,4,LEN(A156)-3))</f>
        <v/>
      </c>
      <c r="C156" s="4"/>
      <c r="D156" s="4"/>
      <c r="E156" s="4"/>
    </row>
    <row r="157" customFormat="false" ht="15" hidden="false" customHeight="false" outlineLevel="0" collapsed="false">
      <c r="A157" s="4"/>
      <c r="B157" s="4" t="str">
        <f aca="false">IF(A157="","","DEV"&amp;MID(A157,4,LEN(A157)-3))</f>
        <v/>
      </c>
      <c r="C157" s="4"/>
      <c r="D157" s="4"/>
      <c r="E157" s="4"/>
    </row>
    <row r="158" customFormat="false" ht="15" hidden="false" customHeight="false" outlineLevel="0" collapsed="false">
      <c r="A158" s="4"/>
      <c r="B158" s="4" t="str">
        <f aca="false">IF(A158="","","DEV"&amp;MID(A158,4,LEN(A158)-3))</f>
        <v/>
      </c>
      <c r="C158" s="4"/>
      <c r="D158" s="4"/>
      <c r="E158" s="4"/>
    </row>
    <row r="159" customFormat="false" ht="15" hidden="false" customHeight="false" outlineLevel="0" collapsed="false">
      <c r="A159" s="4"/>
      <c r="B159" s="4" t="str">
        <f aca="false">IF(A159="","","DEV"&amp;MID(A159,4,LEN(A159)-3))</f>
        <v/>
      </c>
      <c r="C159" s="4"/>
      <c r="D159" s="4"/>
      <c r="E159" s="4"/>
    </row>
    <row r="160" customFormat="false" ht="15" hidden="false" customHeight="false" outlineLevel="0" collapsed="false">
      <c r="A160" s="4"/>
      <c r="B160" s="4" t="str">
        <f aca="false">IF(A160="","","DEV"&amp;MID(A160,4,LEN(A160)-3))</f>
        <v/>
      </c>
      <c r="C160" s="4"/>
      <c r="D160" s="4"/>
      <c r="E160" s="4"/>
    </row>
    <row r="161" customFormat="false" ht="15" hidden="false" customHeight="false" outlineLevel="0" collapsed="false">
      <c r="A161" s="4"/>
      <c r="B161" s="4" t="str">
        <f aca="false">IF(A161="","","DEV"&amp;MID(A161,4,LEN(A161)-3))</f>
        <v/>
      </c>
      <c r="C161" s="4"/>
      <c r="D161" s="4"/>
      <c r="E161" s="4"/>
    </row>
    <row r="162" customFormat="false" ht="15" hidden="false" customHeight="false" outlineLevel="0" collapsed="false">
      <c r="A162" s="4"/>
      <c r="B162" s="4" t="str">
        <f aca="false">IF(A162="","","DEV"&amp;MID(A162,4,LEN(A162)-3))</f>
        <v/>
      </c>
      <c r="C162" s="4"/>
      <c r="D162" s="4"/>
      <c r="E162" s="4"/>
    </row>
    <row r="163" customFormat="false" ht="15" hidden="false" customHeight="false" outlineLevel="0" collapsed="false">
      <c r="A163" s="4"/>
      <c r="B163" s="4" t="str">
        <f aca="false">IF(A163="","","DEV"&amp;MID(A163,4,LEN(A163)-3))</f>
        <v/>
      </c>
      <c r="C163" s="4"/>
      <c r="D163" s="4"/>
      <c r="E163" s="4"/>
    </row>
    <row r="164" customFormat="false" ht="15" hidden="false" customHeight="false" outlineLevel="0" collapsed="false">
      <c r="A164" s="4"/>
      <c r="B164" s="4" t="str">
        <f aca="false">IF(A164="","","DEV"&amp;MID(A164,4,LEN(A164)-3))</f>
        <v/>
      </c>
      <c r="C164" s="4"/>
      <c r="D164" s="4"/>
      <c r="E164" s="4"/>
    </row>
    <row r="165" customFormat="false" ht="15" hidden="false" customHeight="false" outlineLevel="0" collapsed="false">
      <c r="A165" s="4"/>
      <c r="B165" s="4" t="str">
        <f aca="false">IF(A165="","","DEV"&amp;MID(A165,4,LEN(A165)-3))</f>
        <v/>
      </c>
      <c r="C165" s="4"/>
      <c r="D165" s="4"/>
      <c r="E165" s="4"/>
    </row>
    <row r="166" customFormat="false" ht="15" hidden="false" customHeight="false" outlineLevel="0" collapsed="false">
      <c r="A166" s="4"/>
      <c r="B166" s="4" t="str">
        <f aca="false">IF(A166="","","DEV"&amp;MID(A166,4,LEN(A166)-3))</f>
        <v/>
      </c>
      <c r="C166" s="4"/>
      <c r="D166" s="4"/>
      <c r="E166" s="4"/>
    </row>
    <row r="167" customFormat="false" ht="15" hidden="false" customHeight="false" outlineLevel="0" collapsed="false">
      <c r="A167" s="4"/>
      <c r="B167" s="4" t="str">
        <f aca="false">IF(A167="","","DEV"&amp;MID(A167,4,LEN(A167)-3))</f>
        <v/>
      </c>
      <c r="C167" s="4"/>
      <c r="D167" s="4"/>
      <c r="E167" s="4"/>
    </row>
    <row r="168" customFormat="false" ht="15" hidden="false" customHeight="false" outlineLevel="0" collapsed="false">
      <c r="A168" s="4"/>
      <c r="B168" s="4" t="str">
        <f aca="false">IF(A168="","","DEV"&amp;MID(A168,4,LEN(A168)-3))</f>
        <v/>
      </c>
      <c r="C168" s="4"/>
      <c r="D168" s="4"/>
      <c r="E168" s="4"/>
    </row>
    <row r="169" customFormat="false" ht="15" hidden="false" customHeight="false" outlineLevel="0" collapsed="false">
      <c r="A169" s="4"/>
      <c r="B169" s="4" t="str">
        <f aca="false">IF(A169="","","DEV"&amp;MID(A169,4,LEN(A169)-3))</f>
        <v/>
      </c>
      <c r="C169" s="4"/>
      <c r="D169" s="4"/>
      <c r="E169" s="4"/>
    </row>
    <row r="170" customFormat="false" ht="15" hidden="false" customHeight="false" outlineLevel="0" collapsed="false">
      <c r="A170" s="4"/>
      <c r="B170" s="4" t="str">
        <f aca="false">IF(A170="","","DEV"&amp;MID(A170,4,LEN(A170)-3))</f>
        <v/>
      </c>
      <c r="C170" s="4"/>
      <c r="D170" s="4"/>
      <c r="E170" s="4"/>
    </row>
    <row r="171" customFormat="false" ht="15" hidden="false" customHeight="false" outlineLevel="0" collapsed="false">
      <c r="A171" s="4"/>
      <c r="B171" s="4" t="str">
        <f aca="false">IF(A171="","","DEV"&amp;MID(A171,4,LEN(A171)-3))</f>
        <v/>
      </c>
      <c r="C171" s="4"/>
      <c r="D171" s="4"/>
      <c r="E171" s="4"/>
    </row>
    <row r="172" customFormat="false" ht="15" hidden="false" customHeight="false" outlineLevel="0" collapsed="false">
      <c r="A172" s="4"/>
      <c r="B172" s="4" t="str">
        <f aca="false">IF(A172="","","DEV"&amp;MID(A172,4,LEN(A172)-3))</f>
        <v/>
      </c>
      <c r="C172" s="4"/>
      <c r="D172" s="4"/>
      <c r="E172" s="4"/>
    </row>
    <row r="173" customFormat="false" ht="15" hidden="false" customHeight="false" outlineLevel="0" collapsed="false">
      <c r="A173" s="4"/>
      <c r="B173" s="4" t="str">
        <f aca="false">IF(A173="","","DEV"&amp;MID(A173,4,LEN(A173)-3))</f>
        <v/>
      </c>
      <c r="C173" s="4"/>
      <c r="D173" s="4"/>
      <c r="E173" s="4"/>
    </row>
    <row r="174" customFormat="false" ht="15" hidden="false" customHeight="false" outlineLevel="0" collapsed="false">
      <c r="A174" s="4"/>
      <c r="B174" s="4" t="str">
        <f aca="false">IF(A174="","","DEV"&amp;MID(A174,4,LEN(A174)-3))</f>
        <v/>
      </c>
      <c r="C174" s="4"/>
      <c r="D174" s="4"/>
      <c r="E174" s="4"/>
    </row>
    <row r="175" customFormat="false" ht="15" hidden="false" customHeight="false" outlineLevel="0" collapsed="false">
      <c r="A175" s="4"/>
      <c r="B175" s="4" t="str">
        <f aca="false">IF(A175="","","DEV"&amp;MID(A175,4,LEN(A175)-3))</f>
        <v/>
      </c>
      <c r="C175" s="4"/>
      <c r="D175" s="4"/>
      <c r="E175" s="4"/>
    </row>
    <row r="176" customFormat="false" ht="15" hidden="false" customHeight="false" outlineLevel="0" collapsed="false">
      <c r="A176" s="4"/>
      <c r="B176" s="4" t="str">
        <f aca="false">IF(A176="","","DEV"&amp;MID(A176,4,LEN(A176)-3))</f>
        <v/>
      </c>
      <c r="C176" s="4"/>
      <c r="D176" s="4"/>
      <c r="E176" s="4"/>
    </row>
    <row r="177" customFormat="false" ht="15" hidden="false" customHeight="false" outlineLevel="0" collapsed="false">
      <c r="A177" s="4"/>
      <c r="B177" s="4" t="str">
        <f aca="false">IF(A177="","","DEV"&amp;MID(A177,4,LEN(A177)-3))</f>
        <v/>
      </c>
      <c r="C177" s="4"/>
      <c r="D177" s="4"/>
      <c r="E177" s="4"/>
    </row>
    <row r="178" customFormat="false" ht="15" hidden="false" customHeight="false" outlineLevel="0" collapsed="false">
      <c r="A178" s="4"/>
      <c r="B178" s="4" t="str">
        <f aca="false">IF(A178="","","DEV"&amp;MID(A178,4,LEN(A178)-3))</f>
        <v/>
      </c>
      <c r="C178" s="4"/>
      <c r="D178" s="4"/>
      <c r="E178" s="4"/>
    </row>
    <row r="179" customFormat="false" ht="15" hidden="false" customHeight="false" outlineLevel="0" collapsed="false">
      <c r="A179" s="4"/>
      <c r="B179" s="4" t="str">
        <f aca="false">IF(A179="","","DEV"&amp;MID(A179,4,LEN(A179)-3))</f>
        <v/>
      </c>
      <c r="C179" s="4"/>
      <c r="D179" s="4"/>
      <c r="E179" s="4"/>
    </row>
    <row r="180" customFormat="false" ht="15" hidden="false" customHeight="false" outlineLevel="0" collapsed="false">
      <c r="A180" s="4"/>
      <c r="B180" s="4" t="str">
        <f aca="false">IF(A180="","","DEV"&amp;MID(A180,4,LEN(A180)-3))</f>
        <v/>
      </c>
      <c r="C180" s="4"/>
      <c r="D180" s="4"/>
      <c r="E180" s="4"/>
    </row>
    <row r="181" customFormat="false" ht="15" hidden="false" customHeight="false" outlineLevel="0" collapsed="false">
      <c r="A181" s="4"/>
      <c r="B181" s="4" t="str">
        <f aca="false">IF(A181="","","DEV"&amp;MID(A181,4,LEN(A181)-3))</f>
        <v/>
      </c>
      <c r="C181" s="4"/>
      <c r="D181" s="4"/>
      <c r="E181" s="4"/>
    </row>
    <row r="182" customFormat="false" ht="15" hidden="false" customHeight="false" outlineLevel="0" collapsed="false">
      <c r="A182" s="4"/>
      <c r="B182" s="4" t="str">
        <f aca="false">IF(A182="","","DEV"&amp;MID(A182,4,LEN(A182)-3))</f>
        <v/>
      </c>
      <c r="C182" s="4"/>
      <c r="D182" s="4"/>
      <c r="E182" s="4"/>
    </row>
    <row r="183" customFormat="false" ht="15" hidden="false" customHeight="false" outlineLevel="0" collapsed="false">
      <c r="A183" s="4"/>
      <c r="B183" s="4" t="str">
        <f aca="false">IF(A183="","","DEV"&amp;MID(A183,4,LEN(A183)-3))</f>
        <v/>
      </c>
      <c r="C183" s="4"/>
      <c r="D183" s="4"/>
      <c r="E183" s="4"/>
    </row>
    <row r="184" customFormat="false" ht="15" hidden="false" customHeight="false" outlineLevel="0" collapsed="false">
      <c r="A184" s="4"/>
      <c r="B184" s="4" t="str">
        <f aca="false">IF(A184="","","DEV"&amp;MID(A184,4,LEN(A184)-3))</f>
        <v/>
      </c>
      <c r="C184" s="4"/>
      <c r="D184" s="4"/>
      <c r="E184" s="4"/>
    </row>
    <row r="185" customFormat="false" ht="15" hidden="false" customHeight="false" outlineLevel="0" collapsed="false">
      <c r="A185" s="4"/>
      <c r="B185" s="4" t="str">
        <f aca="false">IF(A185="","","DEV"&amp;MID(A185,4,LEN(A185)-3))</f>
        <v/>
      </c>
      <c r="C185" s="4"/>
      <c r="D185" s="4"/>
      <c r="E185" s="4"/>
    </row>
    <row r="186" customFormat="false" ht="15" hidden="false" customHeight="false" outlineLevel="0" collapsed="false">
      <c r="A186" s="4"/>
      <c r="B186" s="4" t="str">
        <f aca="false">IF(A186="","","DEV"&amp;MID(A186,4,LEN(A186)-3))</f>
        <v/>
      </c>
      <c r="C186" s="4"/>
      <c r="D186" s="4"/>
      <c r="E186" s="4"/>
    </row>
    <row r="187" customFormat="false" ht="15" hidden="false" customHeight="false" outlineLevel="0" collapsed="false">
      <c r="A187" s="4"/>
      <c r="B187" s="4" t="str">
        <f aca="false">IF(A187="","","DEV"&amp;MID(A187,4,LEN(A187)-3))</f>
        <v/>
      </c>
      <c r="C187" s="4"/>
      <c r="D187" s="4"/>
      <c r="E187" s="4"/>
    </row>
    <row r="188" customFormat="false" ht="15" hidden="false" customHeight="false" outlineLevel="0" collapsed="false">
      <c r="A188" s="4"/>
      <c r="B188" s="4" t="str">
        <f aca="false">IF(A188="","","DEV"&amp;MID(A188,4,LEN(A188)-3))</f>
        <v/>
      </c>
      <c r="C188" s="4"/>
      <c r="D188" s="4"/>
      <c r="E188" s="4"/>
    </row>
    <row r="189" customFormat="false" ht="15" hidden="false" customHeight="false" outlineLevel="0" collapsed="false">
      <c r="A189" s="4"/>
      <c r="B189" s="4" t="str">
        <f aca="false">IF(A189="","","DEV"&amp;MID(A189,4,LEN(A189)-3))</f>
        <v/>
      </c>
      <c r="C189" s="4"/>
      <c r="D189" s="4"/>
      <c r="E189" s="4"/>
    </row>
    <row r="190" customFormat="false" ht="15" hidden="false" customHeight="false" outlineLevel="0" collapsed="false">
      <c r="A190" s="4"/>
      <c r="B190" s="4" t="str">
        <f aca="false">IF(A190="","","DEV"&amp;MID(A190,4,LEN(A190)-3))</f>
        <v/>
      </c>
      <c r="C190" s="4"/>
      <c r="D190" s="4"/>
      <c r="E190" s="4"/>
    </row>
    <row r="191" customFormat="false" ht="15" hidden="false" customHeight="false" outlineLevel="0" collapsed="false">
      <c r="A191" s="4"/>
      <c r="B191" s="4" t="str">
        <f aca="false">IF(A191="","","DEV"&amp;MID(A191,4,LEN(A191)-3))</f>
        <v/>
      </c>
      <c r="C191" s="4"/>
      <c r="D191" s="4"/>
      <c r="E191" s="4"/>
    </row>
    <row r="192" customFormat="false" ht="15" hidden="false" customHeight="false" outlineLevel="0" collapsed="false">
      <c r="A192" s="4"/>
      <c r="B192" s="4" t="str">
        <f aca="false">IF(A192="","","DEV"&amp;MID(A192,4,LEN(A192)-3))</f>
        <v/>
      </c>
      <c r="C192" s="4"/>
      <c r="D192" s="4"/>
      <c r="E192" s="4"/>
    </row>
    <row r="193" customFormat="false" ht="15" hidden="false" customHeight="false" outlineLevel="0" collapsed="false">
      <c r="A193" s="4"/>
      <c r="B193" s="4" t="str">
        <f aca="false">IF(A193="","","DEV"&amp;MID(A193,4,LEN(A193)-3))</f>
        <v/>
      </c>
      <c r="C193" s="4"/>
      <c r="D193" s="4"/>
      <c r="E193" s="4"/>
    </row>
    <row r="194" customFormat="false" ht="15" hidden="false" customHeight="false" outlineLevel="0" collapsed="false">
      <c r="A194" s="4"/>
      <c r="B194" s="4" t="str">
        <f aca="false">IF(A194="","","DEV"&amp;MID(A194,4,LEN(A194)-3))</f>
        <v/>
      </c>
      <c r="C194" s="4"/>
      <c r="D194" s="4"/>
      <c r="E194" s="4"/>
    </row>
    <row r="195" customFormat="false" ht="15" hidden="false" customHeight="false" outlineLevel="0" collapsed="false">
      <c r="A195" s="4"/>
      <c r="B195" s="4" t="str">
        <f aca="false">IF(A195="","","DEV"&amp;MID(A195,4,LEN(A195)-3))</f>
        <v/>
      </c>
      <c r="C195" s="4"/>
      <c r="D195" s="4"/>
      <c r="E195" s="4"/>
    </row>
    <row r="196" customFormat="false" ht="15" hidden="false" customHeight="false" outlineLevel="0" collapsed="false">
      <c r="A196" s="4"/>
      <c r="B196" s="4" t="str">
        <f aca="false">IF(A196="","","DEV"&amp;MID(A196,4,LEN(A196)-3))</f>
        <v/>
      </c>
      <c r="C196" s="4"/>
      <c r="D196" s="4"/>
      <c r="E196" s="4"/>
    </row>
    <row r="197" customFormat="false" ht="15" hidden="false" customHeight="false" outlineLevel="0" collapsed="false">
      <c r="A197" s="4"/>
      <c r="B197" s="4" t="str">
        <f aca="false">IF(A197="","","DEV"&amp;MID(A197,4,LEN(A197)-3))</f>
        <v/>
      </c>
      <c r="C197" s="4"/>
      <c r="D197" s="4"/>
      <c r="E197" s="4"/>
    </row>
    <row r="198" customFormat="false" ht="15" hidden="false" customHeight="false" outlineLevel="0" collapsed="false">
      <c r="A198" s="4"/>
      <c r="B198" s="4" t="str">
        <f aca="false">IF(A198="","","DEV"&amp;MID(A198,4,LEN(A198)-3))</f>
        <v/>
      </c>
      <c r="C198" s="4"/>
      <c r="D198" s="4"/>
      <c r="E198" s="4"/>
    </row>
    <row r="199" customFormat="false" ht="15" hidden="false" customHeight="false" outlineLevel="0" collapsed="false">
      <c r="A199" s="4"/>
      <c r="B199" s="4" t="str">
        <f aca="false">IF(A199="","","DEV"&amp;MID(A199,4,LEN(A199)-3))</f>
        <v/>
      </c>
      <c r="C199" s="4"/>
      <c r="D199" s="4"/>
      <c r="E199" s="4"/>
    </row>
    <row r="200" customFormat="false" ht="15" hidden="false" customHeight="false" outlineLevel="0" collapsed="false">
      <c r="A200" s="4"/>
      <c r="B200" s="4" t="str">
        <f aca="false">IF(A200="","","DEV"&amp;MID(A200,4,LEN(A200)-3))</f>
        <v/>
      </c>
      <c r="C200" s="4"/>
      <c r="D200" s="4"/>
      <c r="E200" s="4"/>
    </row>
    <row r="201" customFormat="false" ht="15" hidden="false" customHeight="false" outlineLevel="0" collapsed="false">
      <c r="A201" s="4"/>
      <c r="B201" s="4" t="str">
        <f aca="false">IF(A201="","","DEV"&amp;MID(A201,4,LEN(A201)-3))</f>
        <v/>
      </c>
      <c r="C201" s="4"/>
      <c r="D201" s="4"/>
      <c r="E201" s="4"/>
    </row>
    <row r="202" customFormat="false" ht="15" hidden="false" customHeight="false" outlineLevel="0" collapsed="false">
      <c r="A202" s="4"/>
      <c r="B202" s="4" t="str">
        <f aca="false">IF(A202="","","DEV"&amp;MID(A202,4,LEN(A202)-3))</f>
        <v/>
      </c>
      <c r="C202" s="4"/>
      <c r="D202" s="4"/>
      <c r="E202" s="4"/>
    </row>
    <row r="203" customFormat="false" ht="15" hidden="false" customHeight="false" outlineLevel="0" collapsed="false">
      <c r="A203" s="4"/>
      <c r="B203" s="4" t="str">
        <f aca="false">IF(A203="","","DEV"&amp;MID(A203,4,LEN(A203)-3))</f>
        <v/>
      </c>
      <c r="C203" s="4"/>
      <c r="D203" s="4"/>
      <c r="E203" s="4"/>
    </row>
    <row r="204" customFormat="false" ht="15" hidden="false" customHeight="false" outlineLevel="0" collapsed="false">
      <c r="A204" s="4"/>
      <c r="B204" s="4" t="str">
        <f aca="false">IF(A204="","","DEV"&amp;MID(A204,4,LEN(A204)-3))</f>
        <v/>
      </c>
      <c r="C204" s="4"/>
      <c r="D204" s="4"/>
      <c r="E204" s="4"/>
    </row>
    <row r="205" customFormat="false" ht="15" hidden="false" customHeight="false" outlineLevel="0" collapsed="false">
      <c r="A205" s="4"/>
      <c r="B205" s="4" t="str">
        <f aca="false">IF(A205="","","DEV"&amp;MID(A205,4,LEN(A205)-3))</f>
        <v/>
      </c>
      <c r="C205" s="4"/>
      <c r="D205" s="4"/>
      <c r="E205" s="4"/>
    </row>
    <row r="206" customFormat="false" ht="15" hidden="false" customHeight="false" outlineLevel="0" collapsed="false">
      <c r="A206" s="4"/>
      <c r="B206" s="4" t="str">
        <f aca="false">IF(A206="","","DEV"&amp;MID(A206,4,LEN(A206)-3))</f>
        <v/>
      </c>
      <c r="C206" s="4"/>
      <c r="D206" s="4"/>
      <c r="E206" s="4"/>
    </row>
    <row r="207" customFormat="false" ht="15" hidden="false" customHeight="false" outlineLevel="0" collapsed="false">
      <c r="A207" s="4"/>
      <c r="B207" s="4" t="str">
        <f aca="false">IF(A207="","","DEV"&amp;MID(A207,4,LEN(A207)-3))</f>
        <v/>
      </c>
      <c r="C207" s="4"/>
      <c r="D207" s="4"/>
      <c r="E207" s="4"/>
    </row>
    <row r="208" customFormat="false" ht="15" hidden="false" customHeight="false" outlineLevel="0" collapsed="false">
      <c r="A208" s="4"/>
      <c r="B208" s="4" t="str">
        <f aca="false">IF(A208="","","DEV"&amp;MID(A208,4,LEN(A208)-3))</f>
        <v/>
      </c>
      <c r="C208" s="4"/>
      <c r="D208" s="4"/>
      <c r="E208" s="4"/>
    </row>
    <row r="209" customFormat="false" ht="15" hidden="false" customHeight="false" outlineLevel="0" collapsed="false">
      <c r="A209" s="4"/>
      <c r="B209" s="4" t="str">
        <f aca="false">IF(A209="","","DEV"&amp;MID(A209,4,LEN(A209)-3))</f>
        <v/>
      </c>
      <c r="C209" s="4"/>
      <c r="D209" s="4"/>
      <c r="E209" s="4"/>
    </row>
    <row r="210" customFormat="false" ht="15" hidden="false" customHeight="false" outlineLevel="0" collapsed="false">
      <c r="A210" s="4"/>
      <c r="B210" s="4" t="str">
        <f aca="false">IF(A210="","","DEV"&amp;MID(A210,4,LEN(A210)-3))</f>
        <v/>
      </c>
      <c r="C210" s="4"/>
      <c r="D210" s="4"/>
      <c r="E210" s="4"/>
    </row>
    <row r="211" customFormat="false" ht="15" hidden="false" customHeight="false" outlineLevel="0" collapsed="false">
      <c r="A211" s="4"/>
      <c r="B211" s="4" t="str">
        <f aca="false">IF(A211="","","DEV"&amp;MID(A211,4,LEN(A211)-3))</f>
        <v/>
      </c>
      <c r="C211" s="4"/>
      <c r="D211" s="4"/>
      <c r="E211" s="4"/>
    </row>
    <row r="212" customFormat="false" ht="15" hidden="false" customHeight="false" outlineLevel="0" collapsed="false">
      <c r="A212" s="4"/>
      <c r="B212" s="4" t="str">
        <f aca="false">IF(A212="","","DEV"&amp;MID(A212,4,LEN(A212)-3))</f>
        <v/>
      </c>
      <c r="C212" s="4"/>
      <c r="D212" s="4"/>
      <c r="E212" s="4"/>
    </row>
    <row r="213" customFormat="false" ht="15" hidden="false" customHeight="false" outlineLevel="0" collapsed="false">
      <c r="A213" s="4"/>
      <c r="B213" s="4" t="str">
        <f aca="false">IF(A213="","","DEV"&amp;MID(A213,4,LEN(A213)-3))</f>
        <v/>
      </c>
      <c r="C213" s="4"/>
      <c r="D213" s="4"/>
      <c r="E213" s="4"/>
    </row>
    <row r="214" customFormat="false" ht="15" hidden="false" customHeight="false" outlineLevel="0" collapsed="false">
      <c r="A214" s="4"/>
      <c r="B214" s="4" t="str">
        <f aca="false">IF(A214="","","DEV"&amp;MID(A214,4,LEN(A214)-3))</f>
        <v/>
      </c>
      <c r="C214" s="4"/>
      <c r="D214" s="4"/>
      <c r="E214" s="4"/>
    </row>
    <row r="215" customFormat="false" ht="15" hidden="false" customHeight="false" outlineLevel="0" collapsed="false">
      <c r="A215" s="4"/>
      <c r="B215" s="4" t="str">
        <f aca="false">IF(A215="","","DEV"&amp;MID(A215,4,LEN(A215)-3))</f>
        <v/>
      </c>
      <c r="C215" s="4"/>
      <c r="D215" s="4"/>
      <c r="E215" s="4"/>
    </row>
    <row r="216" customFormat="false" ht="15" hidden="false" customHeight="false" outlineLevel="0" collapsed="false">
      <c r="A216" s="4"/>
      <c r="B216" s="4" t="str">
        <f aca="false">IF(A216="","","DEV"&amp;MID(A216,4,LEN(A216)-3))</f>
        <v/>
      </c>
      <c r="C216" s="4"/>
      <c r="D216" s="4"/>
      <c r="E216" s="4"/>
    </row>
    <row r="217" customFormat="false" ht="15" hidden="false" customHeight="false" outlineLevel="0" collapsed="false">
      <c r="A217" s="4"/>
      <c r="B217" s="4" t="str">
        <f aca="false">IF(A217="","","DEV"&amp;MID(A217,4,LEN(A217)-3))</f>
        <v/>
      </c>
      <c r="C217" s="4"/>
      <c r="D217" s="4"/>
      <c r="E217" s="4"/>
    </row>
    <row r="218" customFormat="false" ht="15" hidden="false" customHeight="false" outlineLevel="0" collapsed="false">
      <c r="A218" s="4"/>
      <c r="B218" s="4" t="str">
        <f aca="false">IF(A218="","","DEV"&amp;MID(A218,4,LEN(A218)-3))</f>
        <v/>
      </c>
      <c r="C218" s="4"/>
      <c r="D218" s="4"/>
      <c r="E218" s="4"/>
    </row>
    <row r="219" customFormat="false" ht="15" hidden="false" customHeight="false" outlineLevel="0" collapsed="false">
      <c r="A219" s="4"/>
      <c r="B219" s="4" t="str">
        <f aca="false">IF(A219="","","DEV"&amp;MID(A219,4,LEN(A219)-3))</f>
        <v/>
      </c>
      <c r="C219" s="4"/>
      <c r="D219" s="4"/>
      <c r="E219" s="4"/>
    </row>
    <row r="220" customFormat="false" ht="15" hidden="false" customHeight="false" outlineLevel="0" collapsed="false">
      <c r="A220" s="4"/>
      <c r="B220" s="4" t="str">
        <f aca="false">IF(A220="","","DEV"&amp;MID(A220,4,LEN(A220)-3))</f>
        <v/>
      </c>
      <c r="C220" s="4"/>
      <c r="D220" s="4"/>
      <c r="E220" s="4"/>
    </row>
    <row r="221" customFormat="false" ht="15" hidden="false" customHeight="false" outlineLevel="0" collapsed="false">
      <c r="A221" s="4"/>
      <c r="B221" s="4" t="str">
        <f aca="false">IF(A221="","","DEV"&amp;MID(A221,4,LEN(A221)-3))</f>
        <v/>
      </c>
      <c r="C221" s="4"/>
      <c r="D221" s="4"/>
      <c r="E221" s="4"/>
    </row>
    <row r="222" customFormat="false" ht="15" hidden="false" customHeight="false" outlineLevel="0" collapsed="false">
      <c r="A222" s="4"/>
      <c r="B222" s="4" t="str">
        <f aca="false">IF(A222="","","DEV"&amp;MID(A222,4,LEN(A222)-3))</f>
        <v/>
      </c>
      <c r="C222" s="4"/>
      <c r="D222" s="4"/>
      <c r="E222" s="4"/>
    </row>
    <row r="223" customFormat="false" ht="15" hidden="false" customHeight="false" outlineLevel="0" collapsed="false">
      <c r="A223" s="4"/>
      <c r="B223" s="4" t="str">
        <f aca="false">IF(A223="","","DEV"&amp;MID(A223,4,LEN(A223)-3))</f>
        <v/>
      </c>
      <c r="C223" s="4"/>
      <c r="D223" s="4"/>
      <c r="E223" s="4"/>
    </row>
    <row r="224" customFormat="false" ht="15" hidden="false" customHeight="false" outlineLevel="0" collapsed="false">
      <c r="A224" s="4"/>
      <c r="B224" s="4" t="str">
        <f aca="false">IF(A224="","","DEV"&amp;MID(A224,4,LEN(A224)-3))</f>
        <v/>
      </c>
      <c r="C224" s="4"/>
      <c r="D224" s="4"/>
      <c r="E224" s="4"/>
    </row>
    <row r="225" customFormat="false" ht="15" hidden="false" customHeight="false" outlineLevel="0" collapsed="false">
      <c r="A225" s="4"/>
      <c r="B225" s="4" t="str">
        <f aca="false">IF(A225="","","DEV"&amp;MID(A225,4,LEN(A225)-3))</f>
        <v/>
      </c>
      <c r="C225" s="4"/>
      <c r="D225" s="4"/>
      <c r="E225" s="4"/>
    </row>
    <row r="226" customFormat="false" ht="15" hidden="false" customHeight="false" outlineLevel="0" collapsed="false">
      <c r="A226" s="4"/>
      <c r="B226" s="4" t="str">
        <f aca="false">IF(A226="","","DEV"&amp;MID(A226,4,LEN(A226)-3))</f>
        <v/>
      </c>
      <c r="C226" s="4"/>
      <c r="D226" s="4"/>
      <c r="E226" s="4"/>
    </row>
    <row r="227" customFormat="false" ht="15" hidden="false" customHeight="false" outlineLevel="0" collapsed="false">
      <c r="A227" s="4"/>
      <c r="B227" s="4" t="str">
        <f aca="false">IF(A227="","","DEV"&amp;MID(A227,4,LEN(A227)-3))</f>
        <v/>
      </c>
      <c r="C227" s="4"/>
      <c r="D227" s="4"/>
      <c r="E227" s="4"/>
    </row>
    <row r="228" customFormat="false" ht="15" hidden="false" customHeight="false" outlineLevel="0" collapsed="false">
      <c r="A228" s="4"/>
      <c r="B228" s="4" t="str">
        <f aca="false">IF(A228="","","DEV"&amp;MID(A228,4,LEN(A228)-3))</f>
        <v/>
      </c>
      <c r="C228" s="4"/>
      <c r="D228" s="4"/>
      <c r="E228" s="4"/>
    </row>
    <row r="229" customFormat="false" ht="15" hidden="false" customHeight="false" outlineLevel="0" collapsed="false">
      <c r="A229" s="4"/>
      <c r="B229" s="4" t="str">
        <f aca="false">IF(A229="","","DEV"&amp;MID(A229,4,LEN(A229)-3))</f>
        <v/>
      </c>
      <c r="C229" s="4"/>
      <c r="D229" s="4"/>
      <c r="E229" s="4"/>
    </row>
    <row r="230" customFormat="false" ht="15" hidden="false" customHeight="false" outlineLevel="0" collapsed="false">
      <c r="A230" s="4"/>
      <c r="B230" s="4" t="str">
        <f aca="false">IF(A230="","","DEV"&amp;MID(A230,4,LEN(A230)-3))</f>
        <v/>
      </c>
      <c r="C230" s="4"/>
      <c r="D230" s="4"/>
      <c r="E230" s="4"/>
    </row>
    <row r="231" customFormat="false" ht="15" hidden="false" customHeight="false" outlineLevel="0" collapsed="false">
      <c r="A231" s="4"/>
      <c r="B231" s="4" t="str">
        <f aca="false">IF(A231="","","DEV"&amp;MID(A231,4,LEN(A231)-3))</f>
        <v/>
      </c>
      <c r="C231" s="4"/>
      <c r="D231" s="4"/>
      <c r="E231" s="4"/>
    </row>
    <row r="232" customFormat="false" ht="15" hidden="false" customHeight="false" outlineLevel="0" collapsed="false">
      <c r="A232" s="4"/>
      <c r="B232" s="4" t="str">
        <f aca="false">IF(A232="","","DEV"&amp;MID(A232,4,LEN(A232)-3))</f>
        <v/>
      </c>
      <c r="C232" s="4"/>
      <c r="D232" s="4"/>
      <c r="E232" s="4"/>
    </row>
    <row r="233" customFormat="false" ht="15" hidden="false" customHeight="false" outlineLevel="0" collapsed="false">
      <c r="A233" s="4"/>
      <c r="B233" s="4" t="str">
        <f aca="false">IF(A233="","","DEV"&amp;MID(A233,4,LEN(A233)-3))</f>
        <v/>
      </c>
      <c r="C233" s="4"/>
      <c r="D233" s="4"/>
      <c r="E233" s="4"/>
    </row>
    <row r="234" customFormat="false" ht="15" hidden="false" customHeight="false" outlineLevel="0" collapsed="false">
      <c r="A234" s="4"/>
      <c r="B234" s="4" t="str">
        <f aca="false">IF(A234="","","DEV"&amp;MID(A234,4,LEN(A234)-3))</f>
        <v/>
      </c>
      <c r="C234" s="4"/>
      <c r="D234" s="4"/>
      <c r="E234" s="4"/>
    </row>
    <row r="235" customFormat="false" ht="15" hidden="false" customHeight="false" outlineLevel="0" collapsed="false">
      <c r="A235" s="4"/>
      <c r="B235" s="4" t="str">
        <f aca="false">IF(A235="","","DEV"&amp;MID(A235,4,LEN(A235)-3))</f>
        <v/>
      </c>
      <c r="C235" s="4"/>
      <c r="D235" s="4"/>
      <c r="E235" s="4"/>
    </row>
    <row r="236" customFormat="false" ht="15" hidden="false" customHeight="false" outlineLevel="0" collapsed="false">
      <c r="A236" s="4"/>
      <c r="B236" s="4" t="str">
        <f aca="false">IF(A236="","","DEV"&amp;MID(A236,4,LEN(A236)-3))</f>
        <v/>
      </c>
      <c r="C236" s="4"/>
      <c r="D236" s="4"/>
      <c r="E236" s="4"/>
    </row>
    <row r="237" customFormat="false" ht="15" hidden="false" customHeight="false" outlineLevel="0" collapsed="false">
      <c r="A237" s="4"/>
      <c r="B237" s="4" t="str">
        <f aca="false">IF(A237="","","DEV"&amp;MID(A237,4,LEN(A237)-3))</f>
        <v/>
      </c>
      <c r="C237" s="4"/>
      <c r="D237" s="4"/>
      <c r="E237" s="4"/>
    </row>
    <row r="238" customFormat="false" ht="15" hidden="false" customHeight="false" outlineLevel="0" collapsed="false">
      <c r="A238" s="4"/>
      <c r="B238" s="4" t="str">
        <f aca="false">IF(A238="","","DEV"&amp;MID(A238,4,LEN(A238)-3))</f>
        <v/>
      </c>
      <c r="C238" s="4"/>
      <c r="D238" s="4"/>
      <c r="E238" s="4"/>
    </row>
    <row r="239" customFormat="false" ht="15" hidden="false" customHeight="false" outlineLevel="0" collapsed="false">
      <c r="A239" s="4"/>
      <c r="B239" s="4" t="str">
        <f aca="false">IF(A239="","","DEV"&amp;MID(A239,4,LEN(A239)-3))</f>
        <v/>
      </c>
      <c r="C239" s="4"/>
      <c r="D239" s="4"/>
      <c r="E239" s="4"/>
    </row>
    <row r="240" customFormat="false" ht="15" hidden="false" customHeight="false" outlineLevel="0" collapsed="false">
      <c r="A240" s="4"/>
      <c r="B240" s="4" t="str">
        <f aca="false">IF(A240="","","DEV"&amp;MID(A240,4,LEN(A240)-3))</f>
        <v/>
      </c>
      <c r="C240" s="4"/>
      <c r="D240" s="4"/>
      <c r="E240" s="4"/>
    </row>
    <row r="241" customFormat="false" ht="15" hidden="false" customHeight="false" outlineLevel="0" collapsed="false">
      <c r="A241" s="4"/>
      <c r="B241" s="4" t="str">
        <f aca="false">IF(A241="","","DEV"&amp;MID(A241,4,LEN(A241)-3))</f>
        <v/>
      </c>
      <c r="C241" s="4"/>
      <c r="D241" s="4"/>
      <c r="E241" s="4"/>
    </row>
    <row r="242" customFormat="false" ht="15" hidden="false" customHeight="false" outlineLevel="0" collapsed="false">
      <c r="A242" s="4"/>
      <c r="B242" s="4" t="str">
        <f aca="false">IF(A242="","","DEV"&amp;MID(A242,4,LEN(A242)-3))</f>
        <v/>
      </c>
      <c r="C242" s="4"/>
      <c r="D242" s="4"/>
      <c r="E242" s="4"/>
    </row>
    <row r="243" customFormat="false" ht="15" hidden="false" customHeight="false" outlineLevel="0" collapsed="false">
      <c r="A243" s="4"/>
      <c r="B243" s="4" t="str">
        <f aca="false">IF(A243="","","DEV"&amp;MID(A243,4,LEN(A243)-3))</f>
        <v/>
      </c>
      <c r="C243" s="4"/>
      <c r="D243" s="4"/>
      <c r="E243" s="4"/>
    </row>
    <row r="244" customFormat="false" ht="15" hidden="false" customHeight="false" outlineLevel="0" collapsed="false">
      <c r="A244" s="4"/>
      <c r="B244" s="4" t="str">
        <f aca="false">IF(A244="","","DEV"&amp;MID(A244,4,LEN(A244)-3))</f>
        <v/>
      </c>
      <c r="C244" s="4"/>
      <c r="D244" s="4"/>
      <c r="E244" s="4"/>
    </row>
    <row r="245" customFormat="false" ht="15" hidden="false" customHeight="false" outlineLevel="0" collapsed="false">
      <c r="A245" s="4"/>
      <c r="B245" s="4" t="str">
        <f aca="false">IF(A245="","","DEV"&amp;MID(A245,4,LEN(A245)-3))</f>
        <v/>
      </c>
      <c r="C245" s="4"/>
      <c r="D245" s="4"/>
      <c r="E245" s="4"/>
    </row>
    <row r="246" customFormat="false" ht="15" hidden="false" customHeight="false" outlineLevel="0" collapsed="false">
      <c r="A246" s="4"/>
      <c r="B246" s="4" t="str">
        <f aca="false">IF(A246="","","DEV"&amp;MID(A246,4,LEN(A246)-3))</f>
        <v/>
      </c>
      <c r="C246" s="4"/>
      <c r="D246" s="4"/>
      <c r="E246" s="4"/>
    </row>
    <row r="247" customFormat="false" ht="15" hidden="false" customHeight="false" outlineLevel="0" collapsed="false">
      <c r="A247" s="4"/>
      <c r="B247" s="4" t="str">
        <f aca="false">IF(A247="","","DEV"&amp;MID(A247,4,LEN(A247)-3))</f>
        <v/>
      </c>
      <c r="C247" s="4"/>
      <c r="D247" s="4"/>
      <c r="E247" s="4"/>
    </row>
    <row r="248" customFormat="false" ht="15" hidden="false" customHeight="false" outlineLevel="0" collapsed="false">
      <c r="A248" s="4"/>
      <c r="B248" s="4" t="str">
        <f aca="false">IF(A248="","","DEV"&amp;MID(A248,4,LEN(A248)-3))</f>
        <v/>
      </c>
      <c r="C248" s="4"/>
      <c r="D248" s="4"/>
      <c r="E248" s="4"/>
    </row>
    <row r="249" customFormat="false" ht="15" hidden="false" customHeight="false" outlineLevel="0" collapsed="false">
      <c r="A249" s="4"/>
      <c r="B249" s="4" t="str">
        <f aca="false">IF(A249="","","DEV"&amp;MID(A249,4,LEN(A249)-3))</f>
        <v/>
      </c>
      <c r="C249" s="4"/>
      <c r="D249" s="4"/>
      <c r="E249" s="4"/>
    </row>
    <row r="250" customFormat="false" ht="15" hidden="false" customHeight="false" outlineLevel="0" collapsed="false">
      <c r="A250" s="4"/>
      <c r="B250" s="4" t="str">
        <f aca="false">IF(A250="","","DEV"&amp;MID(A250,4,LEN(A250)-3))</f>
        <v/>
      </c>
      <c r="C250" s="4"/>
      <c r="D250" s="4"/>
      <c r="E250" s="4"/>
    </row>
    <row r="251" customFormat="false" ht="15" hidden="false" customHeight="false" outlineLevel="0" collapsed="false">
      <c r="A251" s="4"/>
      <c r="B251" s="4" t="str">
        <f aca="false">IF(A251="","","DEV"&amp;MID(A251,4,LEN(A251)-3))</f>
        <v/>
      </c>
      <c r="C251" s="4"/>
      <c r="D251" s="4"/>
      <c r="E251" s="4"/>
    </row>
    <row r="252" customFormat="false" ht="15" hidden="false" customHeight="false" outlineLevel="0" collapsed="false">
      <c r="A252" s="4"/>
      <c r="B252" s="4" t="str">
        <f aca="false">IF(A252="","","DEV"&amp;MID(A252,4,LEN(A252)-3))</f>
        <v/>
      </c>
      <c r="C252" s="4"/>
      <c r="D252" s="4"/>
      <c r="E252" s="4"/>
    </row>
    <row r="253" customFormat="false" ht="15" hidden="false" customHeight="false" outlineLevel="0" collapsed="false">
      <c r="A253" s="4"/>
      <c r="B253" s="4" t="str">
        <f aca="false">IF(A253="","","DEV"&amp;MID(A253,4,LEN(A253)-3))</f>
        <v/>
      </c>
      <c r="C253" s="4"/>
      <c r="D253" s="4"/>
      <c r="E253" s="4"/>
    </row>
    <row r="254" customFormat="false" ht="15" hidden="false" customHeight="false" outlineLevel="0" collapsed="false">
      <c r="A254" s="4"/>
      <c r="B254" s="4" t="str">
        <f aca="false">IF(A254="","","DEV"&amp;MID(A254,4,LEN(A254)-3))</f>
        <v/>
      </c>
      <c r="C254" s="4"/>
      <c r="D254" s="4"/>
      <c r="E254" s="4"/>
    </row>
    <row r="255" customFormat="false" ht="15" hidden="false" customHeight="false" outlineLevel="0" collapsed="false">
      <c r="A255" s="4"/>
      <c r="B255" s="4" t="str">
        <f aca="false">IF(A255="","","DEV"&amp;MID(A255,4,LEN(A255)-3))</f>
        <v/>
      </c>
      <c r="C255" s="4"/>
      <c r="D255" s="4"/>
      <c r="E255" s="4"/>
    </row>
    <row r="256" customFormat="false" ht="15" hidden="false" customHeight="false" outlineLevel="0" collapsed="false">
      <c r="A256" s="4"/>
      <c r="B256" s="4" t="str">
        <f aca="false">IF(A256="","","DEV"&amp;MID(A256,4,LEN(A256)-3))</f>
        <v/>
      </c>
      <c r="C256" s="4"/>
      <c r="D256" s="4"/>
      <c r="E256" s="4"/>
    </row>
    <row r="257" customFormat="false" ht="15" hidden="false" customHeight="false" outlineLevel="0" collapsed="false">
      <c r="A257" s="4"/>
      <c r="B257" s="4" t="str">
        <f aca="false">IF(A257="","","DEV"&amp;MID(A257,4,LEN(A257)-3))</f>
        <v/>
      </c>
      <c r="C257" s="4"/>
      <c r="D257" s="4"/>
      <c r="E257" s="4"/>
    </row>
    <row r="258" customFormat="false" ht="15" hidden="false" customHeight="false" outlineLevel="0" collapsed="false">
      <c r="A258" s="4"/>
      <c r="B258" s="4" t="str">
        <f aca="false">IF(A258="","","DEV"&amp;MID(A258,4,LEN(A258)-3))</f>
        <v/>
      </c>
      <c r="C258" s="4"/>
      <c r="D258" s="4"/>
      <c r="E258" s="4"/>
    </row>
    <row r="259" customFormat="false" ht="15" hidden="false" customHeight="false" outlineLevel="0" collapsed="false">
      <c r="A259" s="4"/>
      <c r="B259" s="4" t="str">
        <f aca="false">IF(A259="","","DEV"&amp;MID(A259,4,LEN(A259)-3))</f>
        <v/>
      </c>
      <c r="C259" s="4"/>
      <c r="D259" s="4"/>
      <c r="E259" s="4"/>
    </row>
    <row r="260" customFormat="false" ht="15" hidden="false" customHeight="false" outlineLevel="0" collapsed="false">
      <c r="A260" s="4"/>
      <c r="B260" s="4" t="str">
        <f aca="false">IF(A260="","","DEV"&amp;MID(A260,4,LEN(A260)-3))</f>
        <v/>
      </c>
      <c r="C260" s="4"/>
      <c r="D260" s="4"/>
      <c r="E260" s="4"/>
    </row>
    <row r="261" customFormat="false" ht="15" hidden="false" customHeight="false" outlineLevel="0" collapsed="false">
      <c r="A261" s="4"/>
      <c r="B261" s="4" t="str">
        <f aca="false">IF(A261="","","DEV"&amp;MID(A261,4,LEN(A261)-3))</f>
        <v/>
      </c>
      <c r="C261" s="4"/>
      <c r="D261" s="4"/>
      <c r="E261" s="4"/>
    </row>
    <row r="262" customFormat="false" ht="15" hidden="false" customHeight="false" outlineLevel="0" collapsed="false">
      <c r="A262" s="4"/>
      <c r="B262" s="4" t="str">
        <f aca="false">IF(A262="","","DEV"&amp;MID(A262,4,LEN(A262)-3))</f>
        <v/>
      </c>
      <c r="C262" s="4"/>
      <c r="D262" s="4"/>
      <c r="E262" s="4"/>
    </row>
    <row r="263" customFormat="false" ht="15" hidden="false" customHeight="false" outlineLevel="0" collapsed="false">
      <c r="A263" s="4"/>
      <c r="B263" s="4" t="str">
        <f aca="false">IF(A263="","","DEV"&amp;MID(A263,4,LEN(A263)-3))</f>
        <v/>
      </c>
      <c r="C263" s="4"/>
      <c r="D263" s="4"/>
      <c r="E263" s="4"/>
    </row>
    <row r="264" customFormat="false" ht="15" hidden="false" customHeight="false" outlineLevel="0" collapsed="false">
      <c r="A264" s="4"/>
      <c r="B264" s="4" t="str">
        <f aca="false">IF(A264="","","DEV"&amp;MID(A264,4,LEN(A264)-3))</f>
        <v/>
      </c>
      <c r="C264" s="4"/>
      <c r="D264" s="4"/>
      <c r="E264" s="4"/>
    </row>
    <row r="265" customFormat="false" ht="15" hidden="false" customHeight="false" outlineLevel="0" collapsed="false">
      <c r="A265" s="4"/>
      <c r="B265" s="4" t="str">
        <f aca="false">IF(A265="","","DEV"&amp;MID(A265,4,LEN(A265)-3))</f>
        <v/>
      </c>
      <c r="C265" s="4"/>
      <c r="D265" s="4"/>
      <c r="E265" s="4"/>
    </row>
    <row r="266" customFormat="false" ht="15" hidden="false" customHeight="false" outlineLevel="0" collapsed="false">
      <c r="A266" s="4"/>
      <c r="B266" s="4" t="str">
        <f aca="false">IF(A266="","","DEV"&amp;MID(A266,4,LEN(A266)-3))</f>
        <v/>
      </c>
      <c r="C266" s="4"/>
      <c r="D266" s="4"/>
      <c r="E266" s="4"/>
    </row>
    <row r="267" customFormat="false" ht="15" hidden="false" customHeight="false" outlineLevel="0" collapsed="false">
      <c r="A267" s="4"/>
      <c r="B267" s="4" t="str">
        <f aca="false">IF(A267="","","DEV"&amp;MID(A267,4,LEN(A267)-3))</f>
        <v/>
      </c>
      <c r="C267" s="4"/>
      <c r="D267" s="4"/>
      <c r="E267" s="4"/>
    </row>
    <row r="268" customFormat="false" ht="15" hidden="false" customHeight="false" outlineLevel="0" collapsed="false">
      <c r="A268" s="4"/>
      <c r="B268" s="4" t="str">
        <f aca="false">IF(A268="","","DEV"&amp;MID(A268,4,LEN(A268)-3))</f>
        <v/>
      </c>
      <c r="C268" s="4"/>
      <c r="D268" s="4"/>
      <c r="E268" s="4"/>
    </row>
    <row r="269" customFormat="false" ht="15" hidden="false" customHeight="false" outlineLevel="0" collapsed="false">
      <c r="A269" s="4"/>
      <c r="B269" s="4" t="str">
        <f aca="false">IF(A269="","","DEV"&amp;MID(A269,4,LEN(A269)-3))</f>
        <v/>
      </c>
      <c r="C269" s="4"/>
      <c r="D269" s="4"/>
      <c r="E269" s="4"/>
    </row>
    <row r="270" customFormat="false" ht="15" hidden="false" customHeight="false" outlineLevel="0" collapsed="false">
      <c r="A270" s="4"/>
      <c r="B270" s="4" t="str">
        <f aca="false">IF(A270="","","DEV"&amp;MID(A270,4,LEN(A270)-3))</f>
        <v/>
      </c>
      <c r="C270" s="4"/>
      <c r="D270" s="4"/>
      <c r="E270" s="4"/>
    </row>
    <row r="271" customFormat="false" ht="15" hidden="false" customHeight="false" outlineLevel="0" collapsed="false">
      <c r="A271" s="4"/>
      <c r="B271" s="4" t="str">
        <f aca="false">IF(A271="","","DEV"&amp;MID(A271,4,LEN(A271)-3))</f>
        <v/>
      </c>
      <c r="C271" s="4"/>
      <c r="D271" s="4"/>
      <c r="E271" s="4"/>
    </row>
    <row r="272" customFormat="false" ht="15" hidden="false" customHeight="false" outlineLevel="0" collapsed="false">
      <c r="A272" s="4"/>
      <c r="B272" s="4" t="str">
        <f aca="false">IF(A272="","","DEV"&amp;MID(A272,4,LEN(A272)-3))</f>
        <v/>
      </c>
      <c r="C272" s="4"/>
      <c r="D272" s="4"/>
      <c r="E272" s="4"/>
    </row>
    <row r="273" customFormat="false" ht="15" hidden="false" customHeight="false" outlineLevel="0" collapsed="false">
      <c r="A273" s="4"/>
      <c r="B273" s="4" t="str">
        <f aca="false">IF(A273="","","DEV"&amp;MID(A273,4,LEN(A273)-3))</f>
        <v/>
      </c>
      <c r="C273" s="4"/>
      <c r="D273" s="4"/>
      <c r="E273" s="4"/>
    </row>
    <row r="274" customFormat="false" ht="15" hidden="false" customHeight="false" outlineLevel="0" collapsed="false">
      <c r="A274" s="4"/>
      <c r="B274" s="4" t="str">
        <f aca="false">IF(A274="","","DEV"&amp;MID(A274,4,LEN(A274)-3))</f>
        <v/>
      </c>
      <c r="C274" s="4"/>
      <c r="D274" s="4"/>
      <c r="E274" s="4"/>
    </row>
    <row r="275" customFormat="false" ht="15" hidden="false" customHeight="false" outlineLevel="0" collapsed="false">
      <c r="A275" s="4"/>
      <c r="B275" s="4" t="str">
        <f aca="false">IF(A275="","","DEV"&amp;MID(A275,4,LEN(A275)-3))</f>
        <v/>
      </c>
      <c r="C275" s="4"/>
      <c r="D275" s="4"/>
      <c r="E275" s="4"/>
    </row>
    <row r="276" customFormat="false" ht="15" hidden="false" customHeight="false" outlineLevel="0" collapsed="false">
      <c r="A276" s="4"/>
      <c r="B276" s="4" t="str">
        <f aca="false">IF(A276="","","DEV"&amp;MID(A276,4,LEN(A276)-3))</f>
        <v/>
      </c>
      <c r="C276" s="4"/>
      <c r="D276" s="4"/>
      <c r="E276" s="4"/>
    </row>
    <row r="277" customFormat="false" ht="15" hidden="false" customHeight="false" outlineLevel="0" collapsed="false">
      <c r="A277" s="4"/>
      <c r="B277" s="4" t="str">
        <f aca="false">IF(A277="","","DEV"&amp;MID(A277,4,LEN(A277)-3))</f>
        <v/>
      </c>
      <c r="C277" s="4"/>
      <c r="D277" s="4"/>
      <c r="E277" s="4"/>
    </row>
    <row r="278" customFormat="false" ht="15" hidden="false" customHeight="false" outlineLevel="0" collapsed="false">
      <c r="A278" s="4"/>
      <c r="B278" s="4" t="str">
        <f aca="false">IF(A278="","","DEV"&amp;MID(A278,4,LEN(A278)-3))</f>
        <v/>
      </c>
      <c r="C278" s="4"/>
      <c r="D278" s="4"/>
      <c r="E278" s="4"/>
    </row>
    <row r="279" customFormat="false" ht="15" hidden="false" customHeight="false" outlineLevel="0" collapsed="false">
      <c r="A279" s="4"/>
      <c r="B279" s="4" t="str">
        <f aca="false">IF(A279="","","DEV"&amp;MID(A279,4,LEN(A279)-3))</f>
        <v/>
      </c>
      <c r="C279" s="4"/>
      <c r="D279" s="4"/>
      <c r="E279" s="4"/>
    </row>
    <row r="280" customFormat="false" ht="15" hidden="false" customHeight="false" outlineLevel="0" collapsed="false">
      <c r="A280" s="4"/>
      <c r="B280" s="4" t="str">
        <f aca="false">IF(A280="","","DEV"&amp;MID(A280,4,LEN(A280)-3))</f>
        <v/>
      </c>
      <c r="C280" s="4"/>
      <c r="D280" s="4"/>
      <c r="E280" s="4"/>
    </row>
    <row r="281" customFormat="false" ht="15" hidden="false" customHeight="false" outlineLevel="0" collapsed="false">
      <c r="A281" s="4"/>
      <c r="B281" s="4" t="str">
        <f aca="false">IF(A281="","","DEV"&amp;MID(A281,4,LEN(A281)-3))</f>
        <v/>
      </c>
      <c r="C281" s="4"/>
      <c r="D281" s="4"/>
      <c r="E281" s="4"/>
    </row>
    <row r="282" customFormat="false" ht="15" hidden="false" customHeight="false" outlineLevel="0" collapsed="false">
      <c r="A282" s="4"/>
      <c r="B282" s="4" t="str">
        <f aca="false">IF(A282="","","DEV"&amp;MID(A282,4,LEN(A282)-3))</f>
        <v/>
      </c>
      <c r="C282" s="4"/>
      <c r="D282" s="4"/>
      <c r="E282" s="4"/>
    </row>
    <row r="283" customFormat="false" ht="15" hidden="false" customHeight="false" outlineLevel="0" collapsed="false">
      <c r="A283" s="4"/>
      <c r="B283" s="4" t="str">
        <f aca="false">IF(A283="","","DEV"&amp;MID(A283,4,LEN(A283)-3))</f>
        <v/>
      </c>
      <c r="C283" s="4"/>
      <c r="D283" s="4"/>
      <c r="E283" s="4"/>
    </row>
    <row r="284" customFormat="false" ht="15" hidden="false" customHeight="false" outlineLevel="0" collapsed="false">
      <c r="A284" s="4"/>
      <c r="B284" s="4" t="str">
        <f aca="false">IF(A284="","","DEV"&amp;MID(A284,4,LEN(A284)-3))</f>
        <v/>
      </c>
      <c r="C284" s="4"/>
      <c r="D284" s="4"/>
      <c r="E284" s="4"/>
    </row>
    <row r="285" customFormat="false" ht="15" hidden="false" customHeight="false" outlineLevel="0" collapsed="false">
      <c r="A285" s="4"/>
      <c r="B285" s="4" t="str">
        <f aca="false">IF(A285="","","DEV"&amp;MID(A285,4,LEN(A285)-3))</f>
        <v/>
      </c>
      <c r="C285" s="4"/>
      <c r="D285" s="4"/>
      <c r="E285" s="4"/>
    </row>
    <row r="286" customFormat="false" ht="15" hidden="false" customHeight="false" outlineLevel="0" collapsed="false">
      <c r="A286" s="4"/>
      <c r="B286" s="4" t="str">
        <f aca="false">IF(A286="","","DEV"&amp;MID(A286,4,LEN(A286)-3))</f>
        <v/>
      </c>
      <c r="C286" s="4"/>
      <c r="D286" s="4"/>
      <c r="E286" s="4"/>
    </row>
    <row r="287" customFormat="false" ht="15" hidden="false" customHeight="false" outlineLevel="0" collapsed="false">
      <c r="A287" s="4"/>
      <c r="B287" s="4" t="str">
        <f aca="false">IF(A287="","","DEV"&amp;MID(A287,4,LEN(A287)-3))</f>
        <v/>
      </c>
      <c r="C287" s="4"/>
      <c r="D287" s="4"/>
      <c r="E287" s="4"/>
    </row>
    <row r="288" customFormat="false" ht="15" hidden="false" customHeight="false" outlineLevel="0" collapsed="false">
      <c r="A288" s="4"/>
      <c r="B288" s="4" t="str">
        <f aca="false">IF(A288="","","DEV"&amp;MID(A288,4,LEN(A288)-3))</f>
        <v/>
      </c>
      <c r="C288" s="4"/>
      <c r="D288" s="4"/>
      <c r="E288" s="4"/>
    </row>
    <row r="289" customFormat="false" ht="15" hidden="false" customHeight="false" outlineLevel="0" collapsed="false">
      <c r="A289" s="4"/>
      <c r="B289" s="4" t="str">
        <f aca="false">IF(A289="","","DEV"&amp;MID(A289,4,LEN(A289)-3))</f>
        <v/>
      </c>
      <c r="C289" s="4"/>
      <c r="D289" s="4"/>
      <c r="E289" s="4"/>
    </row>
    <row r="290" customFormat="false" ht="15" hidden="false" customHeight="false" outlineLevel="0" collapsed="false">
      <c r="A290" s="4"/>
      <c r="B290" s="4" t="str">
        <f aca="false">IF(A290="","","DEV"&amp;MID(A290,4,LEN(A290)-3))</f>
        <v/>
      </c>
      <c r="C290" s="4"/>
      <c r="D290" s="4"/>
      <c r="E290" s="4"/>
    </row>
    <row r="291" customFormat="false" ht="15" hidden="false" customHeight="false" outlineLevel="0" collapsed="false">
      <c r="A291" s="4"/>
      <c r="B291" s="4" t="str">
        <f aca="false">IF(A291="","","DEV"&amp;MID(A291,4,LEN(A291)-3))</f>
        <v/>
      </c>
      <c r="C291" s="4"/>
      <c r="D291" s="4"/>
      <c r="E291" s="4"/>
    </row>
    <row r="292" customFormat="false" ht="15" hidden="false" customHeight="false" outlineLevel="0" collapsed="false">
      <c r="A292" s="4"/>
      <c r="B292" s="4" t="str">
        <f aca="false">IF(A292="","","DEV"&amp;MID(A292,4,LEN(A292)-3))</f>
        <v/>
      </c>
      <c r="C292" s="4"/>
      <c r="D292" s="4"/>
      <c r="E292" s="4"/>
    </row>
    <row r="293" customFormat="false" ht="15" hidden="false" customHeight="false" outlineLevel="0" collapsed="false">
      <c r="A293" s="4"/>
      <c r="B293" s="4" t="str">
        <f aca="false">IF(A293="","","DEV"&amp;MID(A293,4,LEN(A293)-3))</f>
        <v/>
      </c>
      <c r="C293" s="4"/>
      <c r="D293" s="4"/>
      <c r="E293" s="4"/>
    </row>
    <row r="294" customFormat="false" ht="15" hidden="false" customHeight="false" outlineLevel="0" collapsed="false">
      <c r="A294" s="4"/>
      <c r="B294" s="4" t="str">
        <f aca="false">IF(A294="","","DEV"&amp;MID(A294,4,LEN(A294)-3))</f>
        <v/>
      </c>
      <c r="C294" s="4"/>
      <c r="D294" s="4"/>
      <c r="E294" s="4"/>
    </row>
    <row r="295" customFormat="false" ht="15" hidden="false" customHeight="false" outlineLevel="0" collapsed="false">
      <c r="A295" s="4"/>
      <c r="B295" s="4" t="str">
        <f aca="false">IF(A295="","","DEV"&amp;MID(A295,4,LEN(A295)-3))</f>
        <v/>
      </c>
      <c r="C295" s="4"/>
      <c r="D295" s="4"/>
      <c r="E295" s="4"/>
    </row>
    <row r="296" customFormat="false" ht="15" hidden="false" customHeight="false" outlineLevel="0" collapsed="false">
      <c r="A296" s="4"/>
      <c r="B296" s="4" t="str">
        <f aca="false">IF(A296="","","DEV"&amp;MID(A296,4,LEN(A296)-3))</f>
        <v/>
      </c>
      <c r="C296" s="4"/>
      <c r="D296" s="4"/>
      <c r="E296" s="4"/>
    </row>
    <row r="297" customFormat="false" ht="15" hidden="false" customHeight="false" outlineLevel="0" collapsed="false">
      <c r="A297" s="4"/>
      <c r="B297" s="4" t="str">
        <f aca="false">IF(A297="","","DEV"&amp;MID(A297,4,LEN(A297)-3))</f>
        <v/>
      </c>
      <c r="C297" s="4"/>
      <c r="D297" s="4"/>
      <c r="E297" s="4"/>
    </row>
    <row r="298" customFormat="false" ht="15" hidden="false" customHeight="false" outlineLevel="0" collapsed="false">
      <c r="A298" s="4"/>
      <c r="B298" s="4" t="str">
        <f aca="false">IF(A298="","","DEV"&amp;MID(A298,4,LEN(A298)-3))</f>
        <v/>
      </c>
      <c r="C298" s="4"/>
      <c r="D298" s="4"/>
      <c r="E298" s="4"/>
    </row>
    <row r="299" customFormat="false" ht="15" hidden="false" customHeight="false" outlineLevel="0" collapsed="false">
      <c r="A299" s="4"/>
      <c r="B299" s="4" t="str">
        <f aca="false">IF(A299="","","DEV"&amp;MID(A299,4,LEN(A299)-3))</f>
        <v/>
      </c>
      <c r="C299" s="4"/>
      <c r="D299" s="4"/>
      <c r="E299" s="4"/>
    </row>
    <row r="300" customFormat="false" ht="15" hidden="false" customHeight="false" outlineLevel="0" collapsed="false">
      <c r="A300" s="4"/>
      <c r="B300" s="4" t="str">
        <f aca="false">IF(A300="","","DEV"&amp;MID(A300,4,LEN(A300)-3))</f>
        <v/>
      </c>
      <c r="C300" s="4"/>
      <c r="D300" s="4"/>
      <c r="E300" s="4"/>
    </row>
    <row r="301" customFormat="false" ht="15" hidden="false" customHeight="false" outlineLevel="0" collapsed="false">
      <c r="A301" s="4"/>
      <c r="B301" s="4" t="str">
        <f aca="false">IF(A301="","","DEV"&amp;MID(A301,4,LEN(A301)-3))</f>
        <v/>
      </c>
      <c r="C301" s="4"/>
      <c r="D301" s="4"/>
      <c r="E301" s="4"/>
    </row>
    <row r="302" customFormat="false" ht="15" hidden="false" customHeight="false" outlineLevel="0" collapsed="false">
      <c r="A302" s="4"/>
      <c r="B302" s="4" t="str">
        <f aca="false">IF(A302="","","DEV"&amp;MID(A302,4,LEN(A302)-3))</f>
        <v/>
      </c>
      <c r="C302" s="4"/>
      <c r="D302" s="4"/>
      <c r="E302" s="4"/>
    </row>
    <row r="303" customFormat="false" ht="15" hidden="false" customHeight="false" outlineLevel="0" collapsed="false">
      <c r="A303" s="4"/>
      <c r="B303" s="4" t="str">
        <f aca="false">IF(A303="","","DEV"&amp;MID(A303,4,LEN(A303)-3))</f>
        <v/>
      </c>
      <c r="C303" s="4"/>
      <c r="D303" s="4"/>
      <c r="E303" s="4"/>
    </row>
    <row r="304" customFormat="false" ht="15" hidden="false" customHeight="false" outlineLevel="0" collapsed="false">
      <c r="A304" s="4"/>
      <c r="B304" s="4" t="str">
        <f aca="false">IF(A304="","","DEV"&amp;MID(A304,4,LEN(A304)-3))</f>
        <v/>
      </c>
      <c r="C304" s="4"/>
      <c r="D304" s="4"/>
      <c r="E304" s="4"/>
    </row>
    <row r="305" customFormat="false" ht="15" hidden="false" customHeight="false" outlineLevel="0" collapsed="false">
      <c r="A305" s="4"/>
      <c r="B305" s="4" t="str">
        <f aca="false">IF(A305="","","DEV"&amp;MID(A305,4,LEN(A305)-3))</f>
        <v/>
      </c>
      <c r="C305" s="4"/>
      <c r="D305" s="4"/>
      <c r="E305" s="4"/>
    </row>
  </sheetData>
  <autoFilter ref="A4:E305"/>
  <mergeCells count="2">
    <mergeCell ref="A1:E1"/>
    <mergeCell ref="A2:E2"/>
  </mergeCells>
  <dataValidations count="2">
    <dataValidation allowBlank="true" errorStyle="stop" operator="between" showDropDown="false" showErrorMessage="false" showInputMessage="false" sqref="E5:E305" type="list">
      <formula1>"ATIVO,INATIVO,BLOQUEADO"</formula1>
      <formula2>0</formula2>
    </dataValidation>
    <dataValidation allowBlank="true" errorStyle="stop" operator="between" showDropDown="false" showErrorMessage="false" showInputMessage="false" sqref="D5:D305" type="list">
      <formula1>"EDSON,ALMIR,BRUNO,NÃO INFORMADA"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8" activePane="bottomLeft" state="frozen"/>
      <selection pane="topLeft" activeCell="A1" activeCellId="0" sqref="A1"/>
      <selection pane="bottomLeft" activeCell="L5" activeCellId="0" sqref="L5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5" min="5" style="0" width="18"/>
    <col collapsed="false" customWidth="true" hidden="false" outlineLevel="0" max="6" min="6" style="0" width="11"/>
    <col collapsed="false" customWidth="true" hidden="false" outlineLevel="0" max="7" min="7" style="0" width="43.14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20"/>
    <col collapsed="false" customWidth="true" hidden="false" outlineLevel="0" max="11" min="11" style="0" width="14"/>
    <col collapsed="false" customWidth="true" hidden="false" outlineLevel="0" max="12" min="12" style="0" width="22"/>
    <col collapsed="false" customWidth="true" hidden="false" outlineLevel="0" max="13" min="13" style="0" width="6"/>
    <col collapsed="false" customWidth="true" hidden="false" outlineLevel="0" max="14" min="14" style="0" width="16"/>
    <col collapsed="false" customWidth="true" hidden="false" outlineLevel="0" max="16" min="15" style="0" width="4"/>
    <col collapsed="false" customWidth="true" hidden="false" outlineLevel="0" max="18" min="18" style="0" width="14"/>
    <col collapsed="false" customWidth="true" hidden="false" outlineLevel="0" max="19" min="19" style="0" width="10"/>
    <col collapsed="false" customWidth="true" hidden="false" outlineLevel="0" max="20" min="20" style="0" width="18"/>
    <col collapsed="false" customWidth="true" hidden="false" outlineLevel="0" max="21" min="21" style="0" width="6"/>
    <col collapsed="false" customWidth="true" hidden="true" outlineLevel="0" max="28" min="27" style="0" width="13"/>
  </cols>
  <sheetData>
    <row r="1" customFormat="false" ht="18" hidden="false" customHeight="true" outlineLevel="0" collapsed="false">
      <c r="A1" s="6" t="s">
        <v>28</v>
      </c>
      <c r="B1" s="6"/>
      <c r="C1" s="6"/>
      <c r="D1" s="6"/>
      <c r="E1" s="6"/>
      <c r="F1" s="6"/>
      <c r="G1" s="6"/>
      <c r="H1" s="6"/>
      <c r="I1" s="6"/>
      <c r="K1" s="7" t="s">
        <v>29</v>
      </c>
      <c r="L1" s="7"/>
      <c r="M1" s="7"/>
      <c r="N1" s="7"/>
      <c r="O1" s="7"/>
      <c r="P1" s="7"/>
      <c r="R1" s="8" t="s">
        <v>30</v>
      </c>
      <c r="S1" s="8"/>
      <c r="T1" s="8"/>
      <c r="U1" s="8"/>
      <c r="V1" s="8"/>
      <c r="W1" s="8"/>
    </row>
    <row r="2" customFormat="false" ht="25.5" hidden="false" customHeight="true" outlineLevel="0" collapsed="false">
      <c r="A2" s="2" t="s">
        <v>31</v>
      </c>
      <c r="B2" s="2"/>
      <c r="C2" s="2"/>
      <c r="D2" s="2"/>
      <c r="E2" s="2"/>
      <c r="F2" s="2"/>
      <c r="G2" s="2"/>
      <c r="H2" s="2"/>
      <c r="I2" s="2"/>
      <c r="K2" s="2" t="s">
        <v>32</v>
      </c>
      <c r="L2" s="2"/>
      <c r="M2" s="2"/>
      <c r="N2" s="2"/>
      <c r="O2" s="2"/>
      <c r="P2" s="2"/>
      <c r="R2" s="2" t="s">
        <v>33</v>
      </c>
      <c r="S2" s="2"/>
      <c r="T2" s="2"/>
      <c r="U2" s="2"/>
      <c r="V2" s="2"/>
      <c r="W2" s="2"/>
    </row>
    <row r="3" customFormat="false" ht="15" hidden="false" customHeight="false" outlineLevel="0" collapsed="false">
      <c r="B3" s="9" t="s">
        <v>34</v>
      </c>
      <c r="C3" s="10" t="s">
        <v>8</v>
      </c>
      <c r="D3" s="10"/>
      <c r="E3" s="10"/>
      <c r="K3" s="11" t="s">
        <v>35</v>
      </c>
      <c r="L3" s="10" t="s">
        <v>36</v>
      </c>
      <c r="M3" s="10"/>
      <c r="N3" s="10"/>
      <c r="R3" s="12" t="s">
        <v>37</v>
      </c>
      <c r="S3" s="10" t="s">
        <v>38</v>
      </c>
      <c r="T3" s="10"/>
      <c r="U3" s="10"/>
      <c r="AA3" s="13" t="n">
        <f aca="false">IF($S$3="","",IFERROR(_xlfn.MAXIFS('Controle de Entrega'!$G$6:$G$1575,'Controle de Entrega'!$D$6:$D$1575,$S$3),""))</f>
        <v>46120</v>
      </c>
      <c r="AB3" s="13" t="n">
        <f aca="false">IF($S$3="","",IFERROR(SUMPRODUCT(MAX(('Controle de Entrega'!$D$6:$D$1575=$S$3)*('Controle de Entrega'!$G$6:$G$1575=$AA$3)*ROW('Controle de Entrega'!$D$6:$D$1575))),""))</f>
        <v>6</v>
      </c>
    </row>
    <row r="4" customFormat="false" ht="15" hidden="false" customHeight="false" outlineLevel="0" collapsed="false">
      <c r="B4" s="9" t="s">
        <v>39</v>
      </c>
      <c r="C4" s="14" t="n">
        <v>46113</v>
      </c>
      <c r="K4" s="11" t="s">
        <v>39</v>
      </c>
      <c r="L4" s="14" t="n">
        <v>46113</v>
      </c>
    </row>
    <row r="5" customFormat="false" ht="15" hidden="false" customHeight="false" outlineLevel="0" collapsed="false">
      <c r="B5" s="9" t="s">
        <v>40</v>
      </c>
      <c r="C5" s="14" t="n">
        <v>46142</v>
      </c>
      <c r="K5" s="11" t="s">
        <v>40</v>
      </c>
      <c r="L5" s="14" t="n">
        <v>46142</v>
      </c>
      <c r="R5" s="15" t="s">
        <v>41</v>
      </c>
      <c r="S5" s="15"/>
      <c r="T5" s="15"/>
      <c r="U5" s="15"/>
    </row>
    <row r="6" customFormat="false" ht="15" hidden="false" customHeight="false" outlineLevel="0" collapsed="false">
      <c r="R6" s="16" t="s">
        <v>42</v>
      </c>
      <c r="S6" s="16"/>
      <c r="T6" s="17" t="n">
        <f aca="false">IF($S$3="","-",COUNTIF('Controle de Entrega'!$D$6:$D$1575,$S$3))</f>
        <v>1</v>
      </c>
      <c r="U6" s="17"/>
    </row>
    <row r="7" customFormat="false" ht="15" hidden="false" customHeight="false" outlineLevel="0" collapsed="false">
      <c r="A7" s="18" t="s">
        <v>43</v>
      </c>
      <c r="K7" s="19" t="s">
        <v>43</v>
      </c>
      <c r="R7" s="16" t="s">
        <v>44</v>
      </c>
      <c r="S7" s="16"/>
      <c r="T7" s="17" t="str">
        <f aca="false">IF($S$3="","-",IFERROR(INDEX('Controle de Entrega'!$F:$F,$AB$3),"-"))</f>
        <v>Rafael Souza Martins</v>
      </c>
      <c r="U7" s="17"/>
    </row>
    <row r="8" customFormat="false" ht="15" hidden="false" customHeight="false" outlineLevel="0" collapsed="false">
      <c r="B8" s="16" t="s">
        <v>45</v>
      </c>
      <c r="C8" s="16"/>
      <c r="D8" s="20" t="n">
        <f aca="false">IF($C$3="","-",COUNTIFS('Controle de Entrega'!$N$6:$N$1575,$C$3,'Controle de Entrega'!$G$6:$G$1575,"&gt;="&amp;$C$4,'Controle de Entrega'!$G$6:$G$1575,"&lt;="&amp;$C$5))</f>
        <v>8</v>
      </c>
      <c r="E8" s="20"/>
      <c r="L8" s="16" t="s">
        <v>45</v>
      </c>
      <c r="M8" s="16"/>
      <c r="N8" s="21" t="n">
        <f aca="false">IF($L$3="","-",COUNTIFS('Controle de Entrega'!$C$6:$C$1575,$L$3,'Controle de Entrega'!$G$6:$G$1575,"&gt;="&amp;$L$4,'Controle de Entrega'!$G$6:$G$1575,"&lt;="&amp;$L$5))</f>
        <v>0</v>
      </c>
      <c r="O8" s="21"/>
      <c r="R8" s="16" t="s">
        <v>46</v>
      </c>
      <c r="S8" s="16"/>
      <c r="T8" s="17" t="str">
        <f aca="false">IF($S$3="","-",IFERROR(INDEX('Controle de Entrega'!$B:$B,$AB$3),"-"))</f>
        <v>I00468</v>
      </c>
      <c r="U8" s="17"/>
    </row>
    <row r="9" customFormat="false" ht="52.2" hidden="false" customHeight="false" outlineLevel="0" collapsed="false">
      <c r="B9" s="16" t="s">
        <v>47</v>
      </c>
      <c r="C9" s="16"/>
      <c r="D9" s="20" t="n">
        <f aca="false">IF($C$3="","-",SUMIFS('Controle de Entrega'!$E$6:$E$1575,'Controle de Entrega'!$N$6:$N$1575,$C$3,'Controle de Entrega'!$G$6:$G$1575,"&gt;="&amp;$C$4,'Controle de Entrega'!$G$6:$G$1575,"&lt;="&amp;$C$5))</f>
        <v>8</v>
      </c>
      <c r="E9" s="20"/>
      <c r="L9" s="16" t="s">
        <v>48</v>
      </c>
      <c r="M9" s="16"/>
      <c r="N9" s="21" t="n">
        <f aca="false">IF($L$3="","-",SUMIFS('Controle de Entrega'!$E$6:$E$1575,'Controle de Entrega'!$C$6:$C$1575,$L$3,'Controle de Entrega'!$G$6:$G$1575,"&gt;="&amp;$L$4,'Controle de Entrega'!$G$6:$G$1575,"&lt;="&amp;$L$5))</f>
        <v>0</v>
      </c>
      <c r="O9" s="21"/>
      <c r="R9" s="16" t="s">
        <v>49</v>
      </c>
      <c r="S9" s="16"/>
      <c r="T9" s="17" t="str">
        <f aca="false">IF($S$3="","-",IFERROR(INDEX('Controle de Entrega'!$C:$C,$AB$3),"-"))</f>
        <v>ROTEADOR TP-LINK WIRELESS AC1200 ARCHER C5W GIGABIT DUAL BAND</v>
      </c>
      <c r="U9" s="17"/>
    </row>
    <row r="10" customFormat="false" ht="15" hidden="false" customHeight="false" outlineLevel="0" collapsed="false">
      <c r="B10" s="16" t="s">
        <v>50</v>
      </c>
      <c r="C10" s="16"/>
      <c r="D10" s="22" t="n">
        <f aca="false">IF(OR($C$3="",$D$8=0),"-",_xlfn.MAXIFS('Controle de Entrega'!$G$6:$G$1575,'Controle de Entrega'!$N$6:$N$1575,$C$3,'Controle de Entrega'!$G$6:$G$1575,"&gt;="&amp;$C$4,'Controle de Entrega'!$G$6:$G$1575,"&lt;="&amp;$C$5))</f>
        <v>46137</v>
      </c>
      <c r="E10" s="22"/>
      <c r="L10" s="16" t="s">
        <v>50</v>
      </c>
      <c r="M10" s="16"/>
      <c r="N10" s="23" t="str">
        <f aca="false">IF(OR($L$3="",$N$8=0),"-",_xlfn.MAXIFS('Controle de Entrega'!$G$6:$G$1575,'Controle de Entrega'!$C$6:$C$1575,$L$3,'Controle de Entrega'!$G$6:$G$1575,"&gt;="&amp;$L$4,'Controle de Entrega'!$G$6:$G$1575,"&lt;="&amp;$L$5))</f>
        <v>-</v>
      </c>
      <c r="O10" s="23"/>
      <c r="R10" s="16" t="s">
        <v>51</v>
      </c>
      <c r="S10" s="16"/>
      <c r="T10" s="17" t="n">
        <f aca="false">IF($S$3="","-",IFERROR(INDEX('Controle de Entrega'!$E:$E,$AB$3),"-"))</f>
        <v>1</v>
      </c>
      <c r="U10" s="17"/>
    </row>
    <row r="11" customFormat="false" ht="15" hidden="false" customHeight="false" outlineLevel="0" collapsed="false">
      <c r="A11" s="18" t="s">
        <v>52</v>
      </c>
      <c r="R11" s="16" t="s">
        <v>53</v>
      </c>
      <c r="S11" s="16"/>
      <c r="T11" s="24" t="n">
        <f aca="false">IF($S$3="","-",IFERROR(INDEX('Controle de Entrega'!$G:$G,$AB$3),"-"))</f>
        <v>46120</v>
      </c>
      <c r="U11" s="24"/>
    </row>
    <row r="12" customFormat="false" ht="30" hidden="false" customHeight="true" outlineLevel="0" collapsed="false">
      <c r="A12" s="3" t="s">
        <v>54</v>
      </c>
      <c r="B12" s="3" t="s">
        <v>55</v>
      </c>
      <c r="C12" s="3" t="s">
        <v>46</v>
      </c>
      <c r="D12" s="3" t="s">
        <v>49</v>
      </c>
      <c r="E12" s="3" t="s">
        <v>56</v>
      </c>
      <c r="F12" s="3" t="s">
        <v>51</v>
      </c>
      <c r="G12" s="3" t="s">
        <v>57</v>
      </c>
      <c r="H12" s="3" t="s">
        <v>58</v>
      </c>
      <c r="I12" s="3" t="s">
        <v>59</v>
      </c>
      <c r="J12" s="3" t="s">
        <v>60</v>
      </c>
      <c r="R12" s="16" t="s">
        <v>59</v>
      </c>
      <c r="S12" s="16"/>
      <c r="T12" s="17" t="n">
        <f aca="false">IF($S$3="","",IFERROR(IF(INDEX('Controle de Entrega'!$H:$H,$AB$3)=0,"",INDEX('Controle de Entrega'!$H:$H,$AB$3)),""))</f>
        <v>2400000</v>
      </c>
      <c r="U12" s="17"/>
    </row>
    <row r="13" customFormat="false" ht="15" hidden="false" customHeight="false" outlineLevel="0" collapsed="false">
      <c r="A13" s="25" t="n">
        <v>1</v>
      </c>
      <c r="B13" s="25"/>
      <c r="C13" s="25"/>
      <c r="D13" s="26"/>
      <c r="E13" s="25"/>
      <c r="F13" s="25"/>
      <c r="G13" s="25"/>
      <c r="H13" s="27"/>
      <c r="I13" s="25"/>
      <c r="J13" s="26"/>
      <c r="R13" s="16" t="s">
        <v>60</v>
      </c>
      <c r="S13" s="16"/>
      <c r="T13" s="17" t="str">
        <f aca="false">IF($S$3="","",IFERROR(IF(INDEX('Controle de Entrega'!$I:$I,$AB$3)=0,"",INDEX('Controle de Entrega'!$I:$I,$AB$3)),""))</f>
        <v>CLIENTE</v>
      </c>
      <c r="U13" s="17"/>
    </row>
    <row r="14" customFormat="false" ht="15" hidden="false" customHeight="false" outlineLevel="0" collapsed="false">
      <c r="A14" s="25" t="n">
        <v>2</v>
      </c>
      <c r="B14" s="25"/>
      <c r="C14" s="25"/>
      <c r="D14" s="26"/>
      <c r="E14" s="25"/>
      <c r="F14" s="25"/>
      <c r="G14" s="25"/>
      <c r="H14" s="27"/>
      <c r="I14" s="25"/>
      <c r="J14" s="26"/>
    </row>
    <row r="15" customFormat="false" ht="15" hidden="false" customHeight="false" outlineLevel="0" collapsed="false">
      <c r="A15" s="25" t="n">
        <v>3</v>
      </c>
      <c r="B15" s="25"/>
      <c r="C15" s="25"/>
      <c r="D15" s="26"/>
      <c r="E15" s="25"/>
      <c r="F15" s="25"/>
      <c r="G15" s="25"/>
      <c r="H15" s="27"/>
      <c r="I15" s="25"/>
      <c r="J15" s="26"/>
    </row>
    <row r="16" customFormat="false" ht="15" hidden="false" customHeight="false" outlineLevel="0" collapsed="false">
      <c r="A16" s="25" t="n">
        <v>4</v>
      </c>
      <c r="B16" s="25"/>
      <c r="C16" s="25"/>
      <c r="D16" s="26"/>
      <c r="E16" s="25"/>
      <c r="F16" s="25"/>
      <c r="G16" s="25"/>
      <c r="H16" s="27"/>
      <c r="I16" s="25"/>
      <c r="J16" s="26"/>
    </row>
    <row r="17" customFormat="false" ht="15" hidden="false" customHeight="false" outlineLevel="0" collapsed="false">
      <c r="A17" s="25" t="n">
        <v>5</v>
      </c>
      <c r="B17" s="25"/>
      <c r="C17" s="25"/>
      <c r="D17" s="26"/>
      <c r="E17" s="25"/>
      <c r="F17" s="25"/>
      <c r="G17" s="25"/>
      <c r="H17" s="27"/>
      <c r="I17" s="25"/>
      <c r="J17" s="26"/>
    </row>
    <row r="18" customFormat="false" ht="15" hidden="false" customHeight="false" outlineLevel="0" collapsed="false">
      <c r="A18" s="25" t="n">
        <v>6</v>
      </c>
      <c r="B18" s="25"/>
      <c r="C18" s="25"/>
      <c r="D18" s="26"/>
      <c r="E18" s="25"/>
      <c r="F18" s="25"/>
      <c r="G18" s="25"/>
      <c r="H18" s="27"/>
      <c r="I18" s="25"/>
      <c r="J18" s="26"/>
    </row>
    <row r="19" customFormat="false" ht="15" hidden="false" customHeight="false" outlineLevel="0" collapsed="false">
      <c r="A19" s="25" t="n">
        <v>7</v>
      </c>
      <c r="B19" s="25"/>
      <c r="C19" s="25"/>
      <c r="D19" s="26"/>
      <c r="E19" s="25"/>
      <c r="F19" s="25"/>
      <c r="G19" s="25"/>
      <c r="H19" s="27"/>
      <c r="I19" s="25"/>
      <c r="J19" s="26"/>
    </row>
    <row r="20" customFormat="false" ht="15" hidden="false" customHeight="false" outlineLevel="0" collapsed="false">
      <c r="A20" s="25" t="n">
        <v>8</v>
      </c>
      <c r="B20" s="25"/>
      <c r="C20" s="25"/>
      <c r="D20" s="26"/>
      <c r="E20" s="25"/>
      <c r="F20" s="25"/>
      <c r="G20" s="25"/>
      <c r="H20" s="27"/>
      <c r="I20" s="25"/>
      <c r="J20" s="26"/>
    </row>
    <row r="21" customFormat="false" ht="15" hidden="false" customHeight="false" outlineLevel="0" collapsed="false">
      <c r="A21" s="25" t="n">
        <v>9</v>
      </c>
      <c r="B21" s="25"/>
      <c r="C21" s="25"/>
      <c r="D21" s="26"/>
      <c r="E21" s="25"/>
      <c r="F21" s="25"/>
      <c r="G21" s="25"/>
      <c r="H21" s="27"/>
      <c r="I21" s="25"/>
      <c r="J21" s="26"/>
    </row>
    <row r="22" customFormat="false" ht="15" hidden="false" customHeight="false" outlineLevel="0" collapsed="false">
      <c r="A22" s="25" t="n">
        <v>10</v>
      </c>
      <c r="B22" s="25"/>
      <c r="C22" s="25"/>
      <c r="D22" s="26"/>
      <c r="E22" s="25"/>
      <c r="F22" s="25"/>
      <c r="G22" s="25"/>
      <c r="H22" s="27"/>
      <c r="I22" s="25"/>
      <c r="J22" s="26"/>
    </row>
    <row r="23" customFormat="false" ht="15" hidden="false" customHeight="false" outlineLevel="0" collapsed="false">
      <c r="A23" s="25" t="n">
        <v>11</v>
      </c>
      <c r="B23" s="25"/>
      <c r="C23" s="25"/>
      <c r="D23" s="26"/>
      <c r="E23" s="25"/>
      <c r="F23" s="25"/>
      <c r="G23" s="25"/>
      <c r="H23" s="27"/>
      <c r="I23" s="25"/>
      <c r="J23" s="26"/>
    </row>
    <row r="24" customFormat="false" ht="15" hidden="false" customHeight="false" outlineLevel="0" collapsed="false">
      <c r="A24" s="25" t="n">
        <v>12</v>
      </c>
      <c r="B24" s="25"/>
      <c r="C24" s="25"/>
      <c r="D24" s="26"/>
      <c r="E24" s="25"/>
      <c r="F24" s="25"/>
      <c r="G24" s="25"/>
      <c r="H24" s="27"/>
      <c r="I24" s="25"/>
      <c r="J24" s="26"/>
    </row>
    <row r="25" customFormat="false" ht="15" hidden="false" customHeight="false" outlineLevel="0" collapsed="false">
      <c r="A25" s="25" t="n">
        <v>13</v>
      </c>
      <c r="B25" s="25"/>
      <c r="C25" s="25"/>
      <c r="D25" s="26"/>
      <c r="E25" s="25"/>
      <c r="F25" s="25"/>
      <c r="G25" s="25"/>
      <c r="H25" s="27"/>
      <c r="I25" s="25"/>
      <c r="J25" s="26"/>
    </row>
    <row r="26" customFormat="false" ht="15" hidden="false" customHeight="false" outlineLevel="0" collapsed="false">
      <c r="A26" s="25" t="n">
        <v>14</v>
      </c>
      <c r="B26" s="25" t="str">
        <f aca="false">IFERROR(INDEX('Controle de Entrega'!$A$6:$A$1575,MATCH($A26,'Controle de Entrega'!$J$6:$J$1575,0)),"")</f>
        <v/>
      </c>
      <c r="C26" s="25" t="str">
        <f aca="false">IFERROR(INDEX('Controle de Entrega'!$B$6:$B$1575,MATCH($A26,'Controle de Entrega'!$J$6:$J$1575,0)),"")</f>
        <v/>
      </c>
      <c r="D26" s="26" t="str">
        <f aca="false">IFERROR(INDEX('Controle de Entrega'!$C$6:$C$1575,MATCH($A26,'Controle de Entrega'!$J$6:$J$1575,0)),"")</f>
        <v/>
      </c>
      <c r="E26" s="25" t="str">
        <f aca="false">IFERROR(INDEX('Controle de Entrega'!$D$6:$D$1575,MATCH($A26,'Controle de Entrega'!$J$6:$J$1575,0)),"")</f>
        <v/>
      </c>
      <c r="F26" s="25" t="str">
        <f aca="false">IFERROR(INDEX('Controle de Entrega'!$E$6:$E$1575,MATCH($A26,'Controle de Entrega'!$J$6:$J$1575,0)),"")</f>
        <v/>
      </c>
      <c r="G26" s="25" t="str">
        <f aca="false">IFERROR(INDEX('Controle de Entrega'!$F$6:$F$1575,MATCH($A26,'Controle de Entrega'!$J$6:$J$1575,0)),"")</f>
        <v/>
      </c>
      <c r="H26" s="27" t="str">
        <f aca="false">IFERROR(INDEX('Controle de Entrega'!$G$6:$G$1575,MATCH($A26,'Controle de Entrega'!$J$6:$J$1575,0)),"")</f>
        <v/>
      </c>
      <c r="I26" s="25" t="str">
        <f aca="false">IFERROR(IF(INDEX('Controle de Entrega'!$H$6:$H$1575,MATCH($A26,'Controle de Entrega'!$J$6:$J$1575,0))=0,"",INDEX('Controle de Entrega'!$H$6:$H$1575,MATCH($A26,'Controle de Entrega'!$J$6:$J$1575,0))),"")</f>
        <v/>
      </c>
      <c r="J26" s="26" t="str">
        <f aca="false">IFERROR(IF(INDEX('Controle de Entrega'!$I$6:$I$1575,MATCH($A26,'Controle de Entrega'!$J$6:$J$1575,0))=0,"",INDEX('Controle de Entrega'!$I$6:$I$1575,MATCH($A26,'Controle de Entrega'!$J$6:$J$1575,0))),"")</f>
        <v/>
      </c>
    </row>
    <row r="27" customFormat="false" ht="15" hidden="false" customHeight="false" outlineLevel="0" collapsed="false">
      <c r="A27" s="25" t="n">
        <v>15</v>
      </c>
      <c r="B27" s="25" t="str">
        <f aca="false">IFERROR(INDEX('Controle de Entrega'!$A$6:$A$1575,MATCH($A27,'Controle de Entrega'!$J$6:$J$1575,0)),"")</f>
        <v/>
      </c>
      <c r="C27" s="25" t="str">
        <f aca="false">IFERROR(INDEX('Controle de Entrega'!$B$6:$B$1575,MATCH($A27,'Controle de Entrega'!$J$6:$J$1575,0)),"")</f>
        <v/>
      </c>
      <c r="D27" s="26" t="str">
        <f aca="false">IFERROR(INDEX('Controle de Entrega'!$C$6:$C$1575,MATCH($A27,'Controle de Entrega'!$J$6:$J$1575,0)),"")</f>
        <v/>
      </c>
      <c r="E27" s="25" t="str">
        <f aca="false">IFERROR(INDEX('Controle de Entrega'!$D$6:$D$1575,MATCH($A27,'Controle de Entrega'!$J$6:$J$1575,0)),"")</f>
        <v/>
      </c>
      <c r="F27" s="25" t="str">
        <f aca="false">IFERROR(INDEX('Controle de Entrega'!$E$6:$E$1575,MATCH($A27,'Controle de Entrega'!$J$6:$J$1575,0)),"")</f>
        <v/>
      </c>
      <c r="G27" s="25" t="str">
        <f aca="false">IFERROR(INDEX('Controle de Entrega'!$F$6:$F$1575,MATCH($A27,'Controle de Entrega'!$J$6:$J$1575,0)),"")</f>
        <v/>
      </c>
      <c r="H27" s="27" t="str">
        <f aca="false">IFERROR(INDEX('Controle de Entrega'!$G$6:$G$1575,MATCH($A27,'Controle de Entrega'!$J$6:$J$1575,0)),"")</f>
        <v/>
      </c>
      <c r="I27" s="25" t="str">
        <f aca="false">IFERROR(IF(INDEX('Controle de Entrega'!$H$6:$H$1575,MATCH($A27,'Controle de Entrega'!$J$6:$J$1575,0))=0,"",INDEX('Controle de Entrega'!$H$6:$H$1575,MATCH($A27,'Controle de Entrega'!$J$6:$J$1575,0))),"")</f>
        <v/>
      </c>
      <c r="J27" s="26" t="str">
        <f aca="false">IFERROR(IF(INDEX('Controle de Entrega'!$I$6:$I$1575,MATCH($A27,'Controle de Entrega'!$J$6:$J$1575,0))=0,"",INDEX('Controle de Entrega'!$I$6:$I$1575,MATCH($A27,'Controle de Entrega'!$J$6:$J$1575,0))),"")</f>
        <v/>
      </c>
    </row>
    <row r="28" customFormat="false" ht="15" hidden="false" customHeight="false" outlineLevel="0" collapsed="false">
      <c r="A28" s="25" t="n">
        <v>16</v>
      </c>
      <c r="B28" s="25" t="str">
        <f aca="false">IFERROR(INDEX('Controle de Entrega'!$A$6:$A$1575,MATCH($A28,'Controle de Entrega'!$J$6:$J$1575,0)),"")</f>
        <v/>
      </c>
      <c r="C28" s="25" t="str">
        <f aca="false">IFERROR(INDEX('Controle de Entrega'!$B$6:$B$1575,MATCH($A28,'Controle de Entrega'!$J$6:$J$1575,0)),"")</f>
        <v/>
      </c>
      <c r="D28" s="26" t="str">
        <f aca="false">IFERROR(INDEX('Controle de Entrega'!$C$6:$C$1575,MATCH($A28,'Controle de Entrega'!$J$6:$J$1575,0)),"")</f>
        <v/>
      </c>
      <c r="E28" s="25" t="str">
        <f aca="false">IFERROR(INDEX('Controle de Entrega'!$D$6:$D$1575,MATCH($A28,'Controle de Entrega'!$J$6:$J$1575,0)),"")</f>
        <v/>
      </c>
      <c r="F28" s="25" t="str">
        <f aca="false">IFERROR(INDEX('Controle de Entrega'!$E$6:$E$1575,MATCH($A28,'Controle de Entrega'!$J$6:$J$1575,0)),"")</f>
        <v/>
      </c>
      <c r="G28" s="25" t="str">
        <f aca="false">IFERROR(INDEX('Controle de Entrega'!$F$6:$F$1575,MATCH($A28,'Controle de Entrega'!$J$6:$J$1575,0)),"")</f>
        <v/>
      </c>
      <c r="H28" s="27" t="str">
        <f aca="false">IFERROR(INDEX('Controle de Entrega'!$G$6:$G$1575,MATCH($A28,'Controle de Entrega'!$J$6:$J$1575,0)),"")</f>
        <v/>
      </c>
      <c r="I28" s="25" t="str">
        <f aca="false">IFERROR(IF(INDEX('Controle de Entrega'!$H$6:$H$1575,MATCH($A28,'Controle de Entrega'!$J$6:$J$1575,0))=0,"",INDEX('Controle de Entrega'!$H$6:$H$1575,MATCH($A28,'Controle de Entrega'!$J$6:$J$1575,0))),"")</f>
        <v/>
      </c>
      <c r="J28" s="26" t="str">
        <f aca="false">IFERROR(IF(INDEX('Controle de Entrega'!$I$6:$I$1575,MATCH($A28,'Controle de Entrega'!$J$6:$J$1575,0))=0,"",INDEX('Controle de Entrega'!$I$6:$I$1575,MATCH($A28,'Controle de Entrega'!$J$6:$J$1575,0))),"")</f>
        <v/>
      </c>
    </row>
    <row r="29" customFormat="false" ht="15" hidden="false" customHeight="false" outlineLevel="0" collapsed="false">
      <c r="A29" s="25" t="n">
        <v>17</v>
      </c>
      <c r="B29" s="25" t="str">
        <f aca="false">IFERROR(INDEX('Controle de Entrega'!$A$6:$A$1575,MATCH($A29,'Controle de Entrega'!$J$6:$J$1575,0)),"")</f>
        <v/>
      </c>
      <c r="C29" s="25" t="str">
        <f aca="false">IFERROR(INDEX('Controle de Entrega'!$B$6:$B$1575,MATCH($A29,'Controle de Entrega'!$J$6:$J$1575,0)),"")</f>
        <v/>
      </c>
      <c r="D29" s="26" t="str">
        <f aca="false">IFERROR(INDEX('Controle de Entrega'!$C$6:$C$1575,MATCH($A29,'Controle de Entrega'!$J$6:$J$1575,0)),"")</f>
        <v/>
      </c>
      <c r="E29" s="25" t="str">
        <f aca="false">IFERROR(INDEX('Controle de Entrega'!$D$6:$D$1575,MATCH($A29,'Controle de Entrega'!$J$6:$J$1575,0)),"")</f>
        <v/>
      </c>
      <c r="F29" s="25" t="str">
        <f aca="false">IFERROR(INDEX('Controle de Entrega'!$E$6:$E$1575,MATCH($A29,'Controle de Entrega'!$J$6:$J$1575,0)),"")</f>
        <v/>
      </c>
      <c r="G29" s="25" t="str">
        <f aca="false">IFERROR(INDEX('Controle de Entrega'!$F$6:$F$1575,MATCH($A29,'Controle de Entrega'!$J$6:$J$1575,0)),"")</f>
        <v/>
      </c>
      <c r="H29" s="27" t="str">
        <f aca="false">IFERROR(INDEX('Controle de Entrega'!$G$6:$G$1575,MATCH($A29,'Controle de Entrega'!$J$6:$J$1575,0)),"")</f>
        <v/>
      </c>
      <c r="I29" s="25" t="str">
        <f aca="false">IFERROR(IF(INDEX('Controle de Entrega'!$H$6:$H$1575,MATCH($A29,'Controle de Entrega'!$J$6:$J$1575,0))=0,"",INDEX('Controle de Entrega'!$H$6:$H$1575,MATCH($A29,'Controle de Entrega'!$J$6:$J$1575,0))),"")</f>
        <v/>
      </c>
      <c r="J29" s="26" t="str">
        <f aca="false">IFERROR(IF(INDEX('Controle de Entrega'!$I$6:$I$1575,MATCH($A29,'Controle de Entrega'!$J$6:$J$1575,0))=0,"",INDEX('Controle de Entrega'!$I$6:$I$1575,MATCH($A29,'Controle de Entrega'!$J$6:$J$1575,0))),"")</f>
        <v/>
      </c>
    </row>
    <row r="30" customFormat="false" ht="15" hidden="false" customHeight="false" outlineLevel="0" collapsed="false">
      <c r="A30" s="25" t="n">
        <v>18</v>
      </c>
      <c r="B30" s="25" t="str">
        <f aca="false">IFERROR(INDEX('Controle de Entrega'!$A$6:$A$1575,MATCH($A30,'Controle de Entrega'!$J$6:$J$1575,0)),"")</f>
        <v/>
      </c>
      <c r="C30" s="25" t="str">
        <f aca="false">IFERROR(INDEX('Controle de Entrega'!$B$6:$B$1575,MATCH($A30,'Controle de Entrega'!$J$6:$J$1575,0)),"")</f>
        <v/>
      </c>
      <c r="D30" s="26" t="str">
        <f aca="false">IFERROR(INDEX('Controle de Entrega'!$C$6:$C$1575,MATCH($A30,'Controle de Entrega'!$J$6:$J$1575,0)),"")</f>
        <v/>
      </c>
      <c r="E30" s="25" t="str">
        <f aca="false">IFERROR(INDEX('Controle de Entrega'!$D$6:$D$1575,MATCH($A30,'Controle de Entrega'!$J$6:$J$1575,0)),"")</f>
        <v/>
      </c>
      <c r="F30" s="25" t="str">
        <f aca="false">IFERROR(INDEX('Controle de Entrega'!$E$6:$E$1575,MATCH($A30,'Controle de Entrega'!$J$6:$J$1575,0)),"")</f>
        <v/>
      </c>
      <c r="G30" s="25" t="str">
        <f aca="false">IFERROR(INDEX('Controle de Entrega'!$F$6:$F$1575,MATCH($A30,'Controle de Entrega'!$J$6:$J$1575,0)),"")</f>
        <v/>
      </c>
      <c r="H30" s="27" t="str">
        <f aca="false">IFERROR(INDEX('Controle de Entrega'!$G$6:$G$1575,MATCH($A30,'Controle de Entrega'!$J$6:$J$1575,0)),"")</f>
        <v/>
      </c>
      <c r="I30" s="25" t="str">
        <f aca="false">IFERROR(IF(INDEX('Controle de Entrega'!$H$6:$H$1575,MATCH($A30,'Controle de Entrega'!$J$6:$J$1575,0))=0,"",INDEX('Controle de Entrega'!$H$6:$H$1575,MATCH($A30,'Controle de Entrega'!$J$6:$J$1575,0))),"")</f>
        <v/>
      </c>
      <c r="J30" s="26" t="str">
        <f aca="false">IFERROR(IF(INDEX('Controle de Entrega'!$I$6:$I$1575,MATCH($A30,'Controle de Entrega'!$J$6:$J$1575,0))=0,"",INDEX('Controle de Entrega'!$I$6:$I$1575,MATCH($A30,'Controle de Entrega'!$J$6:$J$1575,0))),"")</f>
        <v/>
      </c>
    </row>
    <row r="31" customFormat="false" ht="15" hidden="false" customHeight="false" outlineLevel="0" collapsed="false">
      <c r="A31" s="25" t="n">
        <v>19</v>
      </c>
      <c r="B31" s="25" t="str">
        <f aca="false">IFERROR(INDEX('Controle de Entrega'!$A$6:$A$1575,MATCH($A31,'Controle de Entrega'!$J$6:$J$1575,0)),"")</f>
        <v/>
      </c>
      <c r="C31" s="25" t="str">
        <f aca="false">IFERROR(INDEX('Controle de Entrega'!$B$6:$B$1575,MATCH($A31,'Controle de Entrega'!$J$6:$J$1575,0)),"")</f>
        <v/>
      </c>
      <c r="D31" s="26" t="str">
        <f aca="false">IFERROR(INDEX('Controle de Entrega'!$C$6:$C$1575,MATCH($A31,'Controle de Entrega'!$J$6:$J$1575,0)),"")</f>
        <v/>
      </c>
      <c r="E31" s="25" t="str">
        <f aca="false">IFERROR(INDEX('Controle de Entrega'!$D$6:$D$1575,MATCH($A31,'Controle de Entrega'!$J$6:$J$1575,0)),"")</f>
        <v/>
      </c>
      <c r="F31" s="25" t="str">
        <f aca="false">IFERROR(INDEX('Controle de Entrega'!$E$6:$E$1575,MATCH($A31,'Controle de Entrega'!$J$6:$J$1575,0)),"")</f>
        <v/>
      </c>
      <c r="G31" s="25" t="str">
        <f aca="false">IFERROR(INDEX('Controle de Entrega'!$F$6:$F$1575,MATCH($A31,'Controle de Entrega'!$J$6:$J$1575,0)),"")</f>
        <v/>
      </c>
      <c r="H31" s="27" t="str">
        <f aca="false">IFERROR(INDEX('Controle de Entrega'!$G$6:$G$1575,MATCH($A31,'Controle de Entrega'!$J$6:$J$1575,0)),"")</f>
        <v/>
      </c>
      <c r="I31" s="25" t="str">
        <f aca="false">IFERROR(IF(INDEX('Controle de Entrega'!$H$6:$H$1575,MATCH($A31,'Controle de Entrega'!$J$6:$J$1575,0))=0,"",INDEX('Controle de Entrega'!$H$6:$H$1575,MATCH($A31,'Controle de Entrega'!$J$6:$J$1575,0))),"")</f>
        <v/>
      </c>
      <c r="J31" s="26" t="str">
        <f aca="false">IFERROR(IF(INDEX('Controle de Entrega'!$I$6:$I$1575,MATCH($A31,'Controle de Entrega'!$J$6:$J$1575,0))=0,"",INDEX('Controle de Entrega'!$I$6:$I$1575,MATCH($A31,'Controle de Entrega'!$J$6:$J$1575,0))),"")</f>
        <v/>
      </c>
    </row>
    <row r="32" customFormat="false" ht="15" hidden="false" customHeight="false" outlineLevel="0" collapsed="false">
      <c r="A32" s="25" t="n">
        <v>20</v>
      </c>
      <c r="B32" s="25" t="str">
        <f aca="false">IFERROR(INDEX('Controle de Entrega'!$A$6:$A$1575,MATCH($A32,'Controle de Entrega'!$J$6:$J$1575,0)),"")</f>
        <v/>
      </c>
      <c r="C32" s="25" t="str">
        <f aca="false">IFERROR(INDEX('Controle de Entrega'!$B$6:$B$1575,MATCH($A32,'Controle de Entrega'!$J$6:$J$1575,0)),"")</f>
        <v/>
      </c>
      <c r="D32" s="26" t="str">
        <f aca="false">IFERROR(INDEX('Controle de Entrega'!$C$6:$C$1575,MATCH($A32,'Controle de Entrega'!$J$6:$J$1575,0)),"")</f>
        <v/>
      </c>
      <c r="E32" s="25" t="str">
        <f aca="false">IFERROR(INDEX('Controle de Entrega'!$D$6:$D$1575,MATCH($A32,'Controle de Entrega'!$J$6:$J$1575,0)),"")</f>
        <v/>
      </c>
      <c r="F32" s="25" t="str">
        <f aca="false">IFERROR(INDEX('Controle de Entrega'!$E$6:$E$1575,MATCH($A32,'Controle de Entrega'!$J$6:$J$1575,0)),"")</f>
        <v/>
      </c>
      <c r="G32" s="25" t="str">
        <f aca="false">IFERROR(INDEX('Controle de Entrega'!$F$6:$F$1575,MATCH($A32,'Controle de Entrega'!$J$6:$J$1575,0)),"")</f>
        <v/>
      </c>
      <c r="H32" s="27" t="str">
        <f aca="false">IFERROR(INDEX('Controle de Entrega'!$G$6:$G$1575,MATCH($A32,'Controle de Entrega'!$J$6:$J$1575,0)),"")</f>
        <v/>
      </c>
      <c r="I32" s="25" t="str">
        <f aca="false">IFERROR(IF(INDEX('Controle de Entrega'!$H$6:$H$1575,MATCH($A32,'Controle de Entrega'!$J$6:$J$1575,0))=0,"",INDEX('Controle de Entrega'!$H$6:$H$1575,MATCH($A32,'Controle de Entrega'!$J$6:$J$1575,0))),"")</f>
        <v/>
      </c>
      <c r="J32" s="26" t="str">
        <f aca="false">IFERROR(IF(INDEX('Controle de Entrega'!$I$6:$I$1575,MATCH($A32,'Controle de Entrega'!$J$6:$J$1575,0))=0,"",INDEX('Controle de Entrega'!$I$6:$I$1575,MATCH($A32,'Controle de Entrega'!$J$6:$J$1575,0))),"")</f>
        <v/>
      </c>
    </row>
    <row r="33" customFormat="false" ht="15" hidden="false" customHeight="false" outlineLevel="0" collapsed="false">
      <c r="A33" s="25" t="n">
        <v>21</v>
      </c>
      <c r="B33" s="25" t="str">
        <f aca="false">IFERROR(INDEX('Controle de Entrega'!$A$6:$A$1575,MATCH($A33,'Controle de Entrega'!$J$6:$J$1575,0)),"")</f>
        <v/>
      </c>
      <c r="C33" s="25" t="str">
        <f aca="false">IFERROR(INDEX('Controle de Entrega'!$B$6:$B$1575,MATCH($A33,'Controle de Entrega'!$J$6:$J$1575,0)),"")</f>
        <v/>
      </c>
      <c r="D33" s="26" t="str">
        <f aca="false">IFERROR(INDEX('Controle de Entrega'!$C$6:$C$1575,MATCH($A33,'Controle de Entrega'!$J$6:$J$1575,0)),"")</f>
        <v/>
      </c>
      <c r="E33" s="25" t="str">
        <f aca="false">IFERROR(INDEX('Controle de Entrega'!$D$6:$D$1575,MATCH($A33,'Controle de Entrega'!$J$6:$J$1575,0)),"")</f>
        <v/>
      </c>
      <c r="F33" s="25" t="str">
        <f aca="false">IFERROR(INDEX('Controle de Entrega'!$E$6:$E$1575,MATCH($A33,'Controle de Entrega'!$J$6:$J$1575,0)),"")</f>
        <v/>
      </c>
      <c r="G33" s="25" t="str">
        <f aca="false">IFERROR(INDEX('Controle de Entrega'!$F$6:$F$1575,MATCH($A33,'Controle de Entrega'!$J$6:$J$1575,0)),"")</f>
        <v/>
      </c>
      <c r="H33" s="27" t="str">
        <f aca="false">IFERROR(INDEX('Controle de Entrega'!$G$6:$G$1575,MATCH($A33,'Controle de Entrega'!$J$6:$J$1575,0)),"")</f>
        <v/>
      </c>
      <c r="I33" s="25" t="str">
        <f aca="false">IFERROR(IF(INDEX('Controle de Entrega'!$H$6:$H$1575,MATCH($A33,'Controle de Entrega'!$J$6:$J$1575,0))=0,"",INDEX('Controle de Entrega'!$H$6:$H$1575,MATCH($A33,'Controle de Entrega'!$J$6:$J$1575,0))),"")</f>
        <v/>
      </c>
      <c r="J33" s="26" t="str">
        <f aca="false">IFERROR(IF(INDEX('Controle de Entrega'!$I$6:$I$1575,MATCH($A33,'Controle de Entrega'!$J$6:$J$1575,0))=0,"",INDEX('Controle de Entrega'!$I$6:$I$1575,MATCH($A33,'Controle de Entrega'!$J$6:$J$1575,0))),"")</f>
        <v/>
      </c>
    </row>
    <row r="34" customFormat="false" ht="15" hidden="false" customHeight="false" outlineLevel="0" collapsed="false">
      <c r="A34" s="25" t="n">
        <v>22</v>
      </c>
      <c r="B34" s="25" t="str">
        <f aca="false">IFERROR(INDEX('Controle de Entrega'!$A$6:$A$1575,MATCH($A34,'Controle de Entrega'!$J$6:$J$1575,0)),"")</f>
        <v/>
      </c>
      <c r="C34" s="25" t="str">
        <f aca="false">IFERROR(INDEX('Controle de Entrega'!$B$6:$B$1575,MATCH($A34,'Controle de Entrega'!$J$6:$J$1575,0)),"")</f>
        <v/>
      </c>
      <c r="D34" s="26" t="str">
        <f aca="false">IFERROR(INDEX('Controle de Entrega'!$C$6:$C$1575,MATCH($A34,'Controle de Entrega'!$J$6:$J$1575,0)),"")</f>
        <v/>
      </c>
      <c r="E34" s="25" t="str">
        <f aca="false">IFERROR(INDEX('Controle de Entrega'!$D$6:$D$1575,MATCH($A34,'Controle de Entrega'!$J$6:$J$1575,0)),"")</f>
        <v/>
      </c>
      <c r="F34" s="25" t="str">
        <f aca="false">IFERROR(INDEX('Controle de Entrega'!$E$6:$E$1575,MATCH($A34,'Controle de Entrega'!$J$6:$J$1575,0)),"")</f>
        <v/>
      </c>
      <c r="G34" s="25" t="str">
        <f aca="false">IFERROR(INDEX('Controle de Entrega'!$F$6:$F$1575,MATCH($A34,'Controle de Entrega'!$J$6:$J$1575,0)),"")</f>
        <v/>
      </c>
      <c r="H34" s="27" t="str">
        <f aca="false">IFERROR(INDEX('Controle de Entrega'!$G$6:$G$1575,MATCH($A34,'Controle de Entrega'!$J$6:$J$1575,0)),"")</f>
        <v/>
      </c>
      <c r="I34" s="25" t="str">
        <f aca="false">IFERROR(IF(INDEX('Controle de Entrega'!$H$6:$H$1575,MATCH($A34,'Controle de Entrega'!$J$6:$J$1575,0))=0,"",INDEX('Controle de Entrega'!$H$6:$H$1575,MATCH($A34,'Controle de Entrega'!$J$6:$J$1575,0))),"")</f>
        <v/>
      </c>
      <c r="J34" s="26" t="str">
        <f aca="false">IFERROR(IF(INDEX('Controle de Entrega'!$I$6:$I$1575,MATCH($A34,'Controle de Entrega'!$J$6:$J$1575,0))=0,"",INDEX('Controle de Entrega'!$I$6:$I$1575,MATCH($A34,'Controle de Entrega'!$J$6:$J$1575,0))),"")</f>
        <v/>
      </c>
    </row>
    <row r="35" customFormat="false" ht="15" hidden="false" customHeight="false" outlineLevel="0" collapsed="false">
      <c r="A35" s="25" t="n">
        <v>23</v>
      </c>
      <c r="B35" s="25" t="str">
        <f aca="false">IFERROR(INDEX('Controle de Entrega'!$A$6:$A$1575,MATCH($A35,'Controle de Entrega'!$J$6:$J$1575,0)),"")</f>
        <v/>
      </c>
      <c r="C35" s="25" t="str">
        <f aca="false">IFERROR(INDEX('Controle de Entrega'!$B$6:$B$1575,MATCH($A35,'Controle de Entrega'!$J$6:$J$1575,0)),"")</f>
        <v/>
      </c>
      <c r="D35" s="26" t="str">
        <f aca="false">IFERROR(INDEX('Controle de Entrega'!$C$6:$C$1575,MATCH($A35,'Controle de Entrega'!$J$6:$J$1575,0)),"")</f>
        <v/>
      </c>
      <c r="E35" s="25" t="str">
        <f aca="false">IFERROR(INDEX('Controle de Entrega'!$D$6:$D$1575,MATCH($A35,'Controle de Entrega'!$J$6:$J$1575,0)),"")</f>
        <v/>
      </c>
      <c r="F35" s="25" t="str">
        <f aca="false">IFERROR(INDEX('Controle de Entrega'!$E$6:$E$1575,MATCH($A35,'Controle de Entrega'!$J$6:$J$1575,0)),"")</f>
        <v/>
      </c>
      <c r="G35" s="25" t="str">
        <f aca="false">IFERROR(INDEX('Controle de Entrega'!$F$6:$F$1575,MATCH($A35,'Controle de Entrega'!$J$6:$J$1575,0)),"")</f>
        <v/>
      </c>
      <c r="H35" s="27" t="str">
        <f aca="false">IFERROR(INDEX('Controle de Entrega'!$G$6:$G$1575,MATCH($A35,'Controle de Entrega'!$J$6:$J$1575,0)),"")</f>
        <v/>
      </c>
      <c r="I35" s="25" t="str">
        <f aca="false">IFERROR(IF(INDEX('Controle de Entrega'!$H$6:$H$1575,MATCH($A35,'Controle de Entrega'!$J$6:$J$1575,0))=0,"",INDEX('Controle de Entrega'!$H$6:$H$1575,MATCH($A35,'Controle de Entrega'!$J$6:$J$1575,0))),"")</f>
        <v/>
      </c>
      <c r="J35" s="26" t="str">
        <f aca="false">IFERROR(IF(INDEX('Controle de Entrega'!$I$6:$I$1575,MATCH($A35,'Controle de Entrega'!$J$6:$J$1575,0))=0,"",INDEX('Controle de Entrega'!$I$6:$I$1575,MATCH($A35,'Controle de Entrega'!$J$6:$J$1575,0))),"")</f>
        <v/>
      </c>
    </row>
    <row r="36" customFormat="false" ht="15" hidden="false" customHeight="false" outlineLevel="0" collapsed="false">
      <c r="A36" s="25" t="n">
        <v>24</v>
      </c>
      <c r="B36" s="25" t="str">
        <f aca="false">IFERROR(INDEX('Controle de Entrega'!$A$6:$A$1575,MATCH($A36,'Controle de Entrega'!$J$6:$J$1575,0)),"")</f>
        <v/>
      </c>
      <c r="C36" s="25" t="str">
        <f aca="false">IFERROR(INDEX('Controle de Entrega'!$B$6:$B$1575,MATCH($A36,'Controle de Entrega'!$J$6:$J$1575,0)),"")</f>
        <v/>
      </c>
      <c r="D36" s="26" t="str">
        <f aca="false">IFERROR(INDEX('Controle de Entrega'!$C$6:$C$1575,MATCH($A36,'Controle de Entrega'!$J$6:$J$1575,0)),"")</f>
        <v/>
      </c>
      <c r="E36" s="25" t="str">
        <f aca="false">IFERROR(INDEX('Controle de Entrega'!$D$6:$D$1575,MATCH($A36,'Controle de Entrega'!$J$6:$J$1575,0)),"")</f>
        <v/>
      </c>
      <c r="F36" s="25" t="str">
        <f aca="false">IFERROR(INDEX('Controle de Entrega'!$E$6:$E$1575,MATCH($A36,'Controle de Entrega'!$J$6:$J$1575,0)),"")</f>
        <v/>
      </c>
      <c r="G36" s="25" t="str">
        <f aca="false">IFERROR(INDEX('Controle de Entrega'!$F$6:$F$1575,MATCH($A36,'Controle de Entrega'!$J$6:$J$1575,0)),"")</f>
        <v/>
      </c>
      <c r="H36" s="27" t="str">
        <f aca="false">IFERROR(INDEX('Controle de Entrega'!$G$6:$G$1575,MATCH($A36,'Controle de Entrega'!$J$6:$J$1575,0)),"")</f>
        <v/>
      </c>
      <c r="I36" s="25" t="str">
        <f aca="false">IFERROR(IF(INDEX('Controle de Entrega'!$H$6:$H$1575,MATCH($A36,'Controle de Entrega'!$J$6:$J$1575,0))=0,"",INDEX('Controle de Entrega'!$H$6:$H$1575,MATCH($A36,'Controle de Entrega'!$J$6:$J$1575,0))),"")</f>
        <v/>
      </c>
      <c r="J36" s="26" t="str">
        <f aca="false">IFERROR(IF(INDEX('Controle de Entrega'!$I$6:$I$1575,MATCH($A36,'Controle de Entrega'!$J$6:$J$1575,0))=0,"",INDEX('Controle de Entrega'!$I$6:$I$1575,MATCH($A36,'Controle de Entrega'!$J$6:$J$1575,0))),"")</f>
        <v/>
      </c>
    </row>
    <row r="37" customFormat="false" ht="15" hidden="false" customHeight="false" outlineLevel="0" collapsed="false">
      <c r="A37" s="25" t="n">
        <v>25</v>
      </c>
      <c r="B37" s="25" t="str">
        <f aca="false">IFERROR(INDEX('Controle de Entrega'!$A$6:$A$1575,MATCH($A37,'Controle de Entrega'!$J$6:$J$1575,0)),"")</f>
        <v/>
      </c>
      <c r="C37" s="25" t="str">
        <f aca="false">IFERROR(INDEX('Controle de Entrega'!$B$6:$B$1575,MATCH($A37,'Controle de Entrega'!$J$6:$J$1575,0)),"")</f>
        <v/>
      </c>
      <c r="D37" s="26" t="str">
        <f aca="false">IFERROR(INDEX('Controle de Entrega'!$C$6:$C$1575,MATCH($A37,'Controle de Entrega'!$J$6:$J$1575,0)),"")</f>
        <v/>
      </c>
      <c r="E37" s="25" t="str">
        <f aca="false">IFERROR(INDEX('Controle de Entrega'!$D$6:$D$1575,MATCH($A37,'Controle de Entrega'!$J$6:$J$1575,0)),"")</f>
        <v/>
      </c>
      <c r="F37" s="25" t="str">
        <f aca="false">IFERROR(INDEX('Controle de Entrega'!$E$6:$E$1575,MATCH($A37,'Controle de Entrega'!$J$6:$J$1575,0)),"")</f>
        <v/>
      </c>
      <c r="G37" s="25" t="str">
        <f aca="false">IFERROR(INDEX('Controle de Entrega'!$F$6:$F$1575,MATCH($A37,'Controle de Entrega'!$J$6:$J$1575,0)),"")</f>
        <v/>
      </c>
      <c r="H37" s="27" t="str">
        <f aca="false">IFERROR(INDEX('Controle de Entrega'!$G$6:$G$1575,MATCH($A37,'Controle de Entrega'!$J$6:$J$1575,0)),"")</f>
        <v/>
      </c>
      <c r="I37" s="25" t="str">
        <f aca="false">IFERROR(IF(INDEX('Controle de Entrega'!$H$6:$H$1575,MATCH($A37,'Controle de Entrega'!$J$6:$J$1575,0))=0,"",INDEX('Controle de Entrega'!$H$6:$H$1575,MATCH($A37,'Controle de Entrega'!$J$6:$J$1575,0))),"")</f>
        <v/>
      </c>
      <c r="J37" s="26" t="str">
        <f aca="false">IFERROR(IF(INDEX('Controle de Entrega'!$I$6:$I$1575,MATCH($A37,'Controle de Entrega'!$J$6:$J$1575,0))=0,"",INDEX('Controle de Entrega'!$I$6:$I$1575,MATCH($A37,'Controle de Entrega'!$J$6:$J$1575,0))),"")</f>
        <v/>
      </c>
    </row>
    <row r="38" customFormat="false" ht="15" hidden="false" customHeight="false" outlineLevel="0" collapsed="false">
      <c r="A38" s="25" t="n">
        <v>26</v>
      </c>
      <c r="B38" s="25" t="str">
        <f aca="false">IFERROR(INDEX('Controle de Entrega'!$A$6:$A$1575,MATCH($A38,'Controle de Entrega'!$J$6:$J$1575,0)),"")</f>
        <v/>
      </c>
      <c r="C38" s="25" t="str">
        <f aca="false">IFERROR(INDEX('Controle de Entrega'!$B$6:$B$1575,MATCH($A38,'Controle de Entrega'!$J$6:$J$1575,0)),"")</f>
        <v/>
      </c>
      <c r="D38" s="26" t="str">
        <f aca="false">IFERROR(INDEX('Controle de Entrega'!$C$6:$C$1575,MATCH($A38,'Controle de Entrega'!$J$6:$J$1575,0)),"")</f>
        <v/>
      </c>
      <c r="E38" s="25" t="str">
        <f aca="false">IFERROR(INDEX('Controle de Entrega'!$D$6:$D$1575,MATCH($A38,'Controle de Entrega'!$J$6:$J$1575,0)),"")</f>
        <v/>
      </c>
      <c r="F38" s="25" t="str">
        <f aca="false">IFERROR(INDEX('Controle de Entrega'!$E$6:$E$1575,MATCH($A38,'Controle de Entrega'!$J$6:$J$1575,0)),"")</f>
        <v/>
      </c>
      <c r="G38" s="25" t="str">
        <f aca="false">IFERROR(INDEX('Controle de Entrega'!$F$6:$F$1575,MATCH($A38,'Controle de Entrega'!$J$6:$J$1575,0)),"")</f>
        <v/>
      </c>
      <c r="H38" s="27" t="str">
        <f aca="false">IFERROR(INDEX('Controle de Entrega'!$G$6:$G$1575,MATCH($A38,'Controle de Entrega'!$J$6:$J$1575,0)),"")</f>
        <v/>
      </c>
      <c r="I38" s="25" t="str">
        <f aca="false">IFERROR(IF(INDEX('Controle de Entrega'!$H$6:$H$1575,MATCH($A38,'Controle de Entrega'!$J$6:$J$1575,0))=0,"",INDEX('Controle de Entrega'!$H$6:$H$1575,MATCH($A38,'Controle de Entrega'!$J$6:$J$1575,0))),"")</f>
        <v/>
      </c>
      <c r="J38" s="26" t="str">
        <f aca="false">IFERROR(IF(INDEX('Controle de Entrega'!$I$6:$I$1575,MATCH($A38,'Controle de Entrega'!$J$6:$J$1575,0))=0,"",INDEX('Controle de Entrega'!$I$6:$I$1575,MATCH($A38,'Controle de Entrega'!$J$6:$J$1575,0))),"")</f>
        <v/>
      </c>
    </row>
    <row r="39" customFormat="false" ht="15" hidden="false" customHeight="false" outlineLevel="0" collapsed="false">
      <c r="A39" s="25" t="n">
        <v>27</v>
      </c>
      <c r="B39" s="25" t="str">
        <f aca="false">IFERROR(INDEX('Controle de Entrega'!$A$6:$A$1575,MATCH($A39,'Controle de Entrega'!$J$6:$J$1575,0)),"")</f>
        <v/>
      </c>
      <c r="C39" s="25" t="str">
        <f aca="false">IFERROR(INDEX('Controle de Entrega'!$B$6:$B$1575,MATCH($A39,'Controle de Entrega'!$J$6:$J$1575,0)),"")</f>
        <v/>
      </c>
      <c r="D39" s="26" t="str">
        <f aca="false">IFERROR(INDEX('Controle de Entrega'!$C$6:$C$1575,MATCH($A39,'Controle de Entrega'!$J$6:$J$1575,0)),"")</f>
        <v/>
      </c>
      <c r="E39" s="25" t="str">
        <f aca="false">IFERROR(INDEX('Controle de Entrega'!$D$6:$D$1575,MATCH($A39,'Controle de Entrega'!$J$6:$J$1575,0)),"")</f>
        <v/>
      </c>
      <c r="F39" s="25" t="str">
        <f aca="false">IFERROR(INDEX('Controle de Entrega'!$E$6:$E$1575,MATCH($A39,'Controle de Entrega'!$J$6:$J$1575,0)),"")</f>
        <v/>
      </c>
      <c r="G39" s="25" t="str">
        <f aca="false">IFERROR(INDEX('Controle de Entrega'!$F$6:$F$1575,MATCH($A39,'Controle de Entrega'!$J$6:$J$1575,0)),"")</f>
        <v/>
      </c>
      <c r="H39" s="27" t="str">
        <f aca="false">IFERROR(INDEX('Controle de Entrega'!$G$6:$G$1575,MATCH($A39,'Controle de Entrega'!$J$6:$J$1575,0)),"")</f>
        <v/>
      </c>
      <c r="I39" s="25" t="str">
        <f aca="false">IFERROR(IF(INDEX('Controle de Entrega'!$H$6:$H$1575,MATCH($A39,'Controle de Entrega'!$J$6:$J$1575,0))=0,"",INDEX('Controle de Entrega'!$H$6:$H$1575,MATCH($A39,'Controle de Entrega'!$J$6:$J$1575,0))),"")</f>
        <v/>
      </c>
      <c r="J39" s="26" t="str">
        <f aca="false">IFERROR(IF(INDEX('Controle de Entrega'!$I$6:$I$1575,MATCH($A39,'Controle de Entrega'!$J$6:$J$1575,0))=0,"",INDEX('Controle de Entrega'!$I$6:$I$1575,MATCH($A39,'Controle de Entrega'!$J$6:$J$1575,0))),"")</f>
        <v/>
      </c>
    </row>
    <row r="40" customFormat="false" ht="15" hidden="false" customHeight="false" outlineLevel="0" collapsed="false">
      <c r="A40" s="25" t="n">
        <v>28</v>
      </c>
      <c r="B40" s="25" t="str">
        <f aca="false">IFERROR(INDEX('Controle de Entrega'!$A$6:$A$1575,MATCH($A40,'Controle de Entrega'!$J$6:$J$1575,0)),"")</f>
        <v/>
      </c>
      <c r="C40" s="25" t="str">
        <f aca="false">IFERROR(INDEX('Controle de Entrega'!$B$6:$B$1575,MATCH($A40,'Controle de Entrega'!$J$6:$J$1575,0)),"")</f>
        <v/>
      </c>
      <c r="D40" s="26" t="str">
        <f aca="false">IFERROR(INDEX('Controle de Entrega'!$C$6:$C$1575,MATCH($A40,'Controle de Entrega'!$J$6:$J$1575,0)),"")</f>
        <v/>
      </c>
      <c r="E40" s="25" t="str">
        <f aca="false">IFERROR(INDEX('Controle de Entrega'!$D$6:$D$1575,MATCH($A40,'Controle de Entrega'!$J$6:$J$1575,0)),"")</f>
        <v/>
      </c>
      <c r="F40" s="25" t="str">
        <f aca="false">IFERROR(INDEX('Controle de Entrega'!$E$6:$E$1575,MATCH($A40,'Controle de Entrega'!$J$6:$J$1575,0)),"")</f>
        <v/>
      </c>
      <c r="G40" s="25" t="str">
        <f aca="false">IFERROR(INDEX('Controle de Entrega'!$F$6:$F$1575,MATCH($A40,'Controle de Entrega'!$J$6:$J$1575,0)),"")</f>
        <v/>
      </c>
      <c r="H40" s="27" t="str">
        <f aca="false">IFERROR(INDEX('Controle de Entrega'!$G$6:$G$1575,MATCH($A40,'Controle de Entrega'!$J$6:$J$1575,0)),"")</f>
        <v/>
      </c>
      <c r="I40" s="25" t="str">
        <f aca="false">IFERROR(IF(INDEX('Controle de Entrega'!$H$6:$H$1575,MATCH($A40,'Controle de Entrega'!$J$6:$J$1575,0))=0,"",INDEX('Controle de Entrega'!$H$6:$H$1575,MATCH($A40,'Controle de Entrega'!$J$6:$J$1575,0))),"")</f>
        <v/>
      </c>
      <c r="J40" s="26" t="str">
        <f aca="false">IFERROR(IF(INDEX('Controle de Entrega'!$I$6:$I$1575,MATCH($A40,'Controle de Entrega'!$J$6:$J$1575,0))=0,"",INDEX('Controle de Entrega'!$I$6:$I$1575,MATCH($A40,'Controle de Entrega'!$J$6:$J$1575,0))),"")</f>
        <v/>
      </c>
    </row>
    <row r="41" customFormat="false" ht="15" hidden="false" customHeight="false" outlineLevel="0" collapsed="false">
      <c r="A41" s="25" t="n">
        <v>29</v>
      </c>
      <c r="B41" s="25" t="str">
        <f aca="false">IFERROR(INDEX('Controle de Entrega'!$A$6:$A$1575,MATCH($A41,'Controle de Entrega'!$J$6:$J$1575,0)),"")</f>
        <v/>
      </c>
      <c r="C41" s="25" t="str">
        <f aca="false">IFERROR(INDEX('Controle de Entrega'!$B$6:$B$1575,MATCH($A41,'Controle de Entrega'!$J$6:$J$1575,0)),"")</f>
        <v/>
      </c>
      <c r="D41" s="26" t="str">
        <f aca="false">IFERROR(INDEX('Controle de Entrega'!$C$6:$C$1575,MATCH($A41,'Controle de Entrega'!$J$6:$J$1575,0)),"")</f>
        <v/>
      </c>
      <c r="E41" s="25" t="str">
        <f aca="false">IFERROR(INDEX('Controle de Entrega'!$D$6:$D$1575,MATCH($A41,'Controle de Entrega'!$J$6:$J$1575,0)),"")</f>
        <v/>
      </c>
      <c r="F41" s="25" t="str">
        <f aca="false">IFERROR(INDEX('Controle de Entrega'!$E$6:$E$1575,MATCH($A41,'Controle de Entrega'!$J$6:$J$1575,0)),"")</f>
        <v/>
      </c>
      <c r="G41" s="25" t="str">
        <f aca="false">IFERROR(INDEX('Controle de Entrega'!$F$6:$F$1575,MATCH($A41,'Controle de Entrega'!$J$6:$J$1575,0)),"")</f>
        <v/>
      </c>
      <c r="H41" s="27" t="str">
        <f aca="false">IFERROR(INDEX('Controle de Entrega'!$G$6:$G$1575,MATCH($A41,'Controle de Entrega'!$J$6:$J$1575,0)),"")</f>
        <v/>
      </c>
      <c r="I41" s="25" t="str">
        <f aca="false">IFERROR(IF(INDEX('Controle de Entrega'!$H$6:$H$1575,MATCH($A41,'Controle de Entrega'!$J$6:$J$1575,0))=0,"",INDEX('Controle de Entrega'!$H$6:$H$1575,MATCH($A41,'Controle de Entrega'!$J$6:$J$1575,0))),"")</f>
        <v/>
      </c>
      <c r="J41" s="26" t="str">
        <f aca="false">IFERROR(IF(INDEX('Controle de Entrega'!$I$6:$I$1575,MATCH($A41,'Controle de Entrega'!$J$6:$J$1575,0))=0,"",INDEX('Controle de Entrega'!$I$6:$I$1575,MATCH($A41,'Controle de Entrega'!$J$6:$J$1575,0))),"")</f>
        <v/>
      </c>
    </row>
    <row r="42" customFormat="false" ht="15" hidden="false" customHeight="false" outlineLevel="0" collapsed="false">
      <c r="A42" s="25" t="n">
        <v>30</v>
      </c>
      <c r="B42" s="25" t="str">
        <f aca="false">IFERROR(INDEX('Controle de Entrega'!$A$6:$A$1575,MATCH($A42,'Controle de Entrega'!$J$6:$J$1575,0)),"")</f>
        <v/>
      </c>
      <c r="C42" s="25" t="str">
        <f aca="false">IFERROR(INDEX('Controle de Entrega'!$B$6:$B$1575,MATCH($A42,'Controle de Entrega'!$J$6:$J$1575,0)),"")</f>
        <v/>
      </c>
      <c r="D42" s="26" t="str">
        <f aca="false">IFERROR(INDEX('Controle de Entrega'!$C$6:$C$1575,MATCH($A42,'Controle de Entrega'!$J$6:$J$1575,0)),"")</f>
        <v/>
      </c>
      <c r="E42" s="25" t="str">
        <f aca="false">IFERROR(INDEX('Controle de Entrega'!$D$6:$D$1575,MATCH($A42,'Controle de Entrega'!$J$6:$J$1575,0)),"")</f>
        <v/>
      </c>
      <c r="F42" s="25" t="str">
        <f aca="false">IFERROR(INDEX('Controle de Entrega'!$E$6:$E$1575,MATCH($A42,'Controle de Entrega'!$J$6:$J$1575,0)),"")</f>
        <v/>
      </c>
      <c r="G42" s="25" t="str">
        <f aca="false">IFERROR(INDEX('Controle de Entrega'!$F$6:$F$1575,MATCH($A42,'Controle de Entrega'!$J$6:$J$1575,0)),"")</f>
        <v/>
      </c>
      <c r="H42" s="27" t="str">
        <f aca="false">IFERROR(INDEX('Controle de Entrega'!$G$6:$G$1575,MATCH($A42,'Controle de Entrega'!$J$6:$J$1575,0)),"")</f>
        <v/>
      </c>
      <c r="I42" s="25" t="str">
        <f aca="false">IFERROR(IF(INDEX('Controle de Entrega'!$H$6:$H$1575,MATCH($A42,'Controle de Entrega'!$J$6:$J$1575,0))=0,"",INDEX('Controle de Entrega'!$H$6:$H$1575,MATCH($A42,'Controle de Entrega'!$J$6:$J$1575,0))),"")</f>
        <v/>
      </c>
      <c r="J42" s="26" t="str">
        <f aca="false">IFERROR(IF(INDEX('Controle de Entrega'!$I$6:$I$1575,MATCH($A42,'Controle de Entrega'!$J$6:$J$1575,0))=0,"",INDEX('Controle de Entrega'!$I$6:$I$1575,MATCH($A42,'Controle de Entrega'!$J$6:$J$1575,0))),"")</f>
        <v/>
      </c>
    </row>
    <row r="43" customFormat="false" ht="15" hidden="false" customHeight="false" outlineLevel="0" collapsed="false">
      <c r="A43" s="25" t="n">
        <v>31</v>
      </c>
      <c r="B43" s="25" t="str">
        <f aca="false">IFERROR(INDEX('Controle de Entrega'!$A$6:$A$1575,MATCH($A43,'Controle de Entrega'!$J$6:$J$1575,0)),"")</f>
        <v/>
      </c>
      <c r="C43" s="25" t="str">
        <f aca="false">IFERROR(INDEX('Controle de Entrega'!$B$6:$B$1575,MATCH($A43,'Controle de Entrega'!$J$6:$J$1575,0)),"")</f>
        <v/>
      </c>
      <c r="D43" s="26" t="str">
        <f aca="false">IFERROR(INDEX('Controle de Entrega'!$C$6:$C$1575,MATCH($A43,'Controle de Entrega'!$J$6:$J$1575,0)),"")</f>
        <v/>
      </c>
      <c r="E43" s="25" t="str">
        <f aca="false">IFERROR(INDEX('Controle de Entrega'!$D$6:$D$1575,MATCH($A43,'Controle de Entrega'!$J$6:$J$1575,0)),"")</f>
        <v/>
      </c>
      <c r="F43" s="25" t="str">
        <f aca="false">IFERROR(INDEX('Controle de Entrega'!$E$6:$E$1575,MATCH($A43,'Controle de Entrega'!$J$6:$J$1575,0)),"")</f>
        <v/>
      </c>
      <c r="G43" s="25" t="str">
        <f aca="false">IFERROR(INDEX('Controle de Entrega'!$F$6:$F$1575,MATCH($A43,'Controle de Entrega'!$J$6:$J$1575,0)),"")</f>
        <v/>
      </c>
      <c r="H43" s="27" t="str">
        <f aca="false">IFERROR(INDEX('Controle de Entrega'!$G$6:$G$1575,MATCH($A43,'Controle de Entrega'!$J$6:$J$1575,0)),"")</f>
        <v/>
      </c>
      <c r="I43" s="25" t="str">
        <f aca="false">IFERROR(IF(INDEX('Controle de Entrega'!$H$6:$H$1575,MATCH($A43,'Controle de Entrega'!$J$6:$J$1575,0))=0,"",INDEX('Controle de Entrega'!$H$6:$H$1575,MATCH($A43,'Controle de Entrega'!$J$6:$J$1575,0))),"")</f>
        <v/>
      </c>
      <c r="J43" s="26" t="str">
        <f aca="false">IFERROR(IF(INDEX('Controle de Entrega'!$I$6:$I$1575,MATCH($A43,'Controle de Entrega'!$J$6:$J$1575,0))=0,"",INDEX('Controle de Entrega'!$I$6:$I$1575,MATCH($A43,'Controle de Entrega'!$J$6:$J$1575,0))),"")</f>
        <v/>
      </c>
    </row>
    <row r="44" customFormat="false" ht="15" hidden="false" customHeight="false" outlineLevel="0" collapsed="false">
      <c r="A44" s="25" t="n">
        <v>32</v>
      </c>
      <c r="B44" s="25" t="str">
        <f aca="false">IFERROR(INDEX('Controle de Entrega'!$A$6:$A$1575,MATCH($A44,'Controle de Entrega'!$J$6:$J$1575,0)),"")</f>
        <v/>
      </c>
      <c r="C44" s="25" t="str">
        <f aca="false">IFERROR(INDEX('Controle de Entrega'!$B$6:$B$1575,MATCH($A44,'Controle de Entrega'!$J$6:$J$1575,0)),"")</f>
        <v/>
      </c>
      <c r="D44" s="26" t="str">
        <f aca="false">IFERROR(INDEX('Controle de Entrega'!$C$6:$C$1575,MATCH($A44,'Controle de Entrega'!$J$6:$J$1575,0)),"")</f>
        <v/>
      </c>
      <c r="E44" s="25" t="str">
        <f aca="false">IFERROR(INDEX('Controle de Entrega'!$D$6:$D$1575,MATCH($A44,'Controle de Entrega'!$J$6:$J$1575,0)),"")</f>
        <v/>
      </c>
      <c r="F44" s="25" t="str">
        <f aca="false">IFERROR(INDEX('Controle de Entrega'!$E$6:$E$1575,MATCH($A44,'Controle de Entrega'!$J$6:$J$1575,0)),"")</f>
        <v/>
      </c>
      <c r="G44" s="25" t="str">
        <f aca="false">IFERROR(INDEX('Controle de Entrega'!$F$6:$F$1575,MATCH($A44,'Controle de Entrega'!$J$6:$J$1575,0)),"")</f>
        <v/>
      </c>
      <c r="H44" s="27" t="str">
        <f aca="false">IFERROR(INDEX('Controle de Entrega'!$G$6:$G$1575,MATCH($A44,'Controle de Entrega'!$J$6:$J$1575,0)),"")</f>
        <v/>
      </c>
      <c r="I44" s="25" t="str">
        <f aca="false">IFERROR(IF(INDEX('Controle de Entrega'!$H$6:$H$1575,MATCH($A44,'Controle de Entrega'!$J$6:$J$1575,0))=0,"",INDEX('Controle de Entrega'!$H$6:$H$1575,MATCH($A44,'Controle de Entrega'!$J$6:$J$1575,0))),"")</f>
        <v/>
      </c>
      <c r="J44" s="26" t="str">
        <f aca="false">IFERROR(IF(INDEX('Controle de Entrega'!$I$6:$I$1575,MATCH($A44,'Controle de Entrega'!$J$6:$J$1575,0))=0,"",INDEX('Controle de Entrega'!$I$6:$I$1575,MATCH($A44,'Controle de Entrega'!$J$6:$J$1575,0))),"")</f>
        <v/>
      </c>
    </row>
    <row r="45" customFormat="false" ht="15" hidden="false" customHeight="false" outlineLevel="0" collapsed="false">
      <c r="A45" s="25" t="n">
        <v>33</v>
      </c>
      <c r="B45" s="25" t="str">
        <f aca="false">IFERROR(INDEX('Controle de Entrega'!$A$6:$A$1575,MATCH($A45,'Controle de Entrega'!$J$6:$J$1575,0)),"")</f>
        <v/>
      </c>
      <c r="C45" s="25" t="str">
        <f aca="false">IFERROR(INDEX('Controle de Entrega'!$B$6:$B$1575,MATCH($A45,'Controle de Entrega'!$J$6:$J$1575,0)),"")</f>
        <v/>
      </c>
      <c r="D45" s="26" t="str">
        <f aca="false">IFERROR(INDEX('Controle de Entrega'!$C$6:$C$1575,MATCH($A45,'Controle de Entrega'!$J$6:$J$1575,0)),"")</f>
        <v/>
      </c>
      <c r="E45" s="25" t="str">
        <f aca="false">IFERROR(INDEX('Controle de Entrega'!$D$6:$D$1575,MATCH($A45,'Controle de Entrega'!$J$6:$J$1575,0)),"")</f>
        <v/>
      </c>
      <c r="F45" s="25" t="str">
        <f aca="false">IFERROR(INDEX('Controle de Entrega'!$E$6:$E$1575,MATCH($A45,'Controle de Entrega'!$J$6:$J$1575,0)),"")</f>
        <v/>
      </c>
      <c r="G45" s="25" t="str">
        <f aca="false">IFERROR(INDEX('Controle de Entrega'!$F$6:$F$1575,MATCH($A45,'Controle de Entrega'!$J$6:$J$1575,0)),"")</f>
        <v/>
      </c>
      <c r="H45" s="27" t="str">
        <f aca="false">IFERROR(INDEX('Controle de Entrega'!$G$6:$G$1575,MATCH($A45,'Controle de Entrega'!$J$6:$J$1575,0)),"")</f>
        <v/>
      </c>
      <c r="I45" s="25" t="str">
        <f aca="false">IFERROR(IF(INDEX('Controle de Entrega'!$H$6:$H$1575,MATCH($A45,'Controle de Entrega'!$J$6:$J$1575,0))=0,"",INDEX('Controle de Entrega'!$H$6:$H$1575,MATCH($A45,'Controle de Entrega'!$J$6:$J$1575,0))),"")</f>
        <v/>
      </c>
      <c r="J45" s="26" t="str">
        <f aca="false">IFERROR(IF(INDEX('Controle de Entrega'!$I$6:$I$1575,MATCH($A45,'Controle de Entrega'!$J$6:$J$1575,0))=0,"",INDEX('Controle de Entrega'!$I$6:$I$1575,MATCH($A45,'Controle de Entrega'!$J$6:$J$1575,0))),"")</f>
        <v/>
      </c>
    </row>
    <row r="46" customFormat="false" ht="15" hidden="false" customHeight="false" outlineLevel="0" collapsed="false">
      <c r="A46" s="25" t="n">
        <v>34</v>
      </c>
      <c r="B46" s="25" t="str">
        <f aca="false">IFERROR(INDEX('Controle de Entrega'!$A$6:$A$1575,MATCH($A46,'Controle de Entrega'!$J$6:$J$1575,0)),"")</f>
        <v/>
      </c>
      <c r="C46" s="25" t="str">
        <f aca="false">IFERROR(INDEX('Controle de Entrega'!$B$6:$B$1575,MATCH($A46,'Controle de Entrega'!$J$6:$J$1575,0)),"")</f>
        <v/>
      </c>
      <c r="D46" s="26" t="str">
        <f aca="false">IFERROR(INDEX('Controle de Entrega'!$C$6:$C$1575,MATCH($A46,'Controle de Entrega'!$J$6:$J$1575,0)),"")</f>
        <v/>
      </c>
      <c r="E46" s="25" t="str">
        <f aca="false">IFERROR(INDEX('Controle de Entrega'!$D$6:$D$1575,MATCH($A46,'Controle de Entrega'!$J$6:$J$1575,0)),"")</f>
        <v/>
      </c>
      <c r="F46" s="25" t="str">
        <f aca="false">IFERROR(INDEX('Controle de Entrega'!$E$6:$E$1575,MATCH($A46,'Controle de Entrega'!$J$6:$J$1575,0)),"")</f>
        <v/>
      </c>
      <c r="G46" s="25" t="str">
        <f aca="false">IFERROR(INDEX('Controle de Entrega'!$F$6:$F$1575,MATCH($A46,'Controle de Entrega'!$J$6:$J$1575,0)),"")</f>
        <v/>
      </c>
      <c r="H46" s="27" t="str">
        <f aca="false">IFERROR(INDEX('Controle de Entrega'!$G$6:$G$1575,MATCH($A46,'Controle de Entrega'!$J$6:$J$1575,0)),"")</f>
        <v/>
      </c>
      <c r="I46" s="25" t="str">
        <f aca="false">IFERROR(IF(INDEX('Controle de Entrega'!$H$6:$H$1575,MATCH($A46,'Controle de Entrega'!$J$6:$J$1575,0))=0,"",INDEX('Controle de Entrega'!$H$6:$H$1575,MATCH($A46,'Controle de Entrega'!$J$6:$J$1575,0))),"")</f>
        <v/>
      </c>
      <c r="J46" s="26" t="str">
        <f aca="false">IFERROR(IF(INDEX('Controle de Entrega'!$I$6:$I$1575,MATCH($A46,'Controle de Entrega'!$J$6:$J$1575,0))=0,"",INDEX('Controle de Entrega'!$I$6:$I$1575,MATCH($A46,'Controle de Entrega'!$J$6:$J$1575,0))),"")</f>
        <v/>
      </c>
    </row>
    <row r="47" customFormat="false" ht="15" hidden="false" customHeight="false" outlineLevel="0" collapsed="false">
      <c r="A47" s="25" t="n">
        <v>35</v>
      </c>
      <c r="B47" s="25" t="str">
        <f aca="false">IFERROR(INDEX('Controle de Entrega'!$A$6:$A$1575,MATCH($A47,'Controle de Entrega'!$J$6:$J$1575,0)),"")</f>
        <v/>
      </c>
      <c r="C47" s="25" t="str">
        <f aca="false">IFERROR(INDEX('Controle de Entrega'!$B$6:$B$1575,MATCH($A47,'Controle de Entrega'!$J$6:$J$1575,0)),"")</f>
        <v/>
      </c>
      <c r="D47" s="26" t="str">
        <f aca="false">IFERROR(INDEX('Controle de Entrega'!$C$6:$C$1575,MATCH($A47,'Controle de Entrega'!$J$6:$J$1575,0)),"")</f>
        <v/>
      </c>
      <c r="E47" s="25" t="str">
        <f aca="false">IFERROR(INDEX('Controle de Entrega'!$D$6:$D$1575,MATCH($A47,'Controle de Entrega'!$J$6:$J$1575,0)),"")</f>
        <v/>
      </c>
      <c r="F47" s="25" t="str">
        <f aca="false">IFERROR(INDEX('Controle de Entrega'!$E$6:$E$1575,MATCH($A47,'Controle de Entrega'!$J$6:$J$1575,0)),"")</f>
        <v/>
      </c>
      <c r="G47" s="25" t="str">
        <f aca="false">IFERROR(INDEX('Controle de Entrega'!$F$6:$F$1575,MATCH($A47,'Controle de Entrega'!$J$6:$J$1575,0)),"")</f>
        <v/>
      </c>
      <c r="H47" s="27" t="str">
        <f aca="false">IFERROR(INDEX('Controle de Entrega'!$G$6:$G$1575,MATCH($A47,'Controle de Entrega'!$J$6:$J$1575,0)),"")</f>
        <v/>
      </c>
      <c r="I47" s="25" t="str">
        <f aca="false">IFERROR(IF(INDEX('Controle de Entrega'!$H$6:$H$1575,MATCH($A47,'Controle de Entrega'!$J$6:$J$1575,0))=0,"",INDEX('Controle de Entrega'!$H$6:$H$1575,MATCH($A47,'Controle de Entrega'!$J$6:$J$1575,0))),"")</f>
        <v/>
      </c>
      <c r="J47" s="26" t="str">
        <f aca="false">IFERROR(IF(INDEX('Controle de Entrega'!$I$6:$I$1575,MATCH($A47,'Controle de Entrega'!$J$6:$J$1575,0))=0,"",INDEX('Controle de Entrega'!$I$6:$I$1575,MATCH($A47,'Controle de Entrega'!$J$6:$J$1575,0))),"")</f>
        <v/>
      </c>
    </row>
    <row r="48" customFormat="false" ht="15" hidden="false" customHeight="false" outlineLevel="0" collapsed="false">
      <c r="A48" s="25" t="n">
        <v>36</v>
      </c>
      <c r="B48" s="25" t="str">
        <f aca="false">IFERROR(INDEX('Controle de Entrega'!$A$6:$A$1575,MATCH($A48,'Controle de Entrega'!$J$6:$J$1575,0)),"")</f>
        <v/>
      </c>
      <c r="C48" s="25" t="str">
        <f aca="false">IFERROR(INDEX('Controle de Entrega'!$B$6:$B$1575,MATCH($A48,'Controle de Entrega'!$J$6:$J$1575,0)),"")</f>
        <v/>
      </c>
      <c r="D48" s="26" t="str">
        <f aca="false">IFERROR(INDEX('Controle de Entrega'!$C$6:$C$1575,MATCH($A48,'Controle de Entrega'!$J$6:$J$1575,0)),"")</f>
        <v/>
      </c>
      <c r="E48" s="25" t="str">
        <f aca="false">IFERROR(INDEX('Controle de Entrega'!$D$6:$D$1575,MATCH($A48,'Controle de Entrega'!$J$6:$J$1575,0)),"")</f>
        <v/>
      </c>
      <c r="F48" s="25" t="str">
        <f aca="false">IFERROR(INDEX('Controle de Entrega'!$E$6:$E$1575,MATCH($A48,'Controle de Entrega'!$J$6:$J$1575,0)),"")</f>
        <v/>
      </c>
      <c r="G48" s="25" t="str">
        <f aca="false">IFERROR(INDEX('Controle de Entrega'!$F$6:$F$1575,MATCH($A48,'Controle de Entrega'!$J$6:$J$1575,0)),"")</f>
        <v/>
      </c>
      <c r="H48" s="27" t="str">
        <f aca="false">IFERROR(INDEX('Controle de Entrega'!$G$6:$G$1575,MATCH($A48,'Controle de Entrega'!$J$6:$J$1575,0)),"")</f>
        <v/>
      </c>
      <c r="I48" s="25" t="str">
        <f aca="false">IFERROR(IF(INDEX('Controle de Entrega'!$H$6:$H$1575,MATCH($A48,'Controle de Entrega'!$J$6:$J$1575,0))=0,"",INDEX('Controle de Entrega'!$H$6:$H$1575,MATCH($A48,'Controle de Entrega'!$J$6:$J$1575,0))),"")</f>
        <v/>
      </c>
      <c r="J48" s="26" t="str">
        <f aca="false">IFERROR(IF(INDEX('Controle de Entrega'!$I$6:$I$1575,MATCH($A48,'Controle de Entrega'!$J$6:$J$1575,0))=0,"",INDEX('Controle de Entrega'!$I$6:$I$1575,MATCH($A48,'Controle de Entrega'!$J$6:$J$1575,0))),"")</f>
        <v/>
      </c>
    </row>
    <row r="49" customFormat="false" ht="15" hidden="false" customHeight="false" outlineLevel="0" collapsed="false">
      <c r="A49" s="25" t="n">
        <v>37</v>
      </c>
      <c r="B49" s="25" t="str">
        <f aca="false">IFERROR(INDEX('Controle de Entrega'!$A$6:$A$1575,MATCH($A49,'Controle de Entrega'!$J$6:$J$1575,0)),"")</f>
        <v/>
      </c>
      <c r="C49" s="25" t="str">
        <f aca="false">IFERROR(INDEX('Controle de Entrega'!$B$6:$B$1575,MATCH($A49,'Controle de Entrega'!$J$6:$J$1575,0)),"")</f>
        <v/>
      </c>
      <c r="D49" s="26" t="str">
        <f aca="false">IFERROR(INDEX('Controle de Entrega'!$C$6:$C$1575,MATCH($A49,'Controle de Entrega'!$J$6:$J$1575,0)),"")</f>
        <v/>
      </c>
      <c r="E49" s="25" t="str">
        <f aca="false">IFERROR(INDEX('Controle de Entrega'!$D$6:$D$1575,MATCH($A49,'Controle de Entrega'!$J$6:$J$1575,0)),"")</f>
        <v/>
      </c>
      <c r="F49" s="25" t="str">
        <f aca="false">IFERROR(INDEX('Controle de Entrega'!$E$6:$E$1575,MATCH($A49,'Controle de Entrega'!$J$6:$J$1575,0)),"")</f>
        <v/>
      </c>
      <c r="G49" s="25" t="str">
        <f aca="false">IFERROR(INDEX('Controle de Entrega'!$F$6:$F$1575,MATCH($A49,'Controle de Entrega'!$J$6:$J$1575,0)),"")</f>
        <v/>
      </c>
      <c r="H49" s="27" t="str">
        <f aca="false">IFERROR(INDEX('Controle de Entrega'!$G$6:$G$1575,MATCH($A49,'Controle de Entrega'!$J$6:$J$1575,0)),"")</f>
        <v/>
      </c>
      <c r="I49" s="25" t="str">
        <f aca="false">IFERROR(IF(INDEX('Controle de Entrega'!$H$6:$H$1575,MATCH($A49,'Controle de Entrega'!$J$6:$J$1575,0))=0,"",INDEX('Controle de Entrega'!$H$6:$H$1575,MATCH($A49,'Controle de Entrega'!$J$6:$J$1575,0))),"")</f>
        <v/>
      </c>
      <c r="J49" s="26" t="str">
        <f aca="false">IFERROR(IF(INDEX('Controle de Entrega'!$I$6:$I$1575,MATCH($A49,'Controle de Entrega'!$J$6:$J$1575,0))=0,"",INDEX('Controle de Entrega'!$I$6:$I$1575,MATCH($A49,'Controle de Entrega'!$J$6:$J$1575,0))),"")</f>
        <v/>
      </c>
    </row>
    <row r="50" customFormat="false" ht="15" hidden="false" customHeight="false" outlineLevel="0" collapsed="false">
      <c r="A50" s="25" t="n">
        <v>38</v>
      </c>
      <c r="B50" s="25" t="str">
        <f aca="false">IFERROR(INDEX('Controle de Entrega'!$A$6:$A$1575,MATCH($A50,'Controle de Entrega'!$J$6:$J$1575,0)),"")</f>
        <v/>
      </c>
      <c r="C50" s="25" t="str">
        <f aca="false">IFERROR(INDEX('Controle de Entrega'!$B$6:$B$1575,MATCH($A50,'Controle de Entrega'!$J$6:$J$1575,0)),"")</f>
        <v/>
      </c>
      <c r="D50" s="26" t="str">
        <f aca="false">IFERROR(INDEX('Controle de Entrega'!$C$6:$C$1575,MATCH($A50,'Controle de Entrega'!$J$6:$J$1575,0)),"")</f>
        <v/>
      </c>
      <c r="E50" s="25" t="str">
        <f aca="false">IFERROR(INDEX('Controle de Entrega'!$D$6:$D$1575,MATCH($A50,'Controle de Entrega'!$J$6:$J$1575,0)),"")</f>
        <v/>
      </c>
      <c r="F50" s="25" t="str">
        <f aca="false">IFERROR(INDEX('Controle de Entrega'!$E$6:$E$1575,MATCH($A50,'Controle de Entrega'!$J$6:$J$1575,0)),"")</f>
        <v/>
      </c>
      <c r="G50" s="25" t="str">
        <f aca="false">IFERROR(INDEX('Controle de Entrega'!$F$6:$F$1575,MATCH($A50,'Controle de Entrega'!$J$6:$J$1575,0)),"")</f>
        <v/>
      </c>
      <c r="H50" s="27" t="str">
        <f aca="false">IFERROR(INDEX('Controle de Entrega'!$G$6:$G$1575,MATCH($A50,'Controle de Entrega'!$J$6:$J$1575,0)),"")</f>
        <v/>
      </c>
      <c r="I50" s="25" t="str">
        <f aca="false">IFERROR(IF(INDEX('Controle de Entrega'!$H$6:$H$1575,MATCH($A50,'Controle de Entrega'!$J$6:$J$1575,0))=0,"",INDEX('Controle de Entrega'!$H$6:$H$1575,MATCH($A50,'Controle de Entrega'!$J$6:$J$1575,0))),"")</f>
        <v/>
      </c>
      <c r="J50" s="26" t="str">
        <f aca="false">IFERROR(IF(INDEX('Controle de Entrega'!$I$6:$I$1575,MATCH($A50,'Controle de Entrega'!$J$6:$J$1575,0))=0,"",INDEX('Controle de Entrega'!$I$6:$I$1575,MATCH($A50,'Controle de Entrega'!$J$6:$J$1575,0))),"")</f>
        <v/>
      </c>
    </row>
    <row r="51" customFormat="false" ht="15" hidden="false" customHeight="false" outlineLevel="0" collapsed="false">
      <c r="A51" s="25" t="n">
        <v>39</v>
      </c>
      <c r="B51" s="25" t="str">
        <f aca="false">IFERROR(INDEX('Controle de Entrega'!$A$6:$A$1575,MATCH($A51,'Controle de Entrega'!$J$6:$J$1575,0)),"")</f>
        <v/>
      </c>
      <c r="C51" s="25" t="str">
        <f aca="false">IFERROR(INDEX('Controle de Entrega'!$B$6:$B$1575,MATCH($A51,'Controle de Entrega'!$J$6:$J$1575,0)),"")</f>
        <v/>
      </c>
      <c r="D51" s="26" t="str">
        <f aca="false">IFERROR(INDEX('Controle de Entrega'!$C$6:$C$1575,MATCH($A51,'Controle de Entrega'!$J$6:$J$1575,0)),"")</f>
        <v/>
      </c>
      <c r="E51" s="25" t="str">
        <f aca="false">IFERROR(INDEX('Controle de Entrega'!$D$6:$D$1575,MATCH($A51,'Controle de Entrega'!$J$6:$J$1575,0)),"")</f>
        <v/>
      </c>
      <c r="F51" s="25" t="str">
        <f aca="false">IFERROR(INDEX('Controle de Entrega'!$E$6:$E$1575,MATCH($A51,'Controle de Entrega'!$J$6:$J$1575,0)),"")</f>
        <v/>
      </c>
      <c r="G51" s="25" t="str">
        <f aca="false">IFERROR(INDEX('Controle de Entrega'!$F$6:$F$1575,MATCH($A51,'Controle de Entrega'!$J$6:$J$1575,0)),"")</f>
        <v/>
      </c>
      <c r="H51" s="27" t="str">
        <f aca="false">IFERROR(INDEX('Controle de Entrega'!$G$6:$G$1575,MATCH($A51,'Controle de Entrega'!$J$6:$J$1575,0)),"")</f>
        <v/>
      </c>
      <c r="I51" s="25" t="str">
        <f aca="false">IFERROR(IF(INDEX('Controle de Entrega'!$H$6:$H$1575,MATCH($A51,'Controle de Entrega'!$J$6:$J$1575,0))=0,"",INDEX('Controle de Entrega'!$H$6:$H$1575,MATCH($A51,'Controle de Entrega'!$J$6:$J$1575,0))),"")</f>
        <v/>
      </c>
      <c r="J51" s="26" t="str">
        <f aca="false">IFERROR(IF(INDEX('Controle de Entrega'!$I$6:$I$1575,MATCH($A51,'Controle de Entrega'!$J$6:$J$1575,0))=0,"",INDEX('Controle de Entrega'!$I$6:$I$1575,MATCH($A51,'Controle de Entrega'!$J$6:$J$1575,0))),"")</f>
        <v/>
      </c>
    </row>
    <row r="52" customFormat="false" ht="15" hidden="false" customHeight="false" outlineLevel="0" collapsed="false">
      <c r="A52" s="25" t="n">
        <v>40</v>
      </c>
      <c r="B52" s="25" t="str">
        <f aca="false">IFERROR(INDEX('Controle de Entrega'!$A$6:$A$1575,MATCH($A52,'Controle de Entrega'!$J$6:$J$1575,0)),"")</f>
        <v/>
      </c>
      <c r="C52" s="25" t="str">
        <f aca="false">IFERROR(INDEX('Controle de Entrega'!$B$6:$B$1575,MATCH($A52,'Controle de Entrega'!$J$6:$J$1575,0)),"")</f>
        <v/>
      </c>
      <c r="D52" s="26" t="str">
        <f aca="false">IFERROR(INDEX('Controle de Entrega'!$C$6:$C$1575,MATCH($A52,'Controle de Entrega'!$J$6:$J$1575,0)),"")</f>
        <v/>
      </c>
      <c r="E52" s="25" t="str">
        <f aca="false">IFERROR(INDEX('Controle de Entrega'!$D$6:$D$1575,MATCH($A52,'Controle de Entrega'!$J$6:$J$1575,0)),"")</f>
        <v/>
      </c>
      <c r="F52" s="25" t="str">
        <f aca="false">IFERROR(INDEX('Controle de Entrega'!$E$6:$E$1575,MATCH($A52,'Controle de Entrega'!$J$6:$J$1575,0)),"")</f>
        <v/>
      </c>
      <c r="G52" s="25" t="str">
        <f aca="false">IFERROR(INDEX('Controle de Entrega'!$F$6:$F$1575,MATCH($A52,'Controle de Entrega'!$J$6:$J$1575,0)),"")</f>
        <v/>
      </c>
      <c r="H52" s="27" t="str">
        <f aca="false">IFERROR(INDEX('Controle de Entrega'!$G$6:$G$1575,MATCH($A52,'Controle de Entrega'!$J$6:$J$1575,0)),"")</f>
        <v/>
      </c>
      <c r="I52" s="25" t="str">
        <f aca="false">IFERROR(IF(INDEX('Controle de Entrega'!$H$6:$H$1575,MATCH($A52,'Controle de Entrega'!$J$6:$J$1575,0))=0,"",INDEX('Controle de Entrega'!$H$6:$H$1575,MATCH($A52,'Controle de Entrega'!$J$6:$J$1575,0))),"")</f>
        <v/>
      </c>
      <c r="J52" s="26" t="str">
        <f aca="false">IFERROR(IF(INDEX('Controle de Entrega'!$I$6:$I$1575,MATCH($A52,'Controle de Entrega'!$J$6:$J$1575,0))=0,"",INDEX('Controle de Entrega'!$I$6:$I$1575,MATCH($A52,'Controle de Entrega'!$J$6:$J$1575,0))),"")</f>
        <v/>
      </c>
    </row>
    <row r="53" customFormat="false" ht="15" hidden="false" customHeight="false" outlineLevel="0" collapsed="false">
      <c r="A53" s="25" t="n">
        <v>41</v>
      </c>
      <c r="B53" s="25" t="str">
        <f aca="false">IFERROR(INDEX('Controle de Entrega'!$A$6:$A$1575,MATCH($A53,'Controle de Entrega'!$J$6:$J$1575,0)),"")</f>
        <v/>
      </c>
      <c r="C53" s="25" t="str">
        <f aca="false">IFERROR(INDEX('Controle de Entrega'!$B$6:$B$1575,MATCH($A53,'Controle de Entrega'!$J$6:$J$1575,0)),"")</f>
        <v/>
      </c>
      <c r="D53" s="26" t="str">
        <f aca="false">IFERROR(INDEX('Controle de Entrega'!$C$6:$C$1575,MATCH($A53,'Controle de Entrega'!$J$6:$J$1575,0)),"")</f>
        <v/>
      </c>
      <c r="E53" s="25" t="str">
        <f aca="false">IFERROR(INDEX('Controle de Entrega'!$D$6:$D$1575,MATCH($A53,'Controle de Entrega'!$J$6:$J$1575,0)),"")</f>
        <v/>
      </c>
      <c r="F53" s="25" t="str">
        <f aca="false">IFERROR(INDEX('Controle de Entrega'!$E$6:$E$1575,MATCH($A53,'Controle de Entrega'!$J$6:$J$1575,0)),"")</f>
        <v/>
      </c>
      <c r="G53" s="25" t="str">
        <f aca="false">IFERROR(INDEX('Controle de Entrega'!$F$6:$F$1575,MATCH($A53,'Controle de Entrega'!$J$6:$J$1575,0)),"")</f>
        <v/>
      </c>
      <c r="H53" s="27" t="str">
        <f aca="false">IFERROR(INDEX('Controle de Entrega'!$G$6:$G$1575,MATCH($A53,'Controle de Entrega'!$J$6:$J$1575,0)),"")</f>
        <v/>
      </c>
      <c r="I53" s="25" t="str">
        <f aca="false">IFERROR(IF(INDEX('Controle de Entrega'!$H$6:$H$1575,MATCH($A53,'Controle de Entrega'!$J$6:$J$1575,0))=0,"",INDEX('Controle de Entrega'!$H$6:$H$1575,MATCH($A53,'Controle de Entrega'!$J$6:$J$1575,0))),"")</f>
        <v/>
      </c>
      <c r="J53" s="26" t="str">
        <f aca="false">IFERROR(IF(INDEX('Controle de Entrega'!$I$6:$I$1575,MATCH($A53,'Controle de Entrega'!$J$6:$J$1575,0))=0,"",INDEX('Controle de Entrega'!$I$6:$I$1575,MATCH($A53,'Controle de Entrega'!$J$6:$J$1575,0))),"")</f>
        <v/>
      </c>
    </row>
    <row r="54" customFormat="false" ht="15" hidden="false" customHeight="false" outlineLevel="0" collapsed="false">
      <c r="A54" s="25" t="n">
        <v>42</v>
      </c>
      <c r="B54" s="25" t="str">
        <f aca="false">IFERROR(INDEX('Controle de Entrega'!$A$6:$A$1575,MATCH($A54,'Controle de Entrega'!$J$6:$J$1575,0)),"")</f>
        <v/>
      </c>
      <c r="C54" s="25" t="str">
        <f aca="false">IFERROR(INDEX('Controle de Entrega'!$B$6:$B$1575,MATCH($A54,'Controle de Entrega'!$J$6:$J$1575,0)),"")</f>
        <v/>
      </c>
      <c r="D54" s="26" t="str">
        <f aca="false">IFERROR(INDEX('Controle de Entrega'!$C$6:$C$1575,MATCH($A54,'Controle de Entrega'!$J$6:$J$1575,0)),"")</f>
        <v/>
      </c>
      <c r="E54" s="25" t="str">
        <f aca="false">IFERROR(INDEX('Controle de Entrega'!$D$6:$D$1575,MATCH($A54,'Controle de Entrega'!$J$6:$J$1575,0)),"")</f>
        <v/>
      </c>
      <c r="F54" s="25" t="str">
        <f aca="false">IFERROR(INDEX('Controle de Entrega'!$E$6:$E$1575,MATCH($A54,'Controle de Entrega'!$J$6:$J$1575,0)),"")</f>
        <v/>
      </c>
      <c r="G54" s="25" t="str">
        <f aca="false">IFERROR(INDEX('Controle de Entrega'!$F$6:$F$1575,MATCH($A54,'Controle de Entrega'!$J$6:$J$1575,0)),"")</f>
        <v/>
      </c>
      <c r="H54" s="27" t="str">
        <f aca="false">IFERROR(INDEX('Controle de Entrega'!$G$6:$G$1575,MATCH($A54,'Controle de Entrega'!$J$6:$J$1575,0)),"")</f>
        <v/>
      </c>
      <c r="I54" s="25" t="str">
        <f aca="false">IFERROR(IF(INDEX('Controle de Entrega'!$H$6:$H$1575,MATCH($A54,'Controle de Entrega'!$J$6:$J$1575,0))=0,"",INDEX('Controle de Entrega'!$H$6:$H$1575,MATCH($A54,'Controle de Entrega'!$J$6:$J$1575,0))),"")</f>
        <v/>
      </c>
      <c r="J54" s="26" t="str">
        <f aca="false">IFERROR(IF(INDEX('Controle de Entrega'!$I$6:$I$1575,MATCH($A54,'Controle de Entrega'!$J$6:$J$1575,0))=0,"",INDEX('Controle de Entrega'!$I$6:$I$1575,MATCH($A54,'Controle de Entrega'!$J$6:$J$1575,0))),"")</f>
        <v/>
      </c>
    </row>
    <row r="55" customFormat="false" ht="15" hidden="false" customHeight="false" outlineLevel="0" collapsed="false">
      <c r="A55" s="25" t="n">
        <v>43</v>
      </c>
      <c r="B55" s="25" t="str">
        <f aca="false">IFERROR(INDEX('Controle de Entrega'!$A$6:$A$1575,MATCH($A55,'Controle de Entrega'!$J$6:$J$1575,0)),"")</f>
        <v/>
      </c>
      <c r="C55" s="25" t="str">
        <f aca="false">IFERROR(INDEX('Controle de Entrega'!$B$6:$B$1575,MATCH($A55,'Controle de Entrega'!$J$6:$J$1575,0)),"")</f>
        <v/>
      </c>
      <c r="D55" s="26" t="str">
        <f aca="false">IFERROR(INDEX('Controle de Entrega'!$C$6:$C$1575,MATCH($A55,'Controle de Entrega'!$J$6:$J$1575,0)),"")</f>
        <v/>
      </c>
      <c r="E55" s="25" t="str">
        <f aca="false">IFERROR(INDEX('Controle de Entrega'!$D$6:$D$1575,MATCH($A55,'Controle de Entrega'!$J$6:$J$1575,0)),"")</f>
        <v/>
      </c>
      <c r="F55" s="25" t="str">
        <f aca="false">IFERROR(INDEX('Controle de Entrega'!$E$6:$E$1575,MATCH($A55,'Controle de Entrega'!$J$6:$J$1575,0)),"")</f>
        <v/>
      </c>
      <c r="G55" s="25" t="str">
        <f aca="false">IFERROR(INDEX('Controle de Entrega'!$F$6:$F$1575,MATCH($A55,'Controle de Entrega'!$J$6:$J$1575,0)),"")</f>
        <v/>
      </c>
      <c r="H55" s="27" t="str">
        <f aca="false">IFERROR(INDEX('Controle de Entrega'!$G$6:$G$1575,MATCH($A55,'Controle de Entrega'!$J$6:$J$1575,0)),"")</f>
        <v/>
      </c>
      <c r="I55" s="25" t="str">
        <f aca="false">IFERROR(IF(INDEX('Controle de Entrega'!$H$6:$H$1575,MATCH($A55,'Controle de Entrega'!$J$6:$J$1575,0))=0,"",INDEX('Controle de Entrega'!$H$6:$H$1575,MATCH($A55,'Controle de Entrega'!$J$6:$J$1575,0))),"")</f>
        <v/>
      </c>
      <c r="J55" s="26" t="str">
        <f aca="false">IFERROR(IF(INDEX('Controle de Entrega'!$I$6:$I$1575,MATCH($A55,'Controle de Entrega'!$J$6:$J$1575,0))=0,"",INDEX('Controle de Entrega'!$I$6:$I$1575,MATCH($A55,'Controle de Entrega'!$J$6:$J$1575,0))),"")</f>
        <v/>
      </c>
    </row>
    <row r="56" customFormat="false" ht="15" hidden="false" customHeight="false" outlineLevel="0" collapsed="false">
      <c r="A56" s="25" t="n">
        <v>44</v>
      </c>
      <c r="B56" s="25" t="str">
        <f aca="false">IFERROR(INDEX('Controle de Entrega'!$A$6:$A$1575,MATCH($A56,'Controle de Entrega'!$J$6:$J$1575,0)),"")</f>
        <v/>
      </c>
      <c r="C56" s="25" t="str">
        <f aca="false">IFERROR(INDEX('Controle de Entrega'!$B$6:$B$1575,MATCH($A56,'Controle de Entrega'!$J$6:$J$1575,0)),"")</f>
        <v/>
      </c>
      <c r="D56" s="26" t="str">
        <f aca="false">IFERROR(INDEX('Controle de Entrega'!$C$6:$C$1575,MATCH($A56,'Controle de Entrega'!$J$6:$J$1575,0)),"")</f>
        <v/>
      </c>
      <c r="E56" s="25" t="str">
        <f aca="false">IFERROR(INDEX('Controle de Entrega'!$D$6:$D$1575,MATCH($A56,'Controle de Entrega'!$J$6:$J$1575,0)),"")</f>
        <v/>
      </c>
      <c r="F56" s="25" t="str">
        <f aca="false">IFERROR(INDEX('Controle de Entrega'!$E$6:$E$1575,MATCH($A56,'Controle de Entrega'!$J$6:$J$1575,0)),"")</f>
        <v/>
      </c>
      <c r="G56" s="25" t="str">
        <f aca="false">IFERROR(INDEX('Controle de Entrega'!$F$6:$F$1575,MATCH($A56,'Controle de Entrega'!$J$6:$J$1575,0)),"")</f>
        <v/>
      </c>
      <c r="H56" s="27" t="str">
        <f aca="false">IFERROR(INDEX('Controle de Entrega'!$G$6:$G$1575,MATCH($A56,'Controle de Entrega'!$J$6:$J$1575,0)),"")</f>
        <v/>
      </c>
      <c r="I56" s="25" t="str">
        <f aca="false">IFERROR(IF(INDEX('Controle de Entrega'!$H$6:$H$1575,MATCH($A56,'Controle de Entrega'!$J$6:$J$1575,0))=0,"",INDEX('Controle de Entrega'!$H$6:$H$1575,MATCH($A56,'Controle de Entrega'!$J$6:$J$1575,0))),"")</f>
        <v/>
      </c>
      <c r="J56" s="26" t="str">
        <f aca="false">IFERROR(IF(INDEX('Controle de Entrega'!$I$6:$I$1575,MATCH($A56,'Controle de Entrega'!$J$6:$J$1575,0))=0,"",INDEX('Controle de Entrega'!$I$6:$I$1575,MATCH($A56,'Controle de Entrega'!$J$6:$J$1575,0))),"")</f>
        <v/>
      </c>
    </row>
    <row r="57" customFormat="false" ht="15" hidden="false" customHeight="false" outlineLevel="0" collapsed="false">
      <c r="A57" s="25" t="n">
        <v>45</v>
      </c>
      <c r="B57" s="25" t="str">
        <f aca="false">IFERROR(INDEX('Controle de Entrega'!$A$6:$A$1575,MATCH($A57,'Controle de Entrega'!$J$6:$J$1575,0)),"")</f>
        <v/>
      </c>
      <c r="C57" s="25" t="str">
        <f aca="false">IFERROR(INDEX('Controle de Entrega'!$B$6:$B$1575,MATCH($A57,'Controle de Entrega'!$J$6:$J$1575,0)),"")</f>
        <v/>
      </c>
      <c r="D57" s="26" t="str">
        <f aca="false">IFERROR(INDEX('Controle de Entrega'!$C$6:$C$1575,MATCH($A57,'Controle de Entrega'!$J$6:$J$1575,0)),"")</f>
        <v/>
      </c>
      <c r="E57" s="25" t="str">
        <f aca="false">IFERROR(INDEX('Controle de Entrega'!$D$6:$D$1575,MATCH($A57,'Controle de Entrega'!$J$6:$J$1575,0)),"")</f>
        <v/>
      </c>
      <c r="F57" s="25" t="str">
        <f aca="false">IFERROR(INDEX('Controle de Entrega'!$E$6:$E$1575,MATCH($A57,'Controle de Entrega'!$J$6:$J$1575,0)),"")</f>
        <v/>
      </c>
      <c r="G57" s="25" t="str">
        <f aca="false">IFERROR(INDEX('Controle de Entrega'!$F$6:$F$1575,MATCH($A57,'Controle de Entrega'!$J$6:$J$1575,0)),"")</f>
        <v/>
      </c>
      <c r="H57" s="27" t="str">
        <f aca="false">IFERROR(INDEX('Controle de Entrega'!$G$6:$G$1575,MATCH($A57,'Controle de Entrega'!$J$6:$J$1575,0)),"")</f>
        <v/>
      </c>
      <c r="I57" s="25" t="str">
        <f aca="false">IFERROR(IF(INDEX('Controle de Entrega'!$H$6:$H$1575,MATCH($A57,'Controle de Entrega'!$J$6:$J$1575,0))=0,"",INDEX('Controle de Entrega'!$H$6:$H$1575,MATCH($A57,'Controle de Entrega'!$J$6:$J$1575,0))),"")</f>
        <v/>
      </c>
      <c r="J57" s="26" t="str">
        <f aca="false">IFERROR(IF(INDEX('Controle de Entrega'!$I$6:$I$1575,MATCH($A57,'Controle de Entrega'!$J$6:$J$1575,0))=0,"",INDEX('Controle de Entrega'!$I$6:$I$1575,MATCH($A57,'Controle de Entrega'!$J$6:$J$1575,0))),"")</f>
        <v/>
      </c>
    </row>
    <row r="58" customFormat="false" ht="15" hidden="false" customHeight="false" outlineLevel="0" collapsed="false">
      <c r="A58" s="25" t="n">
        <v>46</v>
      </c>
      <c r="B58" s="25" t="str">
        <f aca="false">IFERROR(INDEX('Controle de Entrega'!$A$6:$A$1575,MATCH($A58,'Controle de Entrega'!$J$6:$J$1575,0)),"")</f>
        <v/>
      </c>
      <c r="C58" s="25" t="str">
        <f aca="false">IFERROR(INDEX('Controle de Entrega'!$B$6:$B$1575,MATCH($A58,'Controle de Entrega'!$J$6:$J$1575,0)),"")</f>
        <v/>
      </c>
      <c r="D58" s="26" t="str">
        <f aca="false">IFERROR(INDEX('Controle de Entrega'!$C$6:$C$1575,MATCH($A58,'Controle de Entrega'!$J$6:$J$1575,0)),"")</f>
        <v/>
      </c>
      <c r="E58" s="25" t="str">
        <f aca="false">IFERROR(INDEX('Controle de Entrega'!$D$6:$D$1575,MATCH($A58,'Controle de Entrega'!$J$6:$J$1575,0)),"")</f>
        <v/>
      </c>
      <c r="F58" s="25" t="str">
        <f aca="false">IFERROR(INDEX('Controle de Entrega'!$E$6:$E$1575,MATCH($A58,'Controle de Entrega'!$J$6:$J$1575,0)),"")</f>
        <v/>
      </c>
      <c r="G58" s="25" t="str">
        <f aca="false">IFERROR(INDEX('Controle de Entrega'!$F$6:$F$1575,MATCH($A58,'Controle de Entrega'!$J$6:$J$1575,0)),"")</f>
        <v/>
      </c>
      <c r="H58" s="27" t="str">
        <f aca="false">IFERROR(INDEX('Controle de Entrega'!$G$6:$G$1575,MATCH($A58,'Controle de Entrega'!$J$6:$J$1575,0)),"")</f>
        <v/>
      </c>
      <c r="I58" s="25" t="str">
        <f aca="false">IFERROR(IF(INDEX('Controle de Entrega'!$H$6:$H$1575,MATCH($A58,'Controle de Entrega'!$J$6:$J$1575,0))=0,"",INDEX('Controle de Entrega'!$H$6:$H$1575,MATCH($A58,'Controle de Entrega'!$J$6:$J$1575,0))),"")</f>
        <v/>
      </c>
      <c r="J58" s="26" t="str">
        <f aca="false">IFERROR(IF(INDEX('Controle de Entrega'!$I$6:$I$1575,MATCH($A58,'Controle de Entrega'!$J$6:$J$1575,0))=0,"",INDEX('Controle de Entrega'!$I$6:$I$1575,MATCH($A58,'Controle de Entrega'!$J$6:$J$1575,0))),"")</f>
        <v/>
      </c>
    </row>
    <row r="59" customFormat="false" ht="15" hidden="false" customHeight="false" outlineLevel="0" collapsed="false">
      <c r="A59" s="25" t="n">
        <v>47</v>
      </c>
      <c r="B59" s="25" t="str">
        <f aca="false">IFERROR(INDEX('Controle de Entrega'!$A$6:$A$1575,MATCH($A59,'Controle de Entrega'!$J$6:$J$1575,0)),"")</f>
        <v/>
      </c>
      <c r="C59" s="25" t="str">
        <f aca="false">IFERROR(INDEX('Controle de Entrega'!$B$6:$B$1575,MATCH($A59,'Controle de Entrega'!$J$6:$J$1575,0)),"")</f>
        <v/>
      </c>
      <c r="D59" s="26" t="str">
        <f aca="false">IFERROR(INDEX('Controle de Entrega'!$C$6:$C$1575,MATCH($A59,'Controle de Entrega'!$J$6:$J$1575,0)),"")</f>
        <v/>
      </c>
      <c r="E59" s="25" t="str">
        <f aca="false">IFERROR(INDEX('Controle de Entrega'!$D$6:$D$1575,MATCH($A59,'Controle de Entrega'!$J$6:$J$1575,0)),"")</f>
        <v/>
      </c>
      <c r="F59" s="25" t="str">
        <f aca="false">IFERROR(INDEX('Controle de Entrega'!$E$6:$E$1575,MATCH($A59,'Controle de Entrega'!$J$6:$J$1575,0)),"")</f>
        <v/>
      </c>
      <c r="G59" s="25" t="str">
        <f aca="false">IFERROR(INDEX('Controle de Entrega'!$F$6:$F$1575,MATCH($A59,'Controle de Entrega'!$J$6:$J$1575,0)),"")</f>
        <v/>
      </c>
      <c r="H59" s="27" t="str">
        <f aca="false">IFERROR(INDEX('Controle de Entrega'!$G$6:$G$1575,MATCH($A59,'Controle de Entrega'!$J$6:$J$1575,0)),"")</f>
        <v/>
      </c>
      <c r="I59" s="25" t="str">
        <f aca="false">IFERROR(IF(INDEX('Controle de Entrega'!$H$6:$H$1575,MATCH($A59,'Controle de Entrega'!$J$6:$J$1575,0))=0,"",INDEX('Controle de Entrega'!$H$6:$H$1575,MATCH($A59,'Controle de Entrega'!$J$6:$J$1575,0))),"")</f>
        <v/>
      </c>
      <c r="J59" s="26" t="str">
        <f aca="false">IFERROR(IF(INDEX('Controle de Entrega'!$I$6:$I$1575,MATCH($A59,'Controle de Entrega'!$J$6:$J$1575,0))=0,"",INDEX('Controle de Entrega'!$I$6:$I$1575,MATCH($A59,'Controle de Entrega'!$J$6:$J$1575,0))),"")</f>
        <v/>
      </c>
    </row>
    <row r="60" customFormat="false" ht="15" hidden="false" customHeight="false" outlineLevel="0" collapsed="false">
      <c r="A60" s="25" t="n">
        <v>48</v>
      </c>
      <c r="B60" s="25" t="str">
        <f aca="false">IFERROR(INDEX('Controle de Entrega'!$A$6:$A$1575,MATCH($A60,'Controle de Entrega'!$J$6:$J$1575,0)),"")</f>
        <v/>
      </c>
      <c r="C60" s="25" t="str">
        <f aca="false">IFERROR(INDEX('Controle de Entrega'!$B$6:$B$1575,MATCH($A60,'Controle de Entrega'!$J$6:$J$1575,0)),"")</f>
        <v/>
      </c>
      <c r="D60" s="26" t="str">
        <f aca="false">IFERROR(INDEX('Controle de Entrega'!$C$6:$C$1575,MATCH($A60,'Controle de Entrega'!$J$6:$J$1575,0)),"")</f>
        <v/>
      </c>
      <c r="E60" s="25" t="str">
        <f aca="false">IFERROR(INDEX('Controle de Entrega'!$D$6:$D$1575,MATCH($A60,'Controle de Entrega'!$J$6:$J$1575,0)),"")</f>
        <v/>
      </c>
      <c r="F60" s="25" t="str">
        <f aca="false">IFERROR(INDEX('Controle de Entrega'!$E$6:$E$1575,MATCH($A60,'Controle de Entrega'!$J$6:$J$1575,0)),"")</f>
        <v/>
      </c>
      <c r="G60" s="25" t="str">
        <f aca="false">IFERROR(INDEX('Controle de Entrega'!$F$6:$F$1575,MATCH($A60,'Controle de Entrega'!$J$6:$J$1575,0)),"")</f>
        <v/>
      </c>
      <c r="H60" s="27" t="str">
        <f aca="false">IFERROR(INDEX('Controle de Entrega'!$G$6:$G$1575,MATCH($A60,'Controle de Entrega'!$J$6:$J$1575,0)),"")</f>
        <v/>
      </c>
      <c r="I60" s="25" t="str">
        <f aca="false">IFERROR(IF(INDEX('Controle de Entrega'!$H$6:$H$1575,MATCH($A60,'Controle de Entrega'!$J$6:$J$1575,0))=0,"",INDEX('Controle de Entrega'!$H$6:$H$1575,MATCH($A60,'Controle de Entrega'!$J$6:$J$1575,0))),"")</f>
        <v/>
      </c>
      <c r="J60" s="26" t="str">
        <f aca="false">IFERROR(IF(INDEX('Controle de Entrega'!$I$6:$I$1575,MATCH($A60,'Controle de Entrega'!$J$6:$J$1575,0))=0,"",INDEX('Controle de Entrega'!$I$6:$I$1575,MATCH($A60,'Controle de Entrega'!$J$6:$J$1575,0))),"")</f>
        <v/>
      </c>
    </row>
    <row r="61" customFormat="false" ht="15" hidden="false" customHeight="false" outlineLevel="0" collapsed="false">
      <c r="A61" s="25" t="n">
        <v>49</v>
      </c>
      <c r="B61" s="25" t="str">
        <f aca="false">IFERROR(INDEX('Controle de Entrega'!$A$6:$A$1575,MATCH($A61,'Controle de Entrega'!$J$6:$J$1575,0)),"")</f>
        <v/>
      </c>
      <c r="C61" s="25" t="str">
        <f aca="false">IFERROR(INDEX('Controle de Entrega'!$B$6:$B$1575,MATCH($A61,'Controle de Entrega'!$J$6:$J$1575,0)),"")</f>
        <v/>
      </c>
      <c r="D61" s="26" t="str">
        <f aca="false">IFERROR(INDEX('Controle de Entrega'!$C$6:$C$1575,MATCH($A61,'Controle de Entrega'!$J$6:$J$1575,0)),"")</f>
        <v/>
      </c>
      <c r="E61" s="25" t="str">
        <f aca="false">IFERROR(INDEX('Controle de Entrega'!$D$6:$D$1575,MATCH($A61,'Controle de Entrega'!$J$6:$J$1575,0)),"")</f>
        <v/>
      </c>
      <c r="F61" s="25" t="str">
        <f aca="false">IFERROR(INDEX('Controle de Entrega'!$E$6:$E$1575,MATCH($A61,'Controle de Entrega'!$J$6:$J$1575,0)),"")</f>
        <v/>
      </c>
      <c r="G61" s="25" t="str">
        <f aca="false">IFERROR(INDEX('Controle de Entrega'!$F$6:$F$1575,MATCH($A61,'Controle de Entrega'!$J$6:$J$1575,0)),"")</f>
        <v/>
      </c>
      <c r="H61" s="27" t="str">
        <f aca="false">IFERROR(INDEX('Controle de Entrega'!$G$6:$G$1575,MATCH($A61,'Controle de Entrega'!$J$6:$J$1575,0)),"")</f>
        <v/>
      </c>
      <c r="I61" s="25" t="str">
        <f aca="false">IFERROR(IF(INDEX('Controle de Entrega'!$H$6:$H$1575,MATCH($A61,'Controle de Entrega'!$J$6:$J$1575,0))=0,"",INDEX('Controle de Entrega'!$H$6:$H$1575,MATCH($A61,'Controle de Entrega'!$J$6:$J$1575,0))),"")</f>
        <v/>
      </c>
      <c r="J61" s="26" t="str">
        <f aca="false">IFERROR(IF(INDEX('Controle de Entrega'!$I$6:$I$1575,MATCH($A61,'Controle de Entrega'!$J$6:$J$1575,0))=0,"",INDEX('Controle de Entrega'!$I$6:$I$1575,MATCH($A61,'Controle de Entrega'!$J$6:$J$1575,0))),"")</f>
        <v/>
      </c>
    </row>
    <row r="62" customFormat="false" ht="15" hidden="false" customHeight="false" outlineLevel="0" collapsed="false">
      <c r="A62" s="25" t="n">
        <v>50</v>
      </c>
      <c r="B62" s="25" t="str">
        <f aca="false">IFERROR(INDEX('Controle de Entrega'!$A$6:$A$1575,MATCH($A62,'Controle de Entrega'!$J$6:$J$1575,0)),"")</f>
        <v/>
      </c>
      <c r="C62" s="25" t="str">
        <f aca="false">IFERROR(INDEX('Controle de Entrega'!$B$6:$B$1575,MATCH($A62,'Controle de Entrega'!$J$6:$J$1575,0)),"")</f>
        <v/>
      </c>
      <c r="D62" s="26" t="str">
        <f aca="false">IFERROR(INDEX('Controle de Entrega'!$C$6:$C$1575,MATCH($A62,'Controle de Entrega'!$J$6:$J$1575,0)),"")</f>
        <v/>
      </c>
      <c r="E62" s="25" t="str">
        <f aca="false">IFERROR(INDEX('Controle de Entrega'!$D$6:$D$1575,MATCH($A62,'Controle de Entrega'!$J$6:$J$1575,0)),"")</f>
        <v/>
      </c>
      <c r="F62" s="25" t="str">
        <f aca="false">IFERROR(INDEX('Controle de Entrega'!$E$6:$E$1575,MATCH($A62,'Controle de Entrega'!$J$6:$J$1575,0)),"")</f>
        <v/>
      </c>
      <c r="G62" s="25" t="str">
        <f aca="false">IFERROR(INDEX('Controle de Entrega'!$F$6:$F$1575,MATCH($A62,'Controle de Entrega'!$J$6:$J$1575,0)),"")</f>
        <v/>
      </c>
      <c r="H62" s="27" t="str">
        <f aca="false">IFERROR(INDEX('Controle de Entrega'!$G$6:$G$1575,MATCH($A62,'Controle de Entrega'!$J$6:$J$1575,0)),"")</f>
        <v/>
      </c>
      <c r="I62" s="25" t="str">
        <f aca="false">IFERROR(IF(INDEX('Controle de Entrega'!$H$6:$H$1575,MATCH($A62,'Controle de Entrega'!$J$6:$J$1575,0))=0,"",INDEX('Controle de Entrega'!$H$6:$H$1575,MATCH($A62,'Controle de Entrega'!$J$6:$J$1575,0))),"")</f>
        <v/>
      </c>
      <c r="J62" s="26" t="str">
        <f aca="false">IFERROR(IF(INDEX('Controle de Entrega'!$I$6:$I$1575,MATCH($A62,'Controle de Entrega'!$J$6:$J$1575,0))=0,"",INDEX('Controle de Entrega'!$I$6:$I$1575,MATCH($A62,'Controle de Entrega'!$J$6:$J$1575,0))),"")</f>
        <v/>
      </c>
    </row>
    <row r="63" customFormat="false" ht="15" hidden="false" customHeight="false" outlineLevel="0" collapsed="false">
      <c r="A63" s="25" t="n">
        <v>51</v>
      </c>
      <c r="B63" s="25" t="str">
        <f aca="false">IFERROR(INDEX('Controle de Entrega'!$A$6:$A$1575,MATCH($A63,'Controle de Entrega'!$J$6:$J$1575,0)),"")</f>
        <v/>
      </c>
      <c r="C63" s="25" t="str">
        <f aca="false">IFERROR(INDEX('Controle de Entrega'!$B$6:$B$1575,MATCH($A63,'Controle de Entrega'!$J$6:$J$1575,0)),"")</f>
        <v/>
      </c>
      <c r="D63" s="26" t="str">
        <f aca="false">IFERROR(INDEX('Controle de Entrega'!$C$6:$C$1575,MATCH($A63,'Controle de Entrega'!$J$6:$J$1575,0)),"")</f>
        <v/>
      </c>
      <c r="E63" s="25" t="str">
        <f aca="false">IFERROR(INDEX('Controle de Entrega'!$D$6:$D$1575,MATCH($A63,'Controle de Entrega'!$J$6:$J$1575,0)),"")</f>
        <v/>
      </c>
      <c r="F63" s="25" t="str">
        <f aca="false">IFERROR(INDEX('Controle de Entrega'!$E$6:$E$1575,MATCH($A63,'Controle de Entrega'!$J$6:$J$1575,0)),"")</f>
        <v/>
      </c>
      <c r="G63" s="25" t="str">
        <f aca="false">IFERROR(INDEX('Controle de Entrega'!$F$6:$F$1575,MATCH($A63,'Controle de Entrega'!$J$6:$J$1575,0)),"")</f>
        <v/>
      </c>
      <c r="H63" s="27" t="str">
        <f aca="false">IFERROR(INDEX('Controle de Entrega'!$G$6:$G$1575,MATCH($A63,'Controle de Entrega'!$J$6:$J$1575,0)),"")</f>
        <v/>
      </c>
      <c r="I63" s="25" t="str">
        <f aca="false">IFERROR(IF(INDEX('Controle de Entrega'!$H$6:$H$1575,MATCH($A63,'Controle de Entrega'!$J$6:$J$1575,0))=0,"",INDEX('Controle de Entrega'!$H$6:$H$1575,MATCH($A63,'Controle de Entrega'!$J$6:$J$1575,0))),"")</f>
        <v/>
      </c>
      <c r="J63" s="26" t="str">
        <f aca="false">IFERROR(IF(INDEX('Controle de Entrega'!$I$6:$I$1575,MATCH($A63,'Controle de Entrega'!$J$6:$J$1575,0))=0,"",INDEX('Controle de Entrega'!$I$6:$I$1575,MATCH($A63,'Controle de Entrega'!$J$6:$J$1575,0))),"")</f>
        <v/>
      </c>
    </row>
    <row r="64" customFormat="false" ht="15" hidden="false" customHeight="false" outlineLevel="0" collapsed="false">
      <c r="A64" s="25" t="n">
        <v>52</v>
      </c>
      <c r="B64" s="25" t="str">
        <f aca="false">IFERROR(INDEX('Controle de Entrega'!$A$6:$A$1575,MATCH($A64,'Controle de Entrega'!$J$6:$J$1575,0)),"")</f>
        <v/>
      </c>
      <c r="C64" s="25" t="str">
        <f aca="false">IFERROR(INDEX('Controle de Entrega'!$B$6:$B$1575,MATCH($A64,'Controle de Entrega'!$J$6:$J$1575,0)),"")</f>
        <v/>
      </c>
      <c r="D64" s="26" t="str">
        <f aca="false">IFERROR(INDEX('Controle de Entrega'!$C$6:$C$1575,MATCH($A64,'Controle de Entrega'!$J$6:$J$1575,0)),"")</f>
        <v/>
      </c>
      <c r="E64" s="25" t="str">
        <f aca="false">IFERROR(INDEX('Controle de Entrega'!$D$6:$D$1575,MATCH($A64,'Controle de Entrega'!$J$6:$J$1575,0)),"")</f>
        <v/>
      </c>
      <c r="F64" s="25" t="str">
        <f aca="false">IFERROR(INDEX('Controle de Entrega'!$E$6:$E$1575,MATCH($A64,'Controle de Entrega'!$J$6:$J$1575,0)),"")</f>
        <v/>
      </c>
      <c r="G64" s="25" t="str">
        <f aca="false">IFERROR(INDEX('Controle de Entrega'!$F$6:$F$1575,MATCH($A64,'Controle de Entrega'!$J$6:$J$1575,0)),"")</f>
        <v/>
      </c>
      <c r="H64" s="27" t="str">
        <f aca="false">IFERROR(INDEX('Controle de Entrega'!$G$6:$G$1575,MATCH($A64,'Controle de Entrega'!$J$6:$J$1575,0)),"")</f>
        <v/>
      </c>
      <c r="I64" s="25" t="str">
        <f aca="false">IFERROR(IF(INDEX('Controle de Entrega'!$H$6:$H$1575,MATCH($A64,'Controle de Entrega'!$J$6:$J$1575,0))=0,"",INDEX('Controle de Entrega'!$H$6:$H$1575,MATCH($A64,'Controle de Entrega'!$J$6:$J$1575,0))),"")</f>
        <v/>
      </c>
      <c r="J64" s="26" t="str">
        <f aca="false">IFERROR(IF(INDEX('Controle de Entrega'!$I$6:$I$1575,MATCH($A64,'Controle de Entrega'!$J$6:$J$1575,0))=0,"",INDEX('Controle de Entrega'!$I$6:$I$1575,MATCH($A64,'Controle de Entrega'!$J$6:$J$1575,0))),"")</f>
        <v/>
      </c>
    </row>
    <row r="65" customFormat="false" ht="15" hidden="false" customHeight="false" outlineLevel="0" collapsed="false">
      <c r="A65" s="25" t="n">
        <v>53</v>
      </c>
      <c r="B65" s="25" t="str">
        <f aca="false">IFERROR(INDEX('Controle de Entrega'!$A$6:$A$1575,MATCH($A65,'Controle de Entrega'!$J$6:$J$1575,0)),"")</f>
        <v/>
      </c>
      <c r="C65" s="25" t="str">
        <f aca="false">IFERROR(INDEX('Controle de Entrega'!$B$6:$B$1575,MATCH($A65,'Controle de Entrega'!$J$6:$J$1575,0)),"")</f>
        <v/>
      </c>
      <c r="D65" s="26" t="str">
        <f aca="false">IFERROR(INDEX('Controle de Entrega'!$C$6:$C$1575,MATCH($A65,'Controle de Entrega'!$J$6:$J$1575,0)),"")</f>
        <v/>
      </c>
      <c r="E65" s="25" t="str">
        <f aca="false">IFERROR(INDEX('Controle de Entrega'!$D$6:$D$1575,MATCH($A65,'Controle de Entrega'!$J$6:$J$1575,0)),"")</f>
        <v/>
      </c>
      <c r="F65" s="25" t="str">
        <f aca="false">IFERROR(INDEX('Controle de Entrega'!$E$6:$E$1575,MATCH($A65,'Controle de Entrega'!$J$6:$J$1575,0)),"")</f>
        <v/>
      </c>
      <c r="G65" s="25" t="str">
        <f aca="false">IFERROR(INDEX('Controle de Entrega'!$F$6:$F$1575,MATCH($A65,'Controle de Entrega'!$J$6:$J$1575,0)),"")</f>
        <v/>
      </c>
      <c r="H65" s="27" t="str">
        <f aca="false">IFERROR(INDEX('Controle de Entrega'!$G$6:$G$1575,MATCH($A65,'Controle de Entrega'!$J$6:$J$1575,0)),"")</f>
        <v/>
      </c>
      <c r="I65" s="25" t="str">
        <f aca="false">IFERROR(IF(INDEX('Controle de Entrega'!$H$6:$H$1575,MATCH($A65,'Controle de Entrega'!$J$6:$J$1575,0))=0,"",INDEX('Controle de Entrega'!$H$6:$H$1575,MATCH($A65,'Controle de Entrega'!$J$6:$J$1575,0))),"")</f>
        <v/>
      </c>
      <c r="J65" s="26" t="str">
        <f aca="false">IFERROR(IF(INDEX('Controle de Entrega'!$I$6:$I$1575,MATCH($A65,'Controle de Entrega'!$J$6:$J$1575,0))=0,"",INDEX('Controle de Entrega'!$I$6:$I$1575,MATCH($A65,'Controle de Entrega'!$J$6:$J$1575,0))),"")</f>
        <v/>
      </c>
    </row>
    <row r="66" customFormat="false" ht="15" hidden="false" customHeight="false" outlineLevel="0" collapsed="false">
      <c r="A66" s="25" t="n">
        <v>54</v>
      </c>
      <c r="B66" s="25" t="str">
        <f aca="false">IFERROR(INDEX('Controle de Entrega'!$A$6:$A$1575,MATCH($A66,'Controle de Entrega'!$J$6:$J$1575,0)),"")</f>
        <v/>
      </c>
      <c r="C66" s="25" t="str">
        <f aca="false">IFERROR(INDEX('Controle de Entrega'!$B$6:$B$1575,MATCH($A66,'Controle de Entrega'!$J$6:$J$1575,0)),"")</f>
        <v/>
      </c>
      <c r="D66" s="26" t="str">
        <f aca="false">IFERROR(INDEX('Controle de Entrega'!$C$6:$C$1575,MATCH($A66,'Controle de Entrega'!$J$6:$J$1575,0)),"")</f>
        <v/>
      </c>
      <c r="E66" s="25" t="str">
        <f aca="false">IFERROR(INDEX('Controle de Entrega'!$D$6:$D$1575,MATCH($A66,'Controle de Entrega'!$J$6:$J$1575,0)),"")</f>
        <v/>
      </c>
      <c r="F66" s="25" t="str">
        <f aca="false">IFERROR(INDEX('Controle de Entrega'!$E$6:$E$1575,MATCH($A66,'Controle de Entrega'!$J$6:$J$1575,0)),"")</f>
        <v/>
      </c>
      <c r="G66" s="25" t="str">
        <f aca="false">IFERROR(INDEX('Controle de Entrega'!$F$6:$F$1575,MATCH($A66,'Controle de Entrega'!$J$6:$J$1575,0)),"")</f>
        <v/>
      </c>
      <c r="H66" s="27" t="str">
        <f aca="false">IFERROR(INDEX('Controle de Entrega'!$G$6:$G$1575,MATCH($A66,'Controle de Entrega'!$J$6:$J$1575,0)),"")</f>
        <v/>
      </c>
      <c r="I66" s="25" t="str">
        <f aca="false">IFERROR(IF(INDEX('Controle de Entrega'!$H$6:$H$1575,MATCH($A66,'Controle de Entrega'!$J$6:$J$1575,0))=0,"",INDEX('Controle de Entrega'!$H$6:$H$1575,MATCH($A66,'Controle de Entrega'!$J$6:$J$1575,0))),"")</f>
        <v/>
      </c>
      <c r="J66" s="26" t="str">
        <f aca="false">IFERROR(IF(INDEX('Controle de Entrega'!$I$6:$I$1575,MATCH($A66,'Controle de Entrega'!$J$6:$J$1575,0))=0,"",INDEX('Controle de Entrega'!$I$6:$I$1575,MATCH($A66,'Controle de Entrega'!$J$6:$J$1575,0))),"")</f>
        <v/>
      </c>
    </row>
    <row r="67" customFormat="false" ht="15" hidden="false" customHeight="false" outlineLevel="0" collapsed="false">
      <c r="A67" s="25" t="n">
        <v>55</v>
      </c>
      <c r="B67" s="25" t="str">
        <f aca="false">IFERROR(INDEX('Controle de Entrega'!$A$6:$A$1575,MATCH($A67,'Controle de Entrega'!$J$6:$J$1575,0)),"")</f>
        <v/>
      </c>
      <c r="C67" s="25" t="str">
        <f aca="false">IFERROR(INDEX('Controle de Entrega'!$B$6:$B$1575,MATCH($A67,'Controle de Entrega'!$J$6:$J$1575,0)),"")</f>
        <v/>
      </c>
      <c r="D67" s="26" t="str">
        <f aca="false">IFERROR(INDEX('Controle de Entrega'!$C$6:$C$1575,MATCH($A67,'Controle de Entrega'!$J$6:$J$1575,0)),"")</f>
        <v/>
      </c>
      <c r="E67" s="25" t="str">
        <f aca="false">IFERROR(INDEX('Controle de Entrega'!$D$6:$D$1575,MATCH($A67,'Controle de Entrega'!$J$6:$J$1575,0)),"")</f>
        <v/>
      </c>
      <c r="F67" s="25" t="str">
        <f aca="false">IFERROR(INDEX('Controle de Entrega'!$E$6:$E$1575,MATCH($A67,'Controle de Entrega'!$J$6:$J$1575,0)),"")</f>
        <v/>
      </c>
      <c r="G67" s="25" t="str">
        <f aca="false">IFERROR(INDEX('Controle de Entrega'!$F$6:$F$1575,MATCH($A67,'Controle de Entrega'!$J$6:$J$1575,0)),"")</f>
        <v/>
      </c>
      <c r="H67" s="27" t="str">
        <f aca="false">IFERROR(INDEX('Controle de Entrega'!$G$6:$G$1575,MATCH($A67,'Controle de Entrega'!$J$6:$J$1575,0)),"")</f>
        <v/>
      </c>
      <c r="I67" s="25" t="str">
        <f aca="false">IFERROR(IF(INDEX('Controle de Entrega'!$H$6:$H$1575,MATCH($A67,'Controle de Entrega'!$J$6:$J$1575,0))=0,"",INDEX('Controle de Entrega'!$H$6:$H$1575,MATCH($A67,'Controle de Entrega'!$J$6:$J$1575,0))),"")</f>
        <v/>
      </c>
      <c r="J67" s="26" t="str">
        <f aca="false">IFERROR(IF(INDEX('Controle de Entrega'!$I$6:$I$1575,MATCH($A67,'Controle de Entrega'!$J$6:$J$1575,0))=0,"",INDEX('Controle de Entrega'!$I$6:$I$1575,MATCH($A67,'Controle de Entrega'!$J$6:$J$1575,0))),"")</f>
        <v/>
      </c>
    </row>
    <row r="68" customFormat="false" ht="15" hidden="false" customHeight="false" outlineLevel="0" collapsed="false">
      <c r="A68" s="25" t="n">
        <v>56</v>
      </c>
      <c r="B68" s="25" t="str">
        <f aca="false">IFERROR(INDEX('Controle de Entrega'!$A$6:$A$1575,MATCH($A68,'Controle de Entrega'!$J$6:$J$1575,0)),"")</f>
        <v/>
      </c>
      <c r="C68" s="25" t="str">
        <f aca="false">IFERROR(INDEX('Controle de Entrega'!$B$6:$B$1575,MATCH($A68,'Controle de Entrega'!$J$6:$J$1575,0)),"")</f>
        <v/>
      </c>
      <c r="D68" s="26" t="str">
        <f aca="false">IFERROR(INDEX('Controle de Entrega'!$C$6:$C$1575,MATCH($A68,'Controle de Entrega'!$J$6:$J$1575,0)),"")</f>
        <v/>
      </c>
      <c r="E68" s="25" t="str">
        <f aca="false">IFERROR(INDEX('Controle de Entrega'!$D$6:$D$1575,MATCH($A68,'Controle de Entrega'!$J$6:$J$1575,0)),"")</f>
        <v/>
      </c>
      <c r="F68" s="25" t="str">
        <f aca="false">IFERROR(INDEX('Controle de Entrega'!$E$6:$E$1575,MATCH($A68,'Controle de Entrega'!$J$6:$J$1575,0)),"")</f>
        <v/>
      </c>
      <c r="G68" s="25" t="str">
        <f aca="false">IFERROR(INDEX('Controle de Entrega'!$F$6:$F$1575,MATCH($A68,'Controle de Entrega'!$J$6:$J$1575,0)),"")</f>
        <v/>
      </c>
      <c r="H68" s="27" t="str">
        <f aca="false">IFERROR(INDEX('Controle de Entrega'!$G$6:$G$1575,MATCH($A68,'Controle de Entrega'!$J$6:$J$1575,0)),"")</f>
        <v/>
      </c>
      <c r="I68" s="25" t="str">
        <f aca="false">IFERROR(IF(INDEX('Controle de Entrega'!$H$6:$H$1575,MATCH($A68,'Controle de Entrega'!$J$6:$J$1575,0))=0,"",INDEX('Controle de Entrega'!$H$6:$H$1575,MATCH($A68,'Controle de Entrega'!$J$6:$J$1575,0))),"")</f>
        <v/>
      </c>
      <c r="J68" s="26" t="str">
        <f aca="false">IFERROR(IF(INDEX('Controle de Entrega'!$I$6:$I$1575,MATCH($A68,'Controle de Entrega'!$J$6:$J$1575,0))=0,"",INDEX('Controle de Entrega'!$I$6:$I$1575,MATCH($A68,'Controle de Entrega'!$J$6:$J$1575,0))),"")</f>
        <v/>
      </c>
    </row>
    <row r="69" customFormat="false" ht="15" hidden="false" customHeight="false" outlineLevel="0" collapsed="false">
      <c r="A69" s="25" t="n">
        <v>57</v>
      </c>
      <c r="B69" s="25" t="str">
        <f aca="false">IFERROR(INDEX('Controle de Entrega'!$A$6:$A$1575,MATCH($A69,'Controle de Entrega'!$J$6:$J$1575,0)),"")</f>
        <v/>
      </c>
      <c r="C69" s="25" t="str">
        <f aca="false">IFERROR(INDEX('Controle de Entrega'!$B$6:$B$1575,MATCH($A69,'Controle de Entrega'!$J$6:$J$1575,0)),"")</f>
        <v/>
      </c>
      <c r="D69" s="26" t="str">
        <f aca="false">IFERROR(INDEX('Controle de Entrega'!$C$6:$C$1575,MATCH($A69,'Controle de Entrega'!$J$6:$J$1575,0)),"")</f>
        <v/>
      </c>
      <c r="E69" s="25" t="str">
        <f aca="false">IFERROR(INDEX('Controle de Entrega'!$D$6:$D$1575,MATCH($A69,'Controle de Entrega'!$J$6:$J$1575,0)),"")</f>
        <v/>
      </c>
      <c r="F69" s="25" t="str">
        <f aca="false">IFERROR(INDEX('Controle de Entrega'!$E$6:$E$1575,MATCH($A69,'Controle de Entrega'!$J$6:$J$1575,0)),"")</f>
        <v/>
      </c>
      <c r="G69" s="25" t="str">
        <f aca="false">IFERROR(INDEX('Controle de Entrega'!$F$6:$F$1575,MATCH($A69,'Controle de Entrega'!$J$6:$J$1575,0)),"")</f>
        <v/>
      </c>
      <c r="H69" s="27" t="str">
        <f aca="false">IFERROR(INDEX('Controle de Entrega'!$G$6:$G$1575,MATCH($A69,'Controle de Entrega'!$J$6:$J$1575,0)),"")</f>
        <v/>
      </c>
      <c r="I69" s="25" t="str">
        <f aca="false">IFERROR(IF(INDEX('Controle de Entrega'!$H$6:$H$1575,MATCH($A69,'Controle de Entrega'!$J$6:$J$1575,0))=0,"",INDEX('Controle de Entrega'!$H$6:$H$1575,MATCH($A69,'Controle de Entrega'!$J$6:$J$1575,0))),"")</f>
        <v/>
      </c>
      <c r="J69" s="26" t="str">
        <f aca="false">IFERROR(IF(INDEX('Controle de Entrega'!$I$6:$I$1575,MATCH($A69,'Controle de Entrega'!$J$6:$J$1575,0))=0,"",INDEX('Controle de Entrega'!$I$6:$I$1575,MATCH($A69,'Controle de Entrega'!$J$6:$J$1575,0))),"")</f>
        <v/>
      </c>
    </row>
    <row r="70" customFormat="false" ht="15" hidden="false" customHeight="false" outlineLevel="0" collapsed="false">
      <c r="A70" s="25" t="n">
        <v>58</v>
      </c>
      <c r="B70" s="25" t="str">
        <f aca="false">IFERROR(INDEX('Controle de Entrega'!$A$6:$A$1575,MATCH($A70,'Controle de Entrega'!$J$6:$J$1575,0)),"")</f>
        <v/>
      </c>
      <c r="C70" s="25" t="str">
        <f aca="false">IFERROR(INDEX('Controle de Entrega'!$B$6:$B$1575,MATCH($A70,'Controle de Entrega'!$J$6:$J$1575,0)),"")</f>
        <v/>
      </c>
      <c r="D70" s="26" t="str">
        <f aca="false">IFERROR(INDEX('Controle de Entrega'!$C$6:$C$1575,MATCH($A70,'Controle de Entrega'!$J$6:$J$1575,0)),"")</f>
        <v/>
      </c>
      <c r="E70" s="25" t="str">
        <f aca="false">IFERROR(INDEX('Controle de Entrega'!$D$6:$D$1575,MATCH($A70,'Controle de Entrega'!$J$6:$J$1575,0)),"")</f>
        <v/>
      </c>
      <c r="F70" s="25" t="str">
        <f aca="false">IFERROR(INDEX('Controle de Entrega'!$E$6:$E$1575,MATCH($A70,'Controle de Entrega'!$J$6:$J$1575,0)),"")</f>
        <v/>
      </c>
      <c r="G70" s="25" t="str">
        <f aca="false">IFERROR(INDEX('Controle de Entrega'!$F$6:$F$1575,MATCH($A70,'Controle de Entrega'!$J$6:$J$1575,0)),"")</f>
        <v/>
      </c>
      <c r="H70" s="27" t="str">
        <f aca="false">IFERROR(INDEX('Controle de Entrega'!$G$6:$G$1575,MATCH($A70,'Controle de Entrega'!$J$6:$J$1575,0)),"")</f>
        <v/>
      </c>
      <c r="I70" s="25" t="str">
        <f aca="false">IFERROR(IF(INDEX('Controle de Entrega'!$H$6:$H$1575,MATCH($A70,'Controle de Entrega'!$J$6:$J$1575,0))=0,"",INDEX('Controle de Entrega'!$H$6:$H$1575,MATCH($A70,'Controle de Entrega'!$J$6:$J$1575,0))),"")</f>
        <v/>
      </c>
      <c r="J70" s="26" t="str">
        <f aca="false">IFERROR(IF(INDEX('Controle de Entrega'!$I$6:$I$1575,MATCH($A70,'Controle de Entrega'!$J$6:$J$1575,0))=0,"",INDEX('Controle de Entrega'!$I$6:$I$1575,MATCH($A70,'Controle de Entrega'!$J$6:$J$1575,0))),"")</f>
        <v/>
      </c>
    </row>
    <row r="71" customFormat="false" ht="15" hidden="false" customHeight="false" outlineLevel="0" collapsed="false">
      <c r="A71" s="25" t="n">
        <v>59</v>
      </c>
      <c r="B71" s="25" t="str">
        <f aca="false">IFERROR(INDEX('Controle de Entrega'!$A$6:$A$1575,MATCH($A71,'Controle de Entrega'!$J$6:$J$1575,0)),"")</f>
        <v/>
      </c>
      <c r="C71" s="25" t="str">
        <f aca="false">IFERROR(INDEX('Controle de Entrega'!$B$6:$B$1575,MATCH($A71,'Controle de Entrega'!$J$6:$J$1575,0)),"")</f>
        <v/>
      </c>
      <c r="D71" s="26" t="str">
        <f aca="false">IFERROR(INDEX('Controle de Entrega'!$C$6:$C$1575,MATCH($A71,'Controle de Entrega'!$J$6:$J$1575,0)),"")</f>
        <v/>
      </c>
      <c r="E71" s="25" t="str">
        <f aca="false">IFERROR(INDEX('Controle de Entrega'!$D$6:$D$1575,MATCH($A71,'Controle de Entrega'!$J$6:$J$1575,0)),"")</f>
        <v/>
      </c>
      <c r="F71" s="25" t="str">
        <f aca="false">IFERROR(INDEX('Controle de Entrega'!$E$6:$E$1575,MATCH($A71,'Controle de Entrega'!$J$6:$J$1575,0)),"")</f>
        <v/>
      </c>
      <c r="G71" s="25" t="str">
        <f aca="false">IFERROR(INDEX('Controle de Entrega'!$F$6:$F$1575,MATCH($A71,'Controle de Entrega'!$J$6:$J$1575,0)),"")</f>
        <v/>
      </c>
      <c r="H71" s="27" t="str">
        <f aca="false">IFERROR(INDEX('Controle de Entrega'!$G$6:$G$1575,MATCH($A71,'Controle de Entrega'!$J$6:$J$1575,0)),"")</f>
        <v/>
      </c>
      <c r="I71" s="25" t="str">
        <f aca="false">IFERROR(IF(INDEX('Controle de Entrega'!$H$6:$H$1575,MATCH($A71,'Controle de Entrega'!$J$6:$J$1575,0))=0,"",INDEX('Controle de Entrega'!$H$6:$H$1575,MATCH($A71,'Controle de Entrega'!$J$6:$J$1575,0))),"")</f>
        <v/>
      </c>
      <c r="J71" s="26" t="str">
        <f aca="false">IFERROR(IF(INDEX('Controle de Entrega'!$I$6:$I$1575,MATCH($A71,'Controle de Entrega'!$J$6:$J$1575,0))=0,"",INDEX('Controle de Entrega'!$I$6:$I$1575,MATCH($A71,'Controle de Entrega'!$J$6:$J$1575,0))),"")</f>
        <v/>
      </c>
    </row>
    <row r="72" customFormat="false" ht="15" hidden="false" customHeight="false" outlineLevel="0" collapsed="false">
      <c r="A72" s="25" t="n">
        <v>60</v>
      </c>
      <c r="B72" s="25" t="str">
        <f aca="false">IFERROR(INDEX('Controle de Entrega'!$A$6:$A$1575,MATCH($A72,'Controle de Entrega'!$J$6:$J$1575,0)),"")</f>
        <v/>
      </c>
      <c r="C72" s="25" t="str">
        <f aca="false">IFERROR(INDEX('Controle de Entrega'!$B$6:$B$1575,MATCH($A72,'Controle de Entrega'!$J$6:$J$1575,0)),"")</f>
        <v/>
      </c>
      <c r="D72" s="26" t="str">
        <f aca="false">IFERROR(INDEX('Controle de Entrega'!$C$6:$C$1575,MATCH($A72,'Controle de Entrega'!$J$6:$J$1575,0)),"")</f>
        <v/>
      </c>
      <c r="E72" s="25" t="str">
        <f aca="false">IFERROR(INDEX('Controle de Entrega'!$D$6:$D$1575,MATCH($A72,'Controle de Entrega'!$J$6:$J$1575,0)),"")</f>
        <v/>
      </c>
      <c r="F72" s="25" t="str">
        <f aca="false">IFERROR(INDEX('Controle de Entrega'!$E$6:$E$1575,MATCH($A72,'Controle de Entrega'!$J$6:$J$1575,0)),"")</f>
        <v/>
      </c>
      <c r="G72" s="25" t="str">
        <f aca="false">IFERROR(INDEX('Controle de Entrega'!$F$6:$F$1575,MATCH($A72,'Controle de Entrega'!$J$6:$J$1575,0)),"")</f>
        <v/>
      </c>
      <c r="H72" s="27" t="str">
        <f aca="false">IFERROR(INDEX('Controle de Entrega'!$G$6:$G$1575,MATCH($A72,'Controle de Entrega'!$J$6:$J$1575,0)),"")</f>
        <v/>
      </c>
      <c r="I72" s="25" t="str">
        <f aca="false">IFERROR(IF(INDEX('Controle de Entrega'!$H$6:$H$1575,MATCH($A72,'Controle de Entrega'!$J$6:$J$1575,0))=0,"",INDEX('Controle de Entrega'!$H$6:$H$1575,MATCH($A72,'Controle de Entrega'!$J$6:$J$1575,0))),"")</f>
        <v/>
      </c>
      <c r="J72" s="26" t="str">
        <f aca="false">IFERROR(IF(INDEX('Controle de Entrega'!$I$6:$I$1575,MATCH($A72,'Controle de Entrega'!$J$6:$J$1575,0))=0,"",INDEX('Controle de Entrega'!$I$6:$I$1575,MATCH($A72,'Controle de Entrega'!$J$6:$J$1575,0))),"")</f>
        <v/>
      </c>
    </row>
    <row r="73" customFormat="false" ht="15" hidden="false" customHeight="false" outlineLevel="0" collapsed="false">
      <c r="A73" s="25" t="n">
        <v>61</v>
      </c>
      <c r="B73" s="25" t="str">
        <f aca="false">IFERROR(INDEX('Controle de Entrega'!$A$6:$A$1575,MATCH($A73,'Controle de Entrega'!$J$6:$J$1575,0)),"")</f>
        <v/>
      </c>
      <c r="C73" s="25" t="str">
        <f aca="false">IFERROR(INDEX('Controle de Entrega'!$B$6:$B$1575,MATCH($A73,'Controle de Entrega'!$J$6:$J$1575,0)),"")</f>
        <v/>
      </c>
      <c r="D73" s="26" t="str">
        <f aca="false">IFERROR(INDEX('Controle de Entrega'!$C$6:$C$1575,MATCH($A73,'Controle de Entrega'!$J$6:$J$1575,0)),"")</f>
        <v/>
      </c>
      <c r="E73" s="25" t="str">
        <f aca="false">IFERROR(INDEX('Controle de Entrega'!$D$6:$D$1575,MATCH($A73,'Controle de Entrega'!$J$6:$J$1575,0)),"")</f>
        <v/>
      </c>
      <c r="F73" s="25" t="str">
        <f aca="false">IFERROR(INDEX('Controle de Entrega'!$E$6:$E$1575,MATCH($A73,'Controle de Entrega'!$J$6:$J$1575,0)),"")</f>
        <v/>
      </c>
      <c r="G73" s="25" t="str">
        <f aca="false">IFERROR(INDEX('Controle de Entrega'!$F$6:$F$1575,MATCH($A73,'Controle de Entrega'!$J$6:$J$1575,0)),"")</f>
        <v/>
      </c>
      <c r="H73" s="27" t="str">
        <f aca="false">IFERROR(INDEX('Controle de Entrega'!$G$6:$G$1575,MATCH($A73,'Controle de Entrega'!$J$6:$J$1575,0)),"")</f>
        <v/>
      </c>
      <c r="I73" s="25" t="str">
        <f aca="false">IFERROR(IF(INDEX('Controle de Entrega'!$H$6:$H$1575,MATCH($A73,'Controle de Entrega'!$J$6:$J$1575,0))=0,"",INDEX('Controle de Entrega'!$H$6:$H$1575,MATCH($A73,'Controle de Entrega'!$J$6:$J$1575,0))),"")</f>
        <v/>
      </c>
      <c r="J73" s="26" t="str">
        <f aca="false">IFERROR(IF(INDEX('Controle de Entrega'!$I$6:$I$1575,MATCH($A73,'Controle de Entrega'!$J$6:$J$1575,0))=0,"",INDEX('Controle de Entrega'!$I$6:$I$1575,MATCH($A73,'Controle de Entrega'!$J$6:$J$1575,0))),"")</f>
        <v/>
      </c>
    </row>
    <row r="74" customFormat="false" ht="15" hidden="false" customHeight="false" outlineLevel="0" collapsed="false">
      <c r="A74" s="25" t="n">
        <v>62</v>
      </c>
      <c r="B74" s="25" t="str">
        <f aca="false">IFERROR(INDEX('Controle de Entrega'!$A$6:$A$1575,MATCH($A74,'Controle de Entrega'!$J$6:$J$1575,0)),"")</f>
        <v/>
      </c>
      <c r="C74" s="25" t="str">
        <f aca="false">IFERROR(INDEX('Controle de Entrega'!$B$6:$B$1575,MATCH($A74,'Controle de Entrega'!$J$6:$J$1575,0)),"")</f>
        <v/>
      </c>
      <c r="D74" s="26" t="str">
        <f aca="false">IFERROR(INDEX('Controle de Entrega'!$C$6:$C$1575,MATCH($A74,'Controle de Entrega'!$J$6:$J$1575,0)),"")</f>
        <v/>
      </c>
      <c r="E74" s="25" t="str">
        <f aca="false">IFERROR(INDEX('Controle de Entrega'!$D$6:$D$1575,MATCH($A74,'Controle de Entrega'!$J$6:$J$1575,0)),"")</f>
        <v/>
      </c>
      <c r="F74" s="25" t="str">
        <f aca="false">IFERROR(INDEX('Controle de Entrega'!$E$6:$E$1575,MATCH($A74,'Controle de Entrega'!$J$6:$J$1575,0)),"")</f>
        <v/>
      </c>
      <c r="G74" s="25" t="str">
        <f aca="false">IFERROR(INDEX('Controle de Entrega'!$F$6:$F$1575,MATCH($A74,'Controle de Entrega'!$J$6:$J$1575,0)),"")</f>
        <v/>
      </c>
      <c r="H74" s="27" t="str">
        <f aca="false">IFERROR(INDEX('Controle de Entrega'!$G$6:$G$1575,MATCH($A74,'Controle de Entrega'!$J$6:$J$1575,0)),"")</f>
        <v/>
      </c>
      <c r="I74" s="25" t="str">
        <f aca="false">IFERROR(IF(INDEX('Controle de Entrega'!$H$6:$H$1575,MATCH($A74,'Controle de Entrega'!$J$6:$J$1575,0))=0,"",INDEX('Controle de Entrega'!$H$6:$H$1575,MATCH($A74,'Controle de Entrega'!$J$6:$J$1575,0))),"")</f>
        <v/>
      </c>
      <c r="J74" s="26" t="str">
        <f aca="false">IFERROR(IF(INDEX('Controle de Entrega'!$I$6:$I$1575,MATCH($A74,'Controle de Entrega'!$J$6:$J$1575,0))=0,"",INDEX('Controle de Entrega'!$I$6:$I$1575,MATCH($A74,'Controle de Entrega'!$J$6:$J$1575,0))),"")</f>
        <v/>
      </c>
    </row>
    <row r="75" customFormat="false" ht="15" hidden="false" customHeight="false" outlineLevel="0" collapsed="false">
      <c r="A75" s="25" t="n">
        <v>63</v>
      </c>
      <c r="B75" s="25" t="str">
        <f aca="false">IFERROR(INDEX('Controle de Entrega'!$A$6:$A$1575,MATCH($A75,'Controle de Entrega'!$J$6:$J$1575,0)),"")</f>
        <v/>
      </c>
      <c r="C75" s="25" t="str">
        <f aca="false">IFERROR(INDEX('Controle de Entrega'!$B$6:$B$1575,MATCH($A75,'Controle de Entrega'!$J$6:$J$1575,0)),"")</f>
        <v/>
      </c>
      <c r="D75" s="26" t="str">
        <f aca="false">IFERROR(INDEX('Controle de Entrega'!$C$6:$C$1575,MATCH($A75,'Controle de Entrega'!$J$6:$J$1575,0)),"")</f>
        <v/>
      </c>
      <c r="E75" s="25" t="str">
        <f aca="false">IFERROR(INDEX('Controle de Entrega'!$D$6:$D$1575,MATCH($A75,'Controle de Entrega'!$J$6:$J$1575,0)),"")</f>
        <v/>
      </c>
      <c r="F75" s="25" t="str">
        <f aca="false">IFERROR(INDEX('Controle de Entrega'!$E$6:$E$1575,MATCH($A75,'Controle de Entrega'!$J$6:$J$1575,0)),"")</f>
        <v/>
      </c>
      <c r="G75" s="25" t="str">
        <f aca="false">IFERROR(INDEX('Controle de Entrega'!$F$6:$F$1575,MATCH($A75,'Controle de Entrega'!$J$6:$J$1575,0)),"")</f>
        <v/>
      </c>
      <c r="H75" s="27" t="str">
        <f aca="false">IFERROR(INDEX('Controle de Entrega'!$G$6:$G$1575,MATCH($A75,'Controle de Entrega'!$J$6:$J$1575,0)),"")</f>
        <v/>
      </c>
      <c r="I75" s="25" t="str">
        <f aca="false">IFERROR(IF(INDEX('Controle de Entrega'!$H$6:$H$1575,MATCH($A75,'Controle de Entrega'!$J$6:$J$1575,0))=0,"",INDEX('Controle de Entrega'!$H$6:$H$1575,MATCH($A75,'Controle de Entrega'!$J$6:$J$1575,0))),"")</f>
        <v/>
      </c>
      <c r="J75" s="26" t="str">
        <f aca="false">IFERROR(IF(INDEX('Controle de Entrega'!$I$6:$I$1575,MATCH($A75,'Controle de Entrega'!$J$6:$J$1575,0))=0,"",INDEX('Controle de Entrega'!$I$6:$I$1575,MATCH($A75,'Controle de Entrega'!$J$6:$J$1575,0))),"")</f>
        <v/>
      </c>
    </row>
    <row r="76" customFormat="false" ht="15" hidden="false" customHeight="false" outlineLevel="0" collapsed="false">
      <c r="A76" s="25" t="n">
        <v>64</v>
      </c>
      <c r="B76" s="25" t="str">
        <f aca="false">IFERROR(INDEX('Controle de Entrega'!$A$6:$A$1575,MATCH($A76,'Controle de Entrega'!$J$6:$J$1575,0)),"")</f>
        <v/>
      </c>
      <c r="C76" s="25" t="str">
        <f aca="false">IFERROR(INDEX('Controle de Entrega'!$B$6:$B$1575,MATCH($A76,'Controle de Entrega'!$J$6:$J$1575,0)),"")</f>
        <v/>
      </c>
      <c r="D76" s="26" t="str">
        <f aca="false">IFERROR(INDEX('Controle de Entrega'!$C$6:$C$1575,MATCH($A76,'Controle de Entrega'!$J$6:$J$1575,0)),"")</f>
        <v/>
      </c>
      <c r="E76" s="25" t="str">
        <f aca="false">IFERROR(INDEX('Controle de Entrega'!$D$6:$D$1575,MATCH($A76,'Controle de Entrega'!$J$6:$J$1575,0)),"")</f>
        <v/>
      </c>
      <c r="F76" s="25" t="str">
        <f aca="false">IFERROR(INDEX('Controle de Entrega'!$E$6:$E$1575,MATCH($A76,'Controle de Entrega'!$J$6:$J$1575,0)),"")</f>
        <v/>
      </c>
      <c r="G76" s="25" t="str">
        <f aca="false">IFERROR(INDEX('Controle de Entrega'!$F$6:$F$1575,MATCH($A76,'Controle de Entrega'!$J$6:$J$1575,0)),"")</f>
        <v/>
      </c>
      <c r="H76" s="27" t="str">
        <f aca="false">IFERROR(INDEX('Controle de Entrega'!$G$6:$G$1575,MATCH($A76,'Controle de Entrega'!$J$6:$J$1575,0)),"")</f>
        <v/>
      </c>
      <c r="I76" s="25" t="str">
        <f aca="false">IFERROR(IF(INDEX('Controle de Entrega'!$H$6:$H$1575,MATCH($A76,'Controle de Entrega'!$J$6:$J$1575,0))=0,"",INDEX('Controle de Entrega'!$H$6:$H$1575,MATCH($A76,'Controle de Entrega'!$J$6:$J$1575,0))),"")</f>
        <v/>
      </c>
      <c r="J76" s="26" t="str">
        <f aca="false">IFERROR(IF(INDEX('Controle de Entrega'!$I$6:$I$1575,MATCH($A76,'Controle de Entrega'!$J$6:$J$1575,0))=0,"",INDEX('Controle de Entrega'!$I$6:$I$1575,MATCH($A76,'Controle de Entrega'!$J$6:$J$1575,0))),"")</f>
        <v/>
      </c>
    </row>
    <row r="77" customFormat="false" ht="15" hidden="false" customHeight="false" outlineLevel="0" collapsed="false">
      <c r="A77" s="25" t="n">
        <v>65</v>
      </c>
      <c r="B77" s="25" t="str">
        <f aca="false">IFERROR(INDEX('Controle de Entrega'!$A$6:$A$1575,MATCH($A77,'Controle de Entrega'!$J$6:$J$1575,0)),"")</f>
        <v/>
      </c>
      <c r="C77" s="25" t="str">
        <f aca="false">IFERROR(INDEX('Controle de Entrega'!$B$6:$B$1575,MATCH($A77,'Controle de Entrega'!$J$6:$J$1575,0)),"")</f>
        <v/>
      </c>
      <c r="D77" s="26" t="str">
        <f aca="false">IFERROR(INDEX('Controle de Entrega'!$C$6:$C$1575,MATCH($A77,'Controle de Entrega'!$J$6:$J$1575,0)),"")</f>
        <v/>
      </c>
      <c r="E77" s="25" t="str">
        <f aca="false">IFERROR(INDEX('Controle de Entrega'!$D$6:$D$1575,MATCH($A77,'Controle de Entrega'!$J$6:$J$1575,0)),"")</f>
        <v/>
      </c>
      <c r="F77" s="25" t="str">
        <f aca="false">IFERROR(INDEX('Controle de Entrega'!$E$6:$E$1575,MATCH($A77,'Controle de Entrega'!$J$6:$J$1575,0)),"")</f>
        <v/>
      </c>
      <c r="G77" s="25" t="str">
        <f aca="false">IFERROR(INDEX('Controle de Entrega'!$F$6:$F$1575,MATCH($A77,'Controle de Entrega'!$J$6:$J$1575,0)),"")</f>
        <v/>
      </c>
      <c r="H77" s="27" t="str">
        <f aca="false">IFERROR(INDEX('Controle de Entrega'!$G$6:$G$1575,MATCH($A77,'Controle de Entrega'!$J$6:$J$1575,0)),"")</f>
        <v/>
      </c>
      <c r="I77" s="25" t="str">
        <f aca="false">IFERROR(IF(INDEX('Controle de Entrega'!$H$6:$H$1575,MATCH($A77,'Controle de Entrega'!$J$6:$J$1575,0))=0,"",INDEX('Controle de Entrega'!$H$6:$H$1575,MATCH($A77,'Controle de Entrega'!$J$6:$J$1575,0))),"")</f>
        <v/>
      </c>
      <c r="J77" s="26" t="str">
        <f aca="false">IFERROR(IF(INDEX('Controle de Entrega'!$I$6:$I$1575,MATCH($A77,'Controle de Entrega'!$J$6:$J$1575,0))=0,"",INDEX('Controle de Entrega'!$I$6:$I$1575,MATCH($A77,'Controle de Entrega'!$J$6:$J$1575,0))),"")</f>
        <v/>
      </c>
    </row>
    <row r="78" customFormat="false" ht="15" hidden="false" customHeight="false" outlineLevel="0" collapsed="false">
      <c r="A78" s="25" t="n">
        <v>66</v>
      </c>
      <c r="B78" s="25" t="str">
        <f aca="false">IFERROR(INDEX('Controle de Entrega'!$A$6:$A$1575,MATCH($A78,'Controle de Entrega'!$J$6:$J$1575,0)),"")</f>
        <v/>
      </c>
      <c r="C78" s="25" t="str">
        <f aca="false">IFERROR(INDEX('Controle de Entrega'!$B$6:$B$1575,MATCH($A78,'Controle de Entrega'!$J$6:$J$1575,0)),"")</f>
        <v/>
      </c>
      <c r="D78" s="26" t="str">
        <f aca="false">IFERROR(INDEX('Controle de Entrega'!$C$6:$C$1575,MATCH($A78,'Controle de Entrega'!$J$6:$J$1575,0)),"")</f>
        <v/>
      </c>
      <c r="E78" s="25" t="str">
        <f aca="false">IFERROR(INDEX('Controle de Entrega'!$D$6:$D$1575,MATCH($A78,'Controle de Entrega'!$J$6:$J$1575,0)),"")</f>
        <v/>
      </c>
      <c r="F78" s="25" t="str">
        <f aca="false">IFERROR(INDEX('Controle de Entrega'!$E$6:$E$1575,MATCH($A78,'Controle de Entrega'!$J$6:$J$1575,0)),"")</f>
        <v/>
      </c>
      <c r="G78" s="25" t="str">
        <f aca="false">IFERROR(INDEX('Controle de Entrega'!$F$6:$F$1575,MATCH($A78,'Controle de Entrega'!$J$6:$J$1575,0)),"")</f>
        <v/>
      </c>
      <c r="H78" s="27" t="str">
        <f aca="false">IFERROR(INDEX('Controle de Entrega'!$G$6:$G$1575,MATCH($A78,'Controle de Entrega'!$J$6:$J$1575,0)),"")</f>
        <v/>
      </c>
      <c r="I78" s="25" t="str">
        <f aca="false">IFERROR(IF(INDEX('Controle de Entrega'!$H$6:$H$1575,MATCH($A78,'Controle de Entrega'!$J$6:$J$1575,0))=0,"",INDEX('Controle de Entrega'!$H$6:$H$1575,MATCH($A78,'Controle de Entrega'!$J$6:$J$1575,0))),"")</f>
        <v/>
      </c>
      <c r="J78" s="26" t="str">
        <f aca="false">IFERROR(IF(INDEX('Controle de Entrega'!$I$6:$I$1575,MATCH($A78,'Controle de Entrega'!$J$6:$J$1575,0))=0,"",INDEX('Controle de Entrega'!$I$6:$I$1575,MATCH($A78,'Controle de Entrega'!$J$6:$J$1575,0))),"")</f>
        <v/>
      </c>
    </row>
    <row r="79" customFormat="false" ht="15" hidden="false" customHeight="false" outlineLevel="0" collapsed="false">
      <c r="A79" s="25" t="n">
        <v>67</v>
      </c>
      <c r="B79" s="25" t="str">
        <f aca="false">IFERROR(INDEX('Controle de Entrega'!$A$6:$A$1575,MATCH($A79,'Controle de Entrega'!$J$6:$J$1575,0)),"")</f>
        <v/>
      </c>
      <c r="C79" s="25" t="str">
        <f aca="false">IFERROR(INDEX('Controle de Entrega'!$B$6:$B$1575,MATCH($A79,'Controle de Entrega'!$J$6:$J$1575,0)),"")</f>
        <v/>
      </c>
      <c r="D79" s="26" t="str">
        <f aca="false">IFERROR(INDEX('Controle de Entrega'!$C$6:$C$1575,MATCH($A79,'Controle de Entrega'!$J$6:$J$1575,0)),"")</f>
        <v/>
      </c>
      <c r="E79" s="25" t="str">
        <f aca="false">IFERROR(INDEX('Controle de Entrega'!$D$6:$D$1575,MATCH($A79,'Controle de Entrega'!$J$6:$J$1575,0)),"")</f>
        <v/>
      </c>
      <c r="F79" s="25" t="str">
        <f aca="false">IFERROR(INDEX('Controle de Entrega'!$E$6:$E$1575,MATCH($A79,'Controle de Entrega'!$J$6:$J$1575,0)),"")</f>
        <v/>
      </c>
      <c r="G79" s="25" t="str">
        <f aca="false">IFERROR(INDEX('Controle de Entrega'!$F$6:$F$1575,MATCH($A79,'Controle de Entrega'!$J$6:$J$1575,0)),"")</f>
        <v/>
      </c>
      <c r="H79" s="27" t="str">
        <f aca="false">IFERROR(INDEX('Controle de Entrega'!$G$6:$G$1575,MATCH($A79,'Controle de Entrega'!$J$6:$J$1575,0)),"")</f>
        <v/>
      </c>
      <c r="I79" s="25" t="str">
        <f aca="false">IFERROR(IF(INDEX('Controle de Entrega'!$H$6:$H$1575,MATCH($A79,'Controle de Entrega'!$J$6:$J$1575,0))=0,"",INDEX('Controle de Entrega'!$H$6:$H$1575,MATCH($A79,'Controle de Entrega'!$J$6:$J$1575,0))),"")</f>
        <v/>
      </c>
      <c r="J79" s="26" t="str">
        <f aca="false">IFERROR(IF(INDEX('Controle de Entrega'!$I$6:$I$1575,MATCH($A79,'Controle de Entrega'!$J$6:$J$1575,0))=0,"",INDEX('Controle de Entrega'!$I$6:$I$1575,MATCH($A79,'Controle de Entrega'!$J$6:$J$1575,0))),"")</f>
        <v/>
      </c>
    </row>
    <row r="80" customFormat="false" ht="15" hidden="false" customHeight="false" outlineLevel="0" collapsed="false">
      <c r="A80" s="25" t="n">
        <v>68</v>
      </c>
      <c r="B80" s="25" t="str">
        <f aca="false">IFERROR(INDEX('Controle de Entrega'!$A$6:$A$1575,MATCH($A80,'Controle de Entrega'!$J$6:$J$1575,0)),"")</f>
        <v/>
      </c>
      <c r="C80" s="25" t="str">
        <f aca="false">IFERROR(INDEX('Controle de Entrega'!$B$6:$B$1575,MATCH($A80,'Controle de Entrega'!$J$6:$J$1575,0)),"")</f>
        <v/>
      </c>
      <c r="D80" s="26" t="str">
        <f aca="false">IFERROR(INDEX('Controle de Entrega'!$C$6:$C$1575,MATCH($A80,'Controle de Entrega'!$J$6:$J$1575,0)),"")</f>
        <v/>
      </c>
      <c r="E80" s="25" t="str">
        <f aca="false">IFERROR(INDEX('Controle de Entrega'!$D$6:$D$1575,MATCH($A80,'Controle de Entrega'!$J$6:$J$1575,0)),"")</f>
        <v/>
      </c>
      <c r="F80" s="25" t="str">
        <f aca="false">IFERROR(INDEX('Controle de Entrega'!$E$6:$E$1575,MATCH($A80,'Controle de Entrega'!$J$6:$J$1575,0)),"")</f>
        <v/>
      </c>
      <c r="G80" s="25" t="str">
        <f aca="false">IFERROR(INDEX('Controle de Entrega'!$F$6:$F$1575,MATCH($A80,'Controle de Entrega'!$J$6:$J$1575,0)),"")</f>
        <v/>
      </c>
      <c r="H80" s="27" t="str">
        <f aca="false">IFERROR(INDEX('Controle de Entrega'!$G$6:$G$1575,MATCH($A80,'Controle de Entrega'!$J$6:$J$1575,0)),"")</f>
        <v/>
      </c>
      <c r="I80" s="25" t="str">
        <f aca="false">IFERROR(IF(INDEX('Controle de Entrega'!$H$6:$H$1575,MATCH($A80,'Controle de Entrega'!$J$6:$J$1575,0))=0,"",INDEX('Controle de Entrega'!$H$6:$H$1575,MATCH($A80,'Controle de Entrega'!$J$6:$J$1575,0))),"")</f>
        <v/>
      </c>
      <c r="J80" s="26" t="str">
        <f aca="false">IFERROR(IF(INDEX('Controle de Entrega'!$I$6:$I$1575,MATCH($A80,'Controle de Entrega'!$J$6:$J$1575,0))=0,"",INDEX('Controle de Entrega'!$I$6:$I$1575,MATCH($A80,'Controle de Entrega'!$J$6:$J$1575,0))),"")</f>
        <v/>
      </c>
    </row>
    <row r="81" customFormat="false" ht="15" hidden="false" customHeight="false" outlineLevel="0" collapsed="false">
      <c r="A81" s="25" t="n">
        <v>69</v>
      </c>
      <c r="B81" s="25" t="str">
        <f aca="false">IFERROR(INDEX('Controle de Entrega'!$A$6:$A$1575,MATCH($A81,'Controle de Entrega'!$J$6:$J$1575,0)),"")</f>
        <v/>
      </c>
      <c r="C81" s="25" t="str">
        <f aca="false">IFERROR(INDEX('Controle de Entrega'!$B$6:$B$1575,MATCH($A81,'Controle de Entrega'!$J$6:$J$1575,0)),"")</f>
        <v/>
      </c>
      <c r="D81" s="26" t="str">
        <f aca="false">IFERROR(INDEX('Controle de Entrega'!$C$6:$C$1575,MATCH($A81,'Controle de Entrega'!$J$6:$J$1575,0)),"")</f>
        <v/>
      </c>
      <c r="E81" s="25" t="str">
        <f aca="false">IFERROR(INDEX('Controle de Entrega'!$D$6:$D$1575,MATCH($A81,'Controle de Entrega'!$J$6:$J$1575,0)),"")</f>
        <v/>
      </c>
      <c r="F81" s="25" t="str">
        <f aca="false">IFERROR(INDEX('Controle de Entrega'!$E$6:$E$1575,MATCH($A81,'Controle de Entrega'!$J$6:$J$1575,0)),"")</f>
        <v/>
      </c>
      <c r="G81" s="25" t="str">
        <f aca="false">IFERROR(INDEX('Controle de Entrega'!$F$6:$F$1575,MATCH($A81,'Controle de Entrega'!$J$6:$J$1575,0)),"")</f>
        <v/>
      </c>
      <c r="H81" s="27" t="str">
        <f aca="false">IFERROR(INDEX('Controle de Entrega'!$G$6:$G$1575,MATCH($A81,'Controle de Entrega'!$J$6:$J$1575,0)),"")</f>
        <v/>
      </c>
      <c r="I81" s="25" t="str">
        <f aca="false">IFERROR(IF(INDEX('Controle de Entrega'!$H$6:$H$1575,MATCH($A81,'Controle de Entrega'!$J$6:$J$1575,0))=0,"",INDEX('Controle de Entrega'!$H$6:$H$1575,MATCH($A81,'Controle de Entrega'!$J$6:$J$1575,0))),"")</f>
        <v/>
      </c>
      <c r="J81" s="26" t="str">
        <f aca="false">IFERROR(IF(INDEX('Controle de Entrega'!$I$6:$I$1575,MATCH($A81,'Controle de Entrega'!$J$6:$J$1575,0))=0,"",INDEX('Controle de Entrega'!$I$6:$I$1575,MATCH($A81,'Controle de Entrega'!$J$6:$J$1575,0))),"")</f>
        <v/>
      </c>
    </row>
    <row r="82" customFormat="false" ht="15" hidden="false" customHeight="false" outlineLevel="0" collapsed="false">
      <c r="A82" s="25" t="n">
        <v>70</v>
      </c>
      <c r="B82" s="25" t="str">
        <f aca="false">IFERROR(INDEX('Controle de Entrega'!$A$6:$A$1575,MATCH($A82,'Controle de Entrega'!$J$6:$J$1575,0)),"")</f>
        <v/>
      </c>
      <c r="C82" s="25" t="str">
        <f aca="false">IFERROR(INDEX('Controle de Entrega'!$B$6:$B$1575,MATCH($A82,'Controle de Entrega'!$J$6:$J$1575,0)),"")</f>
        <v/>
      </c>
      <c r="D82" s="26" t="str">
        <f aca="false">IFERROR(INDEX('Controle de Entrega'!$C$6:$C$1575,MATCH($A82,'Controle de Entrega'!$J$6:$J$1575,0)),"")</f>
        <v/>
      </c>
      <c r="E82" s="25" t="str">
        <f aca="false">IFERROR(INDEX('Controle de Entrega'!$D$6:$D$1575,MATCH($A82,'Controle de Entrega'!$J$6:$J$1575,0)),"")</f>
        <v/>
      </c>
      <c r="F82" s="25" t="str">
        <f aca="false">IFERROR(INDEX('Controle de Entrega'!$E$6:$E$1575,MATCH($A82,'Controle de Entrega'!$J$6:$J$1575,0)),"")</f>
        <v/>
      </c>
      <c r="G82" s="25" t="str">
        <f aca="false">IFERROR(INDEX('Controle de Entrega'!$F$6:$F$1575,MATCH($A82,'Controle de Entrega'!$J$6:$J$1575,0)),"")</f>
        <v/>
      </c>
      <c r="H82" s="27" t="str">
        <f aca="false">IFERROR(INDEX('Controle de Entrega'!$G$6:$G$1575,MATCH($A82,'Controle de Entrega'!$J$6:$J$1575,0)),"")</f>
        <v/>
      </c>
      <c r="I82" s="25" t="str">
        <f aca="false">IFERROR(IF(INDEX('Controle de Entrega'!$H$6:$H$1575,MATCH($A82,'Controle de Entrega'!$J$6:$J$1575,0))=0,"",INDEX('Controle de Entrega'!$H$6:$H$1575,MATCH($A82,'Controle de Entrega'!$J$6:$J$1575,0))),"")</f>
        <v/>
      </c>
      <c r="J82" s="26" t="str">
        <f aca="false">IFERROR(IF(INDEX('Controle de Entrega'!$I$6:$I$1575,MATCH($A82,'Controle de Entrega'!$J$6:$J$1575,0))=0,"",INDEX('Controle de Entrega'!$I$6:$I$1575,MATCH($A82,'Controle de Entrega'!$J$6:$J$1575,0))),"")</f>
        <v/>
      </c>
    </row>
    <row r="83" customFormat="false" ht="15" hidden="false" customHeight="false" outlineLevel="0" collapsed="false">
      <c r="A83" s="25" t="n">
        <v>71</v>
      </c>
      <c r="B83" s="25" t="str">
        <f aca="false">IFERROR(INDEX('Controle de Entrega'!$A$6:$A$1575,MATCH($A83,'Controle de Entrega'!$J$6:$J$1575,0)),"")</f>
        <v/>
      </c>
      <c r="C83" s="25" t="str">
        <f aca="false">IFERROR(INDEX('Controle de Entrega'!$B$6:$B$1575,MATCH($A83,'Controle de Entrega'!$J$6:$J$1575,0)),"")</f>
        <v/>
      </c>
      <c r="D83" s="26" t="str">
        <f aca="false">IFERROR(INDEX('Controle de Entrega'!$C$6:$C$1575,MATCH($A83,'Controle de Entrega'!$J$6:$J$1575,0)),"")</f>
        <v/>
      </c>
      <c r="E83" s="25" t="str">
        <f aca="false">IFERROR(INDEX('Controle de Entrega'!$D$6:$D$1575,MATCH($A83,'Controle de Entrega'!$J$6:$J$1575,0)),"")</f>
        <v/>
      </c>
      <c r="F83" s="25" t="str">
        <f aca="false">IFERROR(INDEX('Controle de Entrega'!$E$6:$E$1575,MATCH($A83,'Controle de Entrega'!$J$6:$J$1575,0)),"")</f>
        <v/>
      </c>
      <c r="G83" s="25" t="str">
        <f aca="false">IFERROR(INDEX('Controle de Entrega'!$F$6:$F$1575,MATCH($A83,'Controle de Entrega'!$J$6:$J$1575,0)),"")</f>
        <v/>
      </c>
      <c r="H83" s="27" t="str">
        <f aca="false">IFERROR(INDEX('Controle de Entrega'!$G$6:$G$1575,MATCH($A83,'Controle de Entrega'!$J$6:$J$1575,0)),"")</f>
        <v/>
      </c>
      <c r="I83" s="25" t="str">
        <f aca="false">IFERROR(IF(INDEX('Controle de Entrega'!$H$6:$H$1575,MATCH($A83,'Controle de Entrega'!$J$6:$J$1575,0))=0,"",INDEX('Controle de Entrega'!$H$6:$H$1575,MATCH($A83,'Controle de Entrega'!$J$6:$J$1575,0))),"")</f>
        <v/>
      </c>
      <c r="J83" s="26" t="str">
        <f aca="false">IFERROR(IF(INDEX('Controle de Entrega'!$I$6:$I$1575,MATCH($A83,'Controle de Entrega'!$J$6:$J$1575,0))=0,"",INDEX('Controle de Entrega'!$I$6:$I$1575,MATCH($A83,'Controle de Entrega'!$J$6:$J$1575,0))),"")</f>
        <v/>
      </c>
    </row>
    <row r="84" customFormat="false" ht="15" hidden="false" customHeight="false" outlineLevel="0" collapsed="false">
      <c r="A84" s="25" t="n">
        <v>72</v>
      </c>
      <c r="B84" s="25" t="str">
        <f aca="false">IFERROR(INDEX('Controle de Entrega'!$A$6:$A$1575,MATCH($A84,'Controle de Entrega'!$J$6:$J$1575,0)),"")</f>
        <v/>
      </c>
      <c r="C84" s="25" t="str">
        <f aca="false">IFERROR(INDEX('Controle de Entrega'!$B$6:$B$1575,MATCH($A84,'Controle de Entrega'!$J$6:$J$1575,0)),"")</f>
        <v/>
      </c>
      <c r="D84" s="26" t="str">
        <f aca="false">IFERROR(INDEX('Controle de Entrega'!$C$6:$C$1575,MATCH($A84,'Controle de Entrega'!$J$6:$J$1575,0)),"")</f>
        <v/>
      </c>
      <c r="E84" s="25" t="str">
        <f aca="false">IFERROR(INDEX('Controle de Entrega'!$D$6:$D$1575,MATCH($A84,'Controle de Entrega'!$J$6:$J$1575,0)),"")</f>
        <v/>
      </c>
      <c r="F84" s="25" t="str">
        <f aca="false">IFERROR(INDEX('Controle de Entrega'!$E$6:$E$1575,MATCH($A84,'Controle de Entrega'!$J$6:$J$1575,0)),"")</f>
        <v/>
      </c>
      <c r="G84" s="25" t="str">
        <f aca="false">IFERROR(INDEX('Controle de Entrega'!$F$6:$F$1575,MATCH($A84,'Controle de Entrega'!$J$6:$J$1575,0)),"")</f>
        <v/>
      </c>
      <c r="H84" s="27" t="str">
        <f aca="false">IFERROR(INDEX('Controle de Entrega'!$G$6:$G$1575,MATCH($A84,'Controle de Entrega'!$J$6:$J$1575,0)),"")</f>
        <v/>
      </c>
      <c r="I84" s="25" t="str">
        <f aca="false">IFERROR(IF(INDEX('Controle de Entrega'!$H$6:$H$1575,MATCH($A84,'Controle de Entrega'!$J$6:$J$1575,0))=0,"",INDEX('Controle de Entrega'!$H$6:$H$1575,MATCH($A84,'Controle de Entrega'!$J$6:$J$1575,0))),"")</f>
        <v/>
      </c>
      <c r="J84" s="26" t="str">
        <f aca="false">IFERROR(IF(INDEX('Controle de Entrega'!$I$6:$I$1575,MATCH($A84,'Controle de Entrega'!$J$6:$J$1575,0))=0,"",INDEX('Controle de Entrega'!$I$6:$I$1575,MATCH($A84,'Controle de Entrega'!$J$6:$J$1575,0))),"")</f>
        <v/>
      </c>
    </row>
    <row r="85" customFormat="false" ht="15" hidden="false" customHeight="false" outlineLevel="0" collapsed="false">
      <c r="A85" s="25" t="n">
        <v>73</v>
      </c>
      <c r="B85" s="25" t="str">
        <f aca="false">IFERROR(INDEX('Controle de Entrega'!$A$6:$A$1575,MATCH($A85,'Controle de Entrega'!$J$6:$J$1575,0)),"")</f>
        <v/>
      </c>
      <c r="C85" s="25" t="str">
        <f aca="false">IFERROR(INDEX('Controle de Entrega'!$B$6:$B$1575,MATCH($A85,'Controle de Entrega'!$J$6:$J$1575,0)),"")</f>
        <v/>
      </c>
      <c r="D85" s="26" t="str">
        <f aca="false">IFERROR(INDEX('Controle de Entrega'!$C$6:$C$1575,MATCH($A85,'Controle de Entrega'!$J$6:$J$1575,0)),"")</f>
        <v/>
      </c>
      <c r="E85" s="25" t="str">
        <f aca="false">IFERROR(INDEX('Controle de Entrega'!$D$6:$D$1575,MATCH($A85,'Controle de Entrega'!$J$6:$J$1575,0)),"")</f>
        <v/>
      </c>
      <c r="F85" s="25" t="str">
        <f aca="false">IFERROR(INDEX('Controle de Entrega'!$E$6:$E$1575,MATCH($A85,'Controle de Entrega'!$J$6:$J$1575,0)),"")</f>
        <v/>
      </c>
      <c r="G85" s="25" t="str">
        <f aca="false">IFERROR(INDEX('Controle de Entrega'!$F$6:$F$1575,MATCH($A85,'Controle de Entrega'!$J$6:$J$1575,0)),"")</f>
        <v/>
      </c>
      <c r="H85" s="27" t="str">
        <f aca="false">IFERROR(INDEX('Controle de Entrega'!$G$6:$G$1575,MATCH($A85,'Controle de Entrega'!$J$6:$J$1575,0)),"")</f>
        <v/>
      </c>
      <c r="I85" s="25" t="str">
        <f aca="false">IFERROR(IF(INDEX('Controle de Entrega'!$H$6:$H$1575,MATCH($A85,'Controle de Entrega'!$J$6:$J$1575,0))=0,"",INDEX('Controle de Entrega'!$H$6:$H$1575,MATCH($A85,'Controle de Entrega'!$J$6:$J$1575,0))),"")</f>
        <v/>
      </c>
      <c r="J85" s="26" t="str">
        <f aca="false">IFERROR(IF(INDEX('Controle de Entrega'!$I$6:$I$1575,MATCH($A85,'Controle de Entrega'!$J$6:$J$1575,0))=0,"",INDEX('Controle de Entrega'!$I$6:$I$1575,MATCH($A85,'Controle de Entrega'!$J$6:$J$1575,0))),"")</f>
        <v/>
      </c>
    </row>
    <row r="86" customFormat="false" ht="15" hidden="false" customHeight="false" outlineLevel="0" collapsed="false">
      <c r="A86" s="25" t="n">
        <v>74</v>
      </c>
      <c r="B86" s="25" t="str">
        <f aca="false">IFERROR(INDEX('Controle de Entrega'!$A$6:$A$1575,MATCH($A86,'Controle de Entrega'!$J$6:$J$1575,0)),"")</f>
        <v/>
      </c>
      <c r="C86" s="25" t="str">
        <f aca="false">IFERROR(INDEX('Controle de Entrega'!$B$6:$B$1575,MATCH($A86,'Controle de Entrega'!$J$6:$J$1575,0)),"")</f>
        <v/>
      </c>
      <c r="D86" s="26" t="str">
        <f aca="false">IFERROR(INDEX('Controle de Entrega'!$C$6:$C$1575,MATCH($A86,'Controle de Entrega'!$J$6:$J$1575,0)),"")</f>
        <v/>
      </c>
      <c r="E86" s="25" t="str">
        <f aca="false">IFERROR(INDEX('Controle de Entrega'!$D$6:$D$1575,MATCH($A86,'Controle de Entrega'!$J$6:$J$1575,0)),"")</f>
        <v/>
      </c>
      <c r="F86" s="25" t="str">
        <f aca="false">IFERROR(INDEX('Controle de Entrega'!$E$6:$E$1575,MATCH($A86,'Controle de Entrega'!$J$6:$J$1575,0)),"")</f>
        <v/>
      </c>
      <c r="G86" s="25" t="str">
        <f aca="false">IFERROR(INDEX('Controle de Entrega'!$F$6:$F$1575,MATCH($A86,'Controle de Entrega'!$J$6:$J$1575,0)),"")</f>
        <v/>
      </c>
      <c r="H86" s="27" t="str">
        <f aca="false">IFERROR(INDEX('Controle de Entrega'!$G$6:$G$1575,MATCH($A86,'Controle de Entrega'!$J$6:$J$1575,0)),"")</f>
        <v/>
      </c>
      <c r="I86" s="25" t="str">
        <f aca="false">IFERROR(IF(INDEX('Controle de Entrega'!$H$6:$H$1575,MATCH($A86,'Controle de Entrega'!$J$6:$J$1575,0))=0,"",INDEX('Controle de Entrega'!$H$6:$H$1575,MATCH($A86,'Controle de Entrega'!$J$6:$J$1575,0))),"")</f>
        <v/>
      </c>
      <c r="J86" s="26" t="str">
        <f aca="false">IFERROR(IF(INDEX('Controle de Entrega'!$I$6:$I$1575,MATCH($A86,'Controle de Entrega'!$J$6:$J$1575,0))=0,"",INDEX('Controle de Entrega'!$I$6:$I$1575,MATCH($A86,'Controle de Entrega'!$J$6:$J$1575,0))),"")</f>
        <v/>
      </c>
    </row>
    <row r="87" customFormat="false" ht="15" hidden="false" customHeight="false" outlineLevel="0" collapsed="false">
      <c r="A87" s="25" t="n">
        <v>75</v>
      </c>
      <c r="B87" s="25" t="str">
        <f aca="false">IFERROR(INDEX('Controle de Entrega'!$A$6:$A$1575,MATCH($A87,'Controle de Entrega'!$J$6:$J$1575,0)),"")</f>
        <v/>
      </c>
      <c r="C87" s="25" t="str">
        <f aca="false">IFERROR(INDEX('Controle de Entrega'!$B$6:$B$1575,MATCH($A87,'Controle de Entrega'!$J$6:$J$1575,0)),"")</f>
        <v/>
      </c>
      <c r="D87" s="26" t="str">
        <f aca="false">IFERROR(INDEX('Controle de Entrega'!$C$6:$C$1575,MATCH($A87,'Controle de Entrega'!$J$6:$J$1575,0)),"")</f>
        <v/>
      </c>
      <c r="E87" s="25" t="str">
        <f aca="false">IFERROR(INDEX('Controle de Entrega'!$D$6:$D$1575,MATCH($A87,'Controle de Entrega'!$J$6:$J$1575,0)),"")</f>
        <v/>
      </c>
      <c r="F87" s="25" t="str">
        <f aca="false">IFERROR(INDEX('Controle de Entrega'!$E$6:$E$1575,MATCH($A87,'Controle de Entrega'!$J$6:$J$1575,0)),"")</f>
        <v/>
      </c>
      <c r="G87" s="25" t="str">
        <f aca="false">IFERROR(INDEX('Controle de Entrega'!$F$6:$F$1575,MATCH($A87,'Controle de Entrega'!$J$6:$J$1575,0)),"")</f>
        <v/>
      </c>
      <c r="H87" s="27" t="str">
        <f aca="false">IFERROR(INDEX('Controle de Entrega'!$G$6:$G$1575,MATCH($A87,'Controle de Entrega'!$J$6:$J$1575,0)),"")</f>
        <v/>
      </c>
      <c r="I87" s="25" t="str">
        <f aca="false">IFERROR(IF(INDEX('Controle de Entrega'!$H$6:$H$1575,MATCH($A87,'Controle de Entrega'!$J$6:$J$1575,0))=0,"",INDEX('Controle de Entrega'!$H$6:$H$1575,MATCH($A87,'Controle de Entrega'!$J$6:$J$1575,0))),"")</f>
        <v/>
      </c>
      <c r="J87" s="26" t="str">
        <f aca="false">IFERROR(IF(INDEX('Controle de Entrega'!$I$6:$I$1575,MATCH($A87,'Controle de Entrega'!$J$6:$J$1575,0))=0,"",INDEX('Controle de Entrega'!$I$6:$I$1575,MATCH($A87,'Controle de Entrega'!$J$6:$J$1575,0))),"")</f>
        <v/>
      </c>
    </row>
    <row r="88" customFormat="false" ht="15" hidden="false" customHeight="false" outlineLevel="0" collapsed="false">
      <c r="A88" s="25" t="n">
        <v>76</v>
      </c>
      <c r="B88" s="25" t="str">
        <f aca="false">IFERROR(INDEX('Controle de Entrega'!$A$6:$A$1575,MATCH($A88,'Controle de Entrega'!$J$6:$J$1575,0)),"")</f>
        <v/>
      </c>
      <c r="C88" s="25" t="str">
        <f aca="false">IFERROR(INDEX('Controle de Entrega'!$B$6:$B$1575,MATCH($A88,'Controle de Entrega'!$J$6:$J$1575,0)),"")</f>
        <v/>
      </c>
      <c r="D88" s="26" t="str">
        <f aca="false">IFERROR(INDEX('Controle de Entrega'!$C$6:$C$1575,MATCH($A88,'Controle de Entrega'!$J$6:$J$1575,0)),"")</f>
        <v/>
      </c>
      <c r="E88" s="25" t="str">
        <f aca="false">IFERROR(INDEX('Controle de Entrega'!$D$6:$D$1575,MATCH($A88,'Controle de Entrega'!$J$6:$J$1575,0)),"")</f>
        <v/>
      </c>
      <c r="F88" s="25" t="str">
        <f aca="false">IFERROR(INDEX('Controle de Entrega'!$E$6:$E$1575,MATCH($A88,'Controle de Entrega'!$J$6:$J$1575,0)),"")</f>
        <v/>
      </c>
      <c r="G88" s="25" t="str">
        <f aca="false">IFERROR(INDEX('Controle de Entrega'!$F$6:$F$1575,MATCH($A88,'Controle de Entrega'!$J$6:$J$1575,0)),"")</f>
        <v/>
      </c>
      <c r="H88" s="27" t="str">
        <f aca="false">IFERROR(INDEX('Controle de Entrega'!$G$6:$G$1575,MATCH($A88,'Controle de Entrega'!$J$6:$J$1575,0)),"")</f>
        <v/>
      </c>
      <c r="I88" s="25" t="str">
        <f aca="false">IFERROR(IF(INDEX('Controle de Entrega'!$H$6:$H$1575,MATCH($A88,'Controle de Entrega'!$J$6:$J$1575,0))=0,"",INDEX('Controle de Entrega'!$H$6:$H$1575,MATCH($A88,'Controle de Entrega'!$J$6:$J$1575,0))),"")</f>
        <v/>
      </c>
      <c r="J88" s="26" t="str">
        <f aca="false">IFERROR(IF(INDEX('Controle de Entrega'!$I$6:$I$1575,MATCH($A88,'Controle de Entrega'!$J$6:$J$1575,0))=0,"",INDEX('Controle de Entrega'!$I$6:$I$1575,MATCH($A88,'Controle de Entrega'!$J$6:$J$1575,0))),"")</f>
        <v/>
      </c>
    </row>
    <row r="89" customFormat="false" ht="15" hidden="false" customHeight="false" outlineLevel="0" collapsed="false">
      <c r="A89" s="25" t="n">
        <v>77</v>
      </c>
      <c r="B89" s="25" t="str">
        <f aca="false">IFERROR(INDEX('Controle de Entrega'!$A$6:$A$1575,MATCH($A89,'Controle de Entrega'!$J$6:$J$1575,0)),"")</f>
        <v/>
      </c>
      <c r="C89" s="25" t="str">
        <f aca="false">IFERROR(INDEX('Controle de Entrega'!$B$6:$B$1575,MATCH($A89,'Controle de Entrega'!$J$6:$J$1575,0)),"")</f>
        <v/>
      </c>
      <c r="D89" s="26" t="str">
        <f aca="false">IFERROR(INDEX('Controle de Entrega'!$C$6:$C$1575,MATCH($A89,'Controle de Entrega'!$J$6:$J$1575,0)),"")</f>
        <v/>
      </c>
      <c r="E89" s="25" t="str">
        <f aca="false">IFERROR(INDEX('Controle de Entrega'!$D$6:$D$1575,MATCH($A89,'Controle de Entrega'!$J$6:$J$1575,0)),"")</f>
        <v/>
      </c>
      <c r="F89" s="25" t="str">
        <f aca="false">IFERROR(INDEX('Controle de Entrega'!$E$6:$E$1575,MATCH($A89,'Controle de Entrega'!$J$6:$J$1575,0)),"")</f>
        <v/>
      </c>
      <c r="G89" s="25" t="str">
        <f aca="false">IFERROR(INDEX('Controle de Entrega'!$F$6:$F$1575,MATCH($A89,'Controle de Entrega'!$J$6:$J$1575,0)),"")</f>
        <v/>
      </c>
      <c r="H89" s="27" t="str">
        <f aca="false">IFERROR(INDEX('Controle de Entrega'!$G$6:$G$1575,MATCH($A89,'Controle de Entrega'!$J$6:$J$1575,0)),"")</f>
        <v/>
      </c>
      <c r="I89" s="25" t="str">
        <f aca="false">IFERROR(IF(INDEX('Controle de Entrega'!$H$6:$H$1575,MATCH($A89,'Controle de Entrega'!$J$6:$J$1575,0))=0,"",INDEX('Controle de Entrega'!$H$6:$H$1575,MATCH($A89,'Controle de Entrega'!$J$6:$J$1575,0))),"")</f>
        <v/>
      </c>
      <c r="J89" s="26" t="str">
        <f aca="false">IFERROR(IF(INDEX('Controle de Entrega'!$I$6:$I$1575,MATCH($A89,'Controle de Entrega'!$J$6:$J$1575,0))=0,"",INDEX('Controle de Entrega'!$I$6:$I$1575,MATCH($A89,'Controle de Entrega'!$J$6:$J$1575,0))),"")</f>
        <v/>
      </c>
    </row>
    <row r="90" customFormat="false" ht="15" hidden="false" customHeight="false" outlineLevel="0" collapsed="false">
      <c r="A90" s="25" t="n">
        <v>78</v>
      </c>
      <c r="B90" s="25" t="str">
        <f aca="false">IFERROR(INDEX('Controle de Entrega'!$A$6:$A$1575,MATCH($A90,'Controle de Entrega'!$J$6:$J$1575,0)),"")</f>
        <v/>
      </c>
      <c r="C90" s="25" t="str">
        <f aca="false">IFERROR(INDEX('Controle de Entrega'!$B$6:$B$1575,MATCH($A90,'Controle de Entrega'!$J$6:$J$1575,0)),"")</f>
        <v/>
      </c>
      <c r="D90" s="26" t="str">
        <f aca="false">IFERROR(INDEX('Controle de Entrega'!$C$6:$C$1575,MATCH($A90,'Controle de Entrega'!$J$6:$J$1575,0)),"")</f>
        <v/>
      </c>
      <c r="E90" s="25" t="str">
        <f aca="false">IFERROR(INDEX('Controle de Entrega'!$D$6:$D$1575,MATCH($A90,'Controle de Entrega'!$J$6:$J$1575,0)),"")</f>
        <v/>
      </c>
      <c r="F90" s="25" t="str">
        <f aca="false">IFERROR(INDEX('Controle de Entrega'!$E$6:$E$1575,MATCH($A90,'Controle de Entrega'!$J$6:$J$1575,0)),"")</f>
        <v/>
      </c>
      <c r="G90" s="25" t="str">
        <f aca="false">IFERROR(INDEX('Controle de Entrega'!$F$6:$F$1575,MATCH($A90,'Controle de Entrega'!$J$6:$J$1575,0)),"")</f>
        <v/>
      </c>
      <c r="H90" s="27" t="str">
        <f aca="false">IFERROR(INDEX('Controle de Entrega'!$G$6:$G$1575,MATCH($A90,'Controle de Entrega'!$J$6:$J$1575,0)),"")</f>
        <v/>
      </c>
      <c r="I90" s="25" t="str">
        <f aca="false">IFERROR(IF(INDEX('Controle de Entrega'!$H$6:$H$1575,MATCH($A90,'Controle de Entrega'!$J$6:$J$1575,0))=0,"",INDEX('Controle de Entrega'!$H$6:$H$1575,MATCH($A90,'Controle de Entrega'!$J$6:$J$1575,0))),"")</f>
        <v/>
      </c>
      <c r="J90" s="26" t="str">
        <f aca="false">IFERROR(IF(INDEX('Controle de Entrega'!$I$6:$I$1575,MATCH($A90,'Controle de Entrega'!$J$6:$J$1575,0))=0,"",INDEX('Controle de Entrega'!$I$6:$I$1575,MATCH($A90,'Controle de Entrega'!$J$6:$J$1575,0))),"")</f>
        <v/>
      </c>
    </row>
    <row r="91" customFormat="false" ht="15" hidden="false" customHeight="false" outlineLevel="0" collapsed="false">
      <c r="A91" s="25" t="n">
        <v>79</v>
      </c>
      <c r="B91" s="25" t="str">
        <f aca="false">IFERROR(INDEX('Controle de Entrega'!$A$6:$A$1575,MATCH($A91,'Controle de Entrega'!$J$6:$J$1575,0)),"")</f>
        <v/>
      </c>
      <c r="C91" s="25" t="str">
        <f aca="false">IFERROR(INDEX('Controle de Entrega'!$B$6:$B$1575,MATCH($A91,'Controle de Entrega'!$J$6:$J$1575,0)),"")</f>
        <v/>
      </c>
      <c r="D91" s="26" t="str">
        <f aca="false">IFERROR(INDEX('Controle de Entrega'!$C$6:$C$1575,MATCH($A91,'Controle de Entrega'!$J$6:$J$1575,0)),"")</f>
        <v/>
      </c>
      <c r="E91" s="25" t="str">
        <f aca="false">IFERROR(INDEX('Controle de Entrega'!$D$6:$D$1575,MATCH($A91,'Controle de Entrega'!$J$6:$J$1575,0)),"")</f>
        <v/>
      </c>
      <c r="F91" s="25" t="str">
        <f aca="false">IFERROR(INDEX('Controle de Entrega'!$E$6:$E$1575,MATCH($A91,'Controle de Entrega'!$J$6:$J$1575,0)),"")</f>
        <v/>
      </c>
      <c r="G91" s="25" t="str">
        <f aca="false">IFERROR(INDEX('Controle de Entrega'!$F$6:$F$1575,MATCH($A91,'Controle de Entrega'!$J$6:$J$1575,0)),"")</f>
        <v/>
      </c>
      <c r="H91" s="27" t="str">
        <f aca="false">IFERROR(INDEX('Controle de Entrega'!$G$6:$G$1575,MATCH($A91,'Controle de Entrega'!$J$6:$J$1575,0)),"")</f>
        <v/>
      </c>
      <c r="I91" s="25" t="str">
        <f aca="false">IFERROR(IF(INDEX('Controle de Entrega'!$H$6:$H$1575,MATCH($A91,'Controle de Entrega'!$J$6:$J$1575,0))=0,"",INDEX('Controle de Entrega'!$H$6:$H$1575,MATCH($A91,'Controle de Entrega'!$J$6:$J$1575,0))),"")</f>
        <v/>
      </c>
      <c r="J91" s="26" t="str">
        <f aca="false">IFERROR(IF(INDEX('Controle de Entrega'!$I$6:$I$1575,MATCH($A91,'Controle de Entrega'!$J$6:$J$1575,0))=0,"",INDEX('Controle de Entrega'!$I$6:$I$1575,MATCH($A91,'Controle de Entrega'!$J$6:$J$1575,0))),"")</f>
        <v/>
      </c>
    </row>
    <row r="92" customFormat="false" ht="15" hidden="false" customHeight="false" outlineLevel="0" collapsed="false">
      <c r="A92" s="25" t="n">
        <v>80</v>
      </c>
      <c r="B92" s="25" t="str">
        <f aca="false">IFERROR(INDEX('Controle de Entrega'!$A$6:$A$1575,MATCH($A92,'Controle de Entrega'!$J$6:$J$1575,0)),"")</f>
        <v/>
      </c>
      <c r="C92" s="25" t="str">
        <f aca="false">IFERROR(INDEX('Controle de Entrega'!$B$6:$B$1575,MATCH($A92,'Controle de Entrega'!$J$6:$J$1575,0)),"")</f>
        <v/>
      </c>
      <c r="D92" s="26" t="str">
        <f aca="false">IFERROR(INDEX('Controle de Entrega'!$C$6:$C$1575,MATCH($A92,'Controle de Entrega'!$J$6:$J$1575,0)),"")</f>
        <v/>
      </c>
      <c r="E92" s="25" t="str">
        <f aca="false">IFERROR(INDEX('Controle de Entrega'!$D$6:$D$1575,MATCH($A92,'Controle de Entrega'!$J$6:$J$1575,0)),"")</f>
        <v/>
      </c>
      <c r="F92" s="25" t="str">
        <f aca="false">IFERROR(INDEX('Controle de Entrega'!$E$6:$E$1575,MATCH($A92,'Controle de Entrega'!$J$6:$J$1575,0)),"")</f>
        <v/>
      </c>
      <c r="G92" s="25" t="str">
        <f aca="false">IFERROR(INDEX('Controle de Entrega'!$F$6:$F$1575,MATCH($A92,'Controle de Entrega'!$J$6:$J$1575,0)),"")</f>
        <v/>
      </c>
      <c r="H92" s="27" t="str">
        <f aca="false">IFERROR(INDEX('Controle de Entrega'!$G$6:$G$1575,MATCH($A92,'Controle de Entrega'!$J$6:$J$1575,0)),"")</f>
        <v/>
      </c>
      <c r="I92" s="25" t="str">
        <f aca="false">IFERROR(IF(INDEX('Controle de Entrega'!$H$6:$H$1575,MATCH($A92,'Controle de Entrega'!$J$6:$J$1575,0))=0,"",INDEX('Controle de Entrega'!$H$6:$H$1575,MATCH($A92,'Controle de Entrega'!$J$6:$J$1575,0))),"")</f>
        <v/>
      </c>
      <c r="J92" s="26" t="str">
        <f aca="false">IFERROR(IF(INDEX('Controle de Entrega'!$I$6:$I$1575,MATCH($A92,'Controle de Entrega'!$J$6:$J$1575,0))=0,"",INDEX('Controle de Entrega'!$I$6:$I$1575,MATCH($A92,'Controle de Entrega'!$J$6:$J$1575,0))),"")</f>
        <v/>
      </c>
    </row>
    <row r="95" customFormat="false" ht="15" hidden="false" customHeight="false" outlineLevel="0" collapsed="false">
      <c r="A95" s="19" t="s">
        <v>61</v>
      </c>
      <c r="R95" s="28" t="s">
        <v>62</v>
      </c>
    </row>
    <row r="96" customFormat="false" ht="60" hidden="false" customHeight="true" outlineLevel="0" collapsed="false">
      <c r="A96" s="29" t="s">
        <v>54</v>
      </c>
      <c r="B96" s="29" t="s">
        <v>55</v>
      </c>
      <c r="C96" s="29" t="s">
        <v>46</v>
      </c>
      <c r="D96" s="29" t="s">
        <v>49</v>
      </c>
      <c r="E96" s="29" t="s">
        <v>56</v>
      </c>
      <c r="F96" s="29" t="s">
        <v>51</v>
      </c>
      <c r="G96" s="29" t="s">
        <v>57</v>
      </c>
      <c r="H96" s="29" t="s">
        <v>58</v>
      </c>
      <c r="I96" s="29" t="s">
        <v>59</v>
      </c>
      <c r="J96" s="29" t="s">
        <v>60</v>
      </c>
      <c r="R96" s="30" t="s">
        <v>54</v>
      </c>
      <c r="S96" s="30" t="s">
        <v>55</v>
      </c>
      <c r="T96" s="30" t="s">
        <v>46</v>
      </c>
      <c r="U96" s="30" t="s">
        <v>49</v>
      </c>
      <c r="V96" s="30" t="s">
        <v>56</v>
      </c>
      <c r="W96" s="30" t="s">
        <v>51</v>
      </c>
      <c r="X96" s="30" t="s">
        <v>57</v>
      </c>
      <c r="Y96" s="30" t="s">
        <v>58</v>
      </c>
      <c r="Z96" s="30" t="s">
        <v>59</v>
      </c>
      <c r="AA96" s="30" t="s">
        <v>60</v>
      </c>
      <c r="AB96" s="30" t="s">
        <v>6</v>
      </c>
    </row>
    <row r="97" customFormat="false" ht="35.05" hidden="false" customHeight="false" outlineLevel="0" collapsed="false">
      <c r="A97" s="25" t="n">
        <v>1</v>
      </c>
      <c r="B97" s="25" t="str">
        <f aca="false">IFERROR(INDEX('Controle de Entrega'!$A$6:$A$1575,MATCH($A97,'Controle de Entrega'!$K$6:$K$1575,0)),"")</f>
        <v/>
      </c>
      <c r="C97" s="25" t="str">
        <f aca="false">IFERROR(INDEX('Controle de Entrega'!$B$6:$B$1575,MATCH($A97,'Controle de Entrega'!$K$6:$K$1575,0)),"")</f>
        <v/>
      </c>
      <c r="D97" s="26" t="str">
        <f aca="false">IFERROR(INDEX('Controle de Entrega'!$C$6:$C$1575,MATCH($A97,'Controle de Entrega'!$K$6:$K$1575,0)),"")</f>
        <v/>
      </c>
      <c r="E97" s="25" t="str">
        <f aca="false">IFERROR(INDEX('Controle de Entrega'!$D$6:$D$1575,MATCH($A97,'Controle de Entrega'!$K$6:$K$1575,0)),"")</f>
        <v/>
      </c>
      <c r="F97" s="25" t="str">
        <f aca="false">IFERROR(INDEX('Controle de Entrega'!$E$6:$E$1575,MATCH($A97,'Controle de Entrega'!$K$6:$K$1575,0)),"")</f>
        <v/>
      </c>
      <c r="G97" s="25" t="str">
        <f aca="false">IFERROR(INDEX('Controle de Entrega'!$F$6:$F$1575,MATCH($A97,'Controle de Entrega'!$K$6:$K$1575,0)),"")</f>
        <v/>
      </c>
      <c r="H97" s="27" t="str">
        <f aca="false">IFERROR(INDEX('Controle de Entrega'!$G$6:$G$1575,MATCH($A97,'Controle de Entrega'!$K$6:$K$1575,0)),"")</f>
        <v/>
      </c>
      <c r="I97" s="25" t="str">
        <f aca="false">IFERROR(IF(INDEX('Controle de Entrega'!$H$6:$H$1575,MATCH($A97,'Controle de Entrega'!$K$6:$K$1575,0))=0,"",INDEX('Controle de Entrega'!$H$6:$H$1575,MATCH($A97,'Controle de Entrega'!$K$6:$K$1575,0))),"")</f>
        <v/>
      </c>
      <c r="J97" s="26" t="str">
        <f aca="false">IFERROR(IF(INDEX('Controle de Entrega'!$I$6:$I$1575,MATCH($A97,'Controle de Entrega'!$K$6:$K$1575,0))=0,"",INDEX('Controle de Entrega'!$I$6:$I$1575,MATCH($A97,'Controle de Entrega'!$K$6:$K$1575,0))),"")</f>
        <v/>
      </c>
      <c r="R97" s="25" t="n">
        <v>1</v>
      </c>
      <c r="S97" s="25" t="str">
        <f aca="false">IFERROR(INDEX('Controle de Entrega'!$A$6:$A$1575,MATCH(R97,'Controle de Entrega'!$L$6:$L$1575,0)),"")</f>
        <v>DEV06-1002</v>
      </c>
      <c r="T97" s="25" t="str">
        <f aca="false">IFERROR(INDEX('Controle de Entrega'!$B$6:$B$1575,MATCH(R97,'Controle de Entrega'!$L$6:$L$1575,0)),"")</f>
        <v>I00468</v>
      </c>
      <c r="U97" s="26" t="str">
        <f aca="false">IFERROR(INDEX('Controle de Entrega'!$C$6:$C$1575,MATCH(R97,'Controle de Entrega'!$L$6:$L$1575,0)),"")</f>
        <v>ROTEADOR TP-LINK WIRELESS AC1200 ARCHER C5W GIGABIT DUAL BAND</v>
      </c>
      <c r="V97" s="25" t="str">
        <f aca="false">IFERROR(INDEX('Controle de Entrega'!$D$6:$D$1575,MATCH(R97,'Controle de Entrega'!$L$6:$L$1575,0)),"")</f>
        <v>FHTT46913810</v>
      </c>
      <c r="W97" s="25" t="n">
        <f aca="false">IFERROR(INDEX('Controle de Entrega'!$E$6:$E$1575,MATCH(R97,'Controle de Entrega'!$L$6:$L$1575,0)),"")</f>
        <v>1</v>
      </c>
      <c r="X97" s="25" t="str">
        <f aca="false">IFERROR(INDEX('Controle de Entrega'!$F$6:$F$1575,MATCH(R97,'Controle de Entrega'!$L$6:$L$1575,0)),"")</f>
        <v>Rafael Souza Martins</v>
      </c>
      <c r="Y97" s="27" t="n">
        <f aca="false">IFERROR(INDEX('Controle de Entrega'!$G$6:$G$1575,MATCH(R97,'Controle de Entrega'!$L$6:$L$1575,0)),"")</f>
        <v>46120</v>
      </c>
      <c r="Z97" s="25" t="n">
        <f aca="false">IFERROR(IF(INDEX('Controle de Entrega'!$H$6:$H$1575,MATCH(R97,'Controle de Entrega'!$L$6:$L$1575,0))=0,"",INDEX('Controle de Entrega'!$H$6:$H$1575,MATCH(R97,'Controle de Entrega'!$L$6:$L$1575,0))),"")</f>
        <v>2400000</v>
      </c>
      <c r="AA97" s="26" t="str">
        <f aca="false">IFERROR(IF(INDEX('Controle de Entrega'!$I$6:$I$1575,MATCH(R97,'Controle de Entrega'!$L$6:$L$1575,0))=0,"",INDEX('Controle de Entrega'!$I$6:$I$1575,MATCH(R97,'Controle de Entrega'!$L$6:$L$1575,0))),"")</f>
        <v>CLIENTE</v>
      </c>
      <c r="AB97" s="31" t="str">
        <f aca="false">IFERROR(IF(MATCH(R97,'Controle de Entrega'!$L$6:$L$1575,0)+5=$AB$3,"● ATUAL",""),"")</f>
        <v>● ATUAL</v>
      </c>
    </row>
    <row r="98" customFormat="false" ht="15" hidden="false" customHeight="false" outlineLevel="0" collapsed="false">
      <c r="A98" s="25" t="n">
        <v>2</v>
      </c>
      <c r="B98" s="25" t="str">
        <f aca="false">IFERROR(INDEX('Controle de Entrega'!$A$6:$A$1575,MATCH($A98,'Controle de Entrega'!$K$6:$K$1575,0)),"")</f>
        <v/>
      </c>
      <c r="C98" s="25" t="str">
        <f aca="false">IFERROR(INDEX('Controle de Entrega'!$B$6:$B$1575,MATCH($A98,'Controle de Entrega'!$K$6:$K$1575,0)),"")</f>
        <v/>
      </c>
      <c r="D98" s="26" t="str">
        <f aca="false">IFERROR(INDEX('Controle de Entrega'!$C$6:$C$1575,MATCH($A98,'Controle de Entrega'!$K$6:$K$1575,0)),"")</f>
        <v/>
      </c>
      <c r="E98" s="25" t="str">
        <f aca="false">IFERROR(INDEX('Controle de Entrega'!$D$6:$D$1575,MATCH($A98,'Controle de Entrega'!$K$6:$K$1575,0)),"")</f>
        <v/>
      </c>
      <c r="F98" s="25" t="str">
        <f aca="false">IFERROR(INDEX('Controle de Entrega'!$E$6:$E$1575,MATCH($A98,'Controle de Entrega'!$K$6:$K$1575,0)),"")</f>
        <v/>
      </c>
      <c r="G98" s="25" t="str">
        <f aca="false">IFERROR(INDEX('Controle de Entrega'!$F$6:$F$1575,MATCH($A98,'Controle de Entrega'!$K$6:$K$1575,0)),"")</f>
        <v/>
      </c>
      <c r="H98" s="27" t="str">
        <f aca="false">IFERROR(INDEX('Controle de Entrega'!$G$6:$G$1575,MATCH($A98,'Controle de Entrega'!$K$6:$K$1575,0)),"")</f>
        <v/>
      </c>
      <c r="I98" s="25" t="str">
        <f aca="false">IFERROR(IF(INDEX('Controle de Entrega'!$H$6:$H$1575,MATCH($A98,'Controle de Entrega'!$K$6:$K$1575,0))=0,"",INDEX('Controle de Entrega'!$H$6:$H$1575,MATCH($A98,'Controle de Entrega'!$K$6:$K$1575,0))),"")</f>
        <v/>
      </c>
      <c r="J98" s="26" t="str">
        <f aca="false">IFERROR(IF(INDEX('Controle de Entrega'!$I$6:$I$1575,MATCH($A98,'Controle de Entrega'!$K$6:$K$1575,0))=0,"",INDEX('Controle de Entrega'!$I$6:$I$1575,MATCH($A98,'Controle de Entrega'!$K$6:$K$1575,0))),"")</f>
        <v/>
      </c>
      <c r="R98" s="25" t="n">
        <v>2</v>
      </c>
      <c r="S98" s="25" t="str">
        <f aca="false">IFERROR(INDEX('Controle de Entrega'!$A$6:$A$1575,MATCH(R98,'Controle de Entrega'!$L$6:$L$1575,0)),"")</f>
        <v/>
      </c>
      <c r="T98" s="25" t="str">
        <f aca="false">IFERROR(INDEX('Controle de Entrega'!$B$6:$B$1575,MATCH(R98,'Controle de Entrega'!$L$6:$L$1575,0)),"")</f>
        <v/>
      </c>
      <c r="U98" s="26" t="str">
        <f aca="false">IFERROR(INDEX('Controle de Entrega'!$C$6:$C$1575,MATCH(R98,'Controle de Entrega'!$L$6:$L$1575,0)),"")</f>
        <v/>
      </c>
      <c r="V98" s="25" t="str">
        <f aca="false">IFERROR(INDEX('Controle de Entrega'!$D$6:$D$1575,MATCH(R98,'Controle de Entrega'!$L$6:$L$1575,0)),"")</f>
        <v/>
      </c>
      <c r="W98" s="25" t="str">
        <f aca="false">IFERROR(INDEX('Controle de Entrega'!$E$6:$E$1575,MATCH(R98,'Controle de Entrega'!$L$6:$L$1575,0)),"")</f>
        <v/>
      </c>
      <c r="X98" s="25" t="str">
        <f aca="false">IFERROR(INDEX('Controle de Entrega'!$F$6:$F$1575,MATCH(R98,'Controle de Entrega'!$L$6:$L$1575,0)),"")</f>
        <v/>
      </c>
      <c r="Y98" s="27" t="str">
        <f aca="false">IFERROR(INDEX('Controle de Entrega'!$G$6:$G$1575,MATCH(R98,'Controle de Entrega'!$L$6:$L$1575,0)),"")</f>
        <v/>
      </c>
      <c r="Z98" s="25" t="str">
        <f aca="false">IFERROR(IF(INDEX('Controle de Entrega'!$H$6:$H$1575,MATCH(R98,'Controle de Entrega'!$L$6:$L$1575,0))=0,"",INDEX('Controle de Entrega'!$H$6:$H$1575,MATCH(R98,'Controle de Entrega'!$L$6:$L$1575,0))),"")</f>
        <v/>
      </c>
      <c r="AA98" s="26" t="str">
        <f aca="false">IFERROR(IF(INDEX('Controle de Entrega'!$I$6:$I$1575,MATCH(R98,'Controle de Entrega'!$L$6:$L$1575,0))=0,"",INDEX('Controle de Entrega'!$I$6:$I$1575,MATCH(R98,'Controle de Entrega'!$L$6:$L$1575,0))),"")</f>
        <v/>
      </c>
      <c r="AB98" s="31" t="str">
        <f aca="false">IFERROR(IF(MATCH(R98,'Controle de Entrega'!$L$6:$L$1575,0)+5=$AB$3,"● ATUAL",""),"")</f>
        <v/>
      </c>
    </row>
    <row r="99" customFormat="false" ht="15" hidden="false" customHeight="false" outlineLevel="0" collapsed="false">
      <c r="A99" s="25" t="n">
        <v>3</v>
      </c>
      <c r="B99" s="25" t="str">
        <f aca="false">IFERROR(INDEX('Controle de Entrega'!$A$6:$A$1575,MATCH($A99,'Controle de Entrega'!$K$6:$K$1575,0)),"")</f>
        <v/>
      </c>
      <c r="C99" s="25" t="str">
        <f aca="false">IFERROR(INDEX('Controle de Entrega'!$B$6:$B$1575,MATCH($A99,'Controle de Entrega'!$K$6:$K$1575,0)),"")</f>
        <v/>
      </c>
      <c r="D99" s="26" t="str">
        <f aca="false">IFERROR(INDEX('Controle de Entrega'!$C$6:$C$1575,MATCH($A99,'Controle de Entrega'!$K$6:$K$1575,0)),"")</f>
        <v/>
      </c>
      <c r="E99" s="25" t="str">
        <f aca="false">IFERROR(INDEX('Controle de Entrega'!$D$6:$D$1575,MATCH($A99,'Controle de Entrega'!$K$6:$K$1575,0)),"")</f>
        <v/>
      </c>
      <c r="F99" s="25" t="str">
        <f aca="false">IFERROR(INDEX('Controle de Entrega'!$E$6:$E$1575,MATCH($A99,'Controle de Entrega'!$K$6:$K$1575,0)),"")</f>
        <v/>
      </c>
      <c r="G99" s="25" t="str">
        <f aca="false">IFERROR(INDEX('Controle de Entrega'!$F$6:$F$1575,MATCH($A99,'Controle de Entrega'!$K$6:$K$1575,0)),"")</f>
        <v/>
      </c>
      <c r="H99" s="27" t="str">
        <f aca="false">IFERROR(INDEX('Controle de Entrega'!$G$6:$G$1575,MATCH($A99,'Controle de Entrega'!$K$6:$K$1575,0)),"")</f>
        <v/>
      </c>
      <c r="I99" s="25" t="str">
        <f aca="false">IFERROR(IF(INDEX('Controle de Entrega'!$H$6:$H$1575,MATCH($A99,'Controle de Entrega'!$K$6:$K$1575,0))=0,"",INDEX('Controle de Entrega'!$H$6:$H$1575,MATCH($A99,'Controle de Entrega'!$K$6:$K$1575,0))),"")</f>
        <v/>
      </c>
      <c r="J99" s="26" t="str">
        <f aca="false">IFERROR(IF(INDEX('Controle de Entrega'!$I$6:$I$1575,MATCH($A99,'Controle de Entrega'!$K$6:$K$1575,0))=0,"",INDEX('Controle de Entrega'!$I$6:$I$1575,MATCH($A99,'Controle de Entrega'!$K$6:$K$1575,0))),"")</f>
        <v/>
      </c>
      <c r="R99" s="25" t="n">
        <v>3</v>
      </c>
      <c r="S99" s="25" t="str">
        <f aca="false">IFERROR(INDEX('Controle de Entrega'!$A$6:$A$1575,MATCH(R99,'Controle de Entrega'!$L$6:$L$1575,0)),"")</f>
        <v/>
      </c>
      <c r="T99" s="25" t="str">
        <f aca="false">IFERROR(INDEX('Controle de Entrega'!$B$6:$B$1575,MATCH(R99,'Controle de Entrega'!$L$6:$L$1575,0)),"")</f>
        <v/>
      </c>
      <c r="U99" s="26" t="str">
        <f aca="false">IFERROR(INDEX('Controle de Entrega'!$C$6:$C$1575,MATCH(R99,'Controle de Entrega'!$L$6:$L$1575,0)),"")</f>
        <v/>
      </c>
      <c r="V99" s="25" t="str">
        <f aca="false">IFERROR(INDEX('Controle de Entrega'!$D$6:$D$1575,MATCH(R99,'Controle de Entrega'!$L$6:$L$1575,0)),"")</f>
        <v/>
      </c>
      <c r="W99" s="25" t="str">
        <f aca="false">IFERROR(INDEX('Controle de Entrega'!$E$6:$E$1575,MATCH(R99,'Controle de Entrega'!$L$6:$L$1575,0)),"")</f>
        <v/>
      </c>
      <c r="X99" s="25" t="str">
        <f aca="false">IFERROR(INDEX('Controle de Entrega'!$F$6:$F$1575,MATCH(R99,'Controle de Entrega'!$L$6:$L$1575,0)),"")</f>
        <v/>
      </c>
      <c r="Y99" s="27" t="str">
        <f aca="false">IFERROR(INDEX('Controle de Entrega'!$G$6:$G$1575,MATCH(R99,'Controle de Entrega'!$L$6:$L$1575,0)),"")</f>
        <v/>
      </c>
      <c r="Z99" s="25" t="str">
        <f aca="false">IFERROR(IF(INDEX('Controle de Entrega'!$H$6:$H$1575,MATCH(R99,'Controle de Entrega'!$L$6:$L$1575,0))=0,"",INDEX('Controle de Entrega'!$H$6:$H$1575,MATCH(R99,'Controle de Entrega'!$L$6:$L$1575,0))),"")</f>
        <v/>
      </c>
      <c r="AA99" s="26" t="str">
        <f aca="false">IFERROR(IF(INDEX('Controle de Entrega'!$I$6:$I$1575,MATCH(R99,'Controle de Entrega'!$L$6:$L$1575,0))=0,"",INDEX('Controle de Entrega'!$I$6:$I$1575,MATCH(R99,'Controle de Entrega'!$L$6:$L$1575,0))),"")</f>
        <v/>
      </c>
      <c r="AB99" s="31" t="str">
        <f aca="false">IFERROR(IF(MATCH(R99,'Controle de Entrega'!$L$6:$L$1575,0)+5=$AB$3,"● ATUAL",""),"")</f>
        <v/>
      </c>
    </row>
    <row r="100" customFormat="false" ht="15" hidden="false" customHeight="false" outlineLevel="0" collapsed="false">
      <c r="A100" s="25" t="n">
        <v>4</v>
      </c>
      <c r="B100" s="25" t="str">
        <f aca="false">IFERROR(INDEX('Controle de Entrega'!$A$6:$A$1575,MATCH($A100,'Controle de Entrega'!$K$6:$K$1575,0)),"")</f>
        <v/>
      </c>
      <c r="C100" s="25" t="str">
        <f aca="false">IFERROR(INDEX('Controle de Entrega'!$B$6:$B$1575,MATCH($A100,'Controle de Entrega'!$K$6:$K$1575,0)),"")</f>
        <v/>
      </c>
      <c r="D100" s="26" t="str">
        <f aca="false">IFERROR(INDEX('Controle de Entrega'!$C$6:$C$1575,MATCH($A100,'Controle de Entrega'!$K$6:$K$1575,0)),"")</f>
        <v/>
      </c>
      <c r="E100" s="25" t="str">
        <f aca="false">IFERROR(INDEX('Controle de Entrega'!$D$6:$D$1575,MATCH($A100,'Controle de Entrega'!$K$6:$K$1575,0)),"")</f>
        <v/>
      </c>
      <c r="F100" s="25" t="str">
        <f aca="false">IFERROR(INDEX('Controle de Entrega'!$E$6:$E$1575,MATCH($A100,'Controle de Entrega'!$K$6:$K$1575,0)),"")</f>
        <v/>
      </c>
      <c r="G100" s="25" t="str">
        <f aca="false">IFERROR(INDEX('Controle de Entrega'!$F$6:$F$1575,MATCH($A100,'Controle de Entrega'!$K$6:$K$1575,0)),"")</f>
        <v/>
      </c>
      <c r="H100" s="27" t="str">
        <f aca="false">IFERROR(INDEX('Controle de Entrega'!$G$6:$G$1575,MATCH($A100,'Controle de Entrega'!$K$6:$K$1575,0)),"")</f>
        <v/>
      </c>
      <c r="I100" s="25" t="str">
        <f aca="false">IFERROR(IF(INDEX('Controle de Entrega'!$H$6:$H$1575,MATCH($A100,'Controle de Entrega'!$K$6:$K$1575,0))=0,"",INDEX('Controle de Entrega'!$H$6:$H$1575,MATCH($A100,'Controle de Entrega'!$K$6:$K$1575,0))),"")</f>
        <v/>
      </c>
      <c r="J100" s="26" t="str">
        <f aca="false">IFERROR(IF(INDEX('Controle de Entrega'!$I$6:$I$1575,MATCH($A100,'Controle de Entrega'!$K$6:$K$1575,0))=0,"",INDEX('Controle de Entrega'!$I$6:$I$1575,MATCH($A100,'Controle de Entrega'!$K$6:$K$1575,0))),"")</f>
        <v/>
      </c>
      <c r="R100" s="25" t="n">
        <v>4</v>
      </c>
      <c r="S100" s="25" t="str">
        <f aca="false">IFERROR(INDEX('Controle de Entrega'!$A$6:$A$1575,MATCH(R100,'Controle de Entrega'!$L$6:$L$1575,0)),"")</f>
        <v/>
      </c>
      <c r="T100" s="25" t="str">
        <f aca="false">IFERROR(INDEX('Controle de Entrega'!$B$6:$B$1575,MATCH(R100,'Controle de Entrega'!$L$6:$L$1575,0)),"")</f>
        <v/>
      </c>
      <c r="U100" s="26" t="str">
        <f aca="false">IFERROR(INDEX('Controle de Entrega'!$C$6:$C$1575,MATCH(R100,'Controle de Entrega'!$L$6:$L$1575,0)),"")</f>
        <v/>
      </c>
      <c r="V100" s="25" t="str">
        <f aca="false">IFERROR(INDEX('Controle de Entrega'!$D$6:$D$1575,MATCH(R100,'Controle de Entrega'!$L$6:$L$1575,0)),"")</f>
        <v/>
      </c>
      <c r="W100" s="25" t="str">
        <f aca="false">IFERROR(INDEX('Controle de Entrega'!$E$6:$E$1575,MATCH(R100,'Controle de Entrega'!$L$6:$L$1575,0)),"")</f>
        <v/>
      </c>
      <c r="X100" s="25" t="str">
        <f aca="false">IFERROR(INDEX('Controle de Entrega'!$F$6:$F$1575,MATCH(R100,'Controle de Entrega'!$L$6:$L$1575,0)),"")</f>
        <v/>
      </c>
      <c r="Y100" s="27" t="str">
        <f aca="false">IFERROR(INDEX('Controle de Entrega'!$G$6:$G$1575,MATCH(R100,'Controle de Entrega'!$L$6:$L$1575,0)),"")</f>
        <v/>
      </c>
      <c r="Z100" s="25" t="str">
        <f aca="false">IFERROR(IF(INDEX('Controle de Entrega'!$H$6:$H$1575,MATCH(R100,'Controle de Entrega'!$L$6:$L$1575,0))=0,"",INDEX('Controle de Entrega'!$H$6:$H$1575,MATCH(R100,'Controle de Entrega'!$L$6:$L$1575,0))),"")</f>
        <v/>
      </c>
      <c r="AA100" s="26" t="str">
        <f aca="false">IFERROR(IF(INDEX('Controle de Entrega'!$I$6:$I$1575,MATCH(R100,'Controle de Entrega'!$L$6:$L$1575,0))=0,"",INDEX('Controle de Entrega'!$I$6:$I$1575,MATCH(R100,'Controle de Entrega'!$L$6:$L$1575,0))),"")</f>
        <v/>
      </c>
      <c r="AB100" s="31" t="str">
        <f aca="false">IFERROR(IF(MATCH(R100,'Controle de Entrega'!$L$6:$L$1575,0)+5=$AB$3,"● ATUAL",""),"")</f>
        <v/>
      </c>
    </row>
    <row r="101" customFormat="false" ht="15" hidden="false" customHeight="false" outlineLevel="0" collapsed="false">
      <c r="A101" s="25" t="n">
        <v>5</v>
      </c>
      <c r="B101" s="25" t="str">
        <f aca="false">IFERROR(INDEX('Controle de Entrega'!$A$6:$A$1575,MATCH($A101,'Controle de Entrega'!$K$6:$K$1575,0)),"")</f>
        <v/>
      </c>
      <c r="C101" s="25" t="str">
        <f aca="false">IFERROR(INDEX('Controle de Entrega'!$B$6:$B$1575,MATCH($A101,'Controle de Entrega'!$K$6:$K$1575,0)),"")</f>
        <v/>
      </c>
      <c r="D101" s="26" t="str">
        <f aca="false">IFERROR(INDEX('Controle de Entrega'!$C$6:$C$1575,MATCH($A101,'Controle de Entrega'!$K$6:$K$1575,0)),"")</f>
        <v/>
      </c>
      <c r="E101" s="25" t="str">
        <f aca="false">IFERROR(INDEX('Controle de Entrega'!$D$6:$D$1575,MATCH($A101,'Controle de Entrega'!$K$6:$K$1575,0)),"")</f>
        <v/>
      </c>
      <c r="F101" s="25" t="str">
        <f aca="false">IFERROR(INDEX('Controle de Entrega'!$E$6:$E$1575,MATCH($A101,'Controle de Entrega'!$K$6:$K$1575,0)),"")</f>
        <v/>
      </c>
      <c r="G101" s="25" t="str">
        <f aca="false">IFERROR(INDEX('Controle de Entrega'!$F$6:$F$1575,MATCH($A101,'Controle de Entrega'!$K$6:$K$1575,0)),"")</f>
        <v/>
      </c>
      <c r="H101" s="27" t="str">
        <f aca="false">IFERROR(INDEX('Controle de Entrega'!$G$6:$G$1575,MATCH($A101,'Controle de Entrega'!$K$6:$K$1575,0)),"")</f>
        <v/>
      </c>
      <c r="I101" s="25" t="str">
        <f aca="false">IFERROR(IF(INDEX('Controle de Entrega'!$H$6:$H$1575,MATCH($A101,'Controle de Entrega'!$K$6:$K$1575,0))=0,"",INDEX('Controle de Entrega'!$H$6:$H$1575,MATCH($A101,'Controle de Entrega'!$K$6:$K$1575,0))),"")</f>
        <v/>
      </c>
      <c r="J101" s="26" t="str">
        <f aca="false">IFERROR(IF(INDEX('Controle de Entrega'!$I$6:$I$1575,MATCH($A101,'Controle de Entrega'!$K$6:$K$1575,0))=0,"",INDEX('Controle de Entrega'!$I$6:$I$1575,MATCH($A101,'Controle de Entrega'!$K$6:$K$1575,0))),"")</f>
        <v/>
      </c>
      <c r="R101" s="25" t="n">
        <v>5</v>
      </c>
      <c r="S101" s="25" t="str">
        <f aca="false">IFERROR(INDEX('Controle de Entrega'!$A$6:$A$1575,MATCH(R101,'Controle de Entrega'!$L$6:$L$1575,0)),"")</f>
        <v/>
      </c>
      <c r="T101" s="25" t="str">
        <f aca="false">IFERROR(INDEX('Controle de Entrega'!$B$6:$B$1575,MATCH(R101,'Controle de Entrega'!$L$6:$L$1575,0)),"")</f>
        <v/>
      </c>
      <c r="U101" s="26" t="str">
        <f aca="false">IFERROR(INDEX('Controle de Entrega'!$C$6:$C$1575,MATCH(R101,'Controle de Entrega'!$L$6:$L$1575,0)),"")</f>
        <v/>
      </c>
      <c r="V101" s="25" t="str">
        <f aca="false">IFERROR(INDEX('Controle de Entrega'!$D$6:$D$1575,MATCH(R101,'Controle de Entrega'!$L$6:$L$1575,0)),"")</f>
        <v/>
      </c>
      <c r="W101" s="25" t="str">
        <f aca="false">IFERROR(INDEX('Controle de Entrega'!$E$6:$E$1575,MATCH(R101,'Controle de Entrega'!$L$6:$L$1575,0)),"")</f>
        <v/>
      </c>
      <c r="X101" s="25" t="str">
        <f aca="false">IFERROR(INDEX('Controle de Entrega'!$F$6:$F$1575,MATCH(R101,'Controle de Entrega'!$L$6:$L$1575,0)),"")</f>
        <v/>
      </c>
      <c r="Y101" s="27" t="str">
        <f aca="false">IFERROR(INDEX('Controle de Entrega'!$G$6:$G$1575,MATCH(R101,'Controle de Entrega'!$L$6:$L$1575,0)),"")</f>
        <v/>
      </c>
      <c r="Z101" s="25" t="str">
        <f aca="false">IFERROR(IF(INDEX('Controle de Entrega'!$H$6:$H$1575,MATCH(R101,'Controle de Entrega'!$L$6:$L$1575,0))=0,"",INDEX('Controle de Entrega'!$H$6:$H$1575,MATCH(R101,'Controle de Entrega'!$L$6:$L$1575,0))),"")</f>
        <v/>
      </c>
      <c r="AA101" s="26" t="str">
        <f aca="false">IFERROR(IF(INDEX('Controle de Entrega'!$I$6:$I$1575,MATCH(R101,'Controle de Entrega'!$L$6:$L$1575,0))=0,"",INDEX('Controle de Entrega'!$I$6:$I$1575,MATCH(R101,'Controle de Entrega'!$L$6:$L$1575,0))),"")</f>
        <v/>
      </c>
      <c r="AB101" s="31" t="str">
        <f aca="false">IFERROR(IF(MATCH(R101,'Controle de Entrega'!$L$6:$L$1575,0)+5=$AB$3,"● ATUAL",""),"")</f>
        <v/>
      </c>
    </row>
    <row r="102" customFormat="false" ht="15" hidden="false" customHeight="false" outlineLevel="0" collapsed="false">
      <c r="A102" s="25" t="n">
        <v>6</v>
      </c>
      <c r="B102" s="25" t="str">
        <f aca="false">IFERROR(INDEX('Controle de Entrega'!$A$6:$A$1575,MATCH($A102,'Controle de Entrega'!$K$6:$K$1575,0)),"")</f>
        <v/>
      </c>
      <c r="C102" s="25" t="str">
        <f aca="false">IFERROR(INDEX('Controle de Entrega'!$B$6:$B$1575,MATCH($A102,'Controle de Entrega'!$K$6:$K$1575,0)),"")</f>
        <v/>
      </c>
      <c r="D102" s="26" t="str">
        <f aca="false">IFERROR(INDEX('Controle de Entrega'!$C$6:$C$1575,MATCH($A102,'Controle de Entrega'!$K$6:$K$1575,0)),"")</f>
        <v/>
      </c>
      <c r="E102" s="25" t="str">
        <f aca="false">IFERROR(INDEX('Controle de Entrega'!$D$6:$D$1575,MATCH($A102,'Controle de Entrega'!$K$6:$K$1575,0)),"")</f>
        <v/>
      </c>
      <c r="F102" s="25" t="str">
        <f aca="false">IFERROR(INDEX('Controle de Entrega'!$E$6:$E$1575,MATCH($A102,'Controle de Entrega'!$K$6:$K$1575,0)),"")</f>
        <v/>
      </c>
      <c r="G102" s="25" t="str">
        <f aca="false">IFERROR(INDEX('Controle de Entrega'!$F$6:$F$1575,MATCH($A102,'Controle de Entrega'!$K$6:$K$1575,0)),"")</f>
        <v/>
      </c>
      <c r="H102" s="27" t="str">
        <f aca="false">IFERROR(INDEX('Controle de Entrega'!$G$6:$G$1575,MATCH($A102,'Controle de Entrega'!$K$6:$K$1575,0)),"")</f>
        <v/>
      </c>
      <c r="I102" s="25" t="str">
        <f aca="false">IFERROR(IF(INDEX('Controle de Entrega'!$H$6:$H$1575,MATCH($A102,'Controle de Entrega'!$K$6:$K$1575,0))=0,"",INDEX('Controle de Entrega'!$H$6:$H$1575,MATCH($A102,'Controle de Entrega'!$K$6:$K$1575,0))),"")</f>
        <v/>
      </c>
      <c r="J102" s="26" t="str">
        <f aca="false">IFERROR(IF(INDEX('Controle de Entrega'!$I$6:$I$1575,MATCH($A102,'Controle de Entrega'!$K$6:$K$1575,0))=0,"",INDEX('Controle de Entrega'!$I$6:$I$1575,MATCH($A102,'Controle de Entrega'!$K$6:$K$1575,0))),"")</f>
        <v/>
      </c>
      <c r="R102" s="25" t="n">
        <v>6</v>
      </c>
      <c r="S102" s="25" t="str">
        <f aca="false">IFERROR(INDEX('Controle de Entrega'!$A$6:$A$1575,MATCH(R102,'Controle de Entrega'!$L$6:$L$1575,0)),"")</f>
        <v/>
      </c>
      <c r="T102" s="25" t="str">
        <f aca="false">IFERROR(INDEX('Controle de Entrega'!$B$6:$B$1575,MATCH(R102,'Controle de Entrega'!$L$6:$L$1575,0)),"")</f>
        <v/>
      </c>
      <c r="U102" s="26" t="str">
        <f aca="false">IFERROR(INDEX('Controle de Entrega'!$C$6:$C$1575,MATCH(R102,'Controle de Entrega'!$L$6:$L$1575,0)),"")</f>
        <v/>
      </c>
      <c r="V102" s="25" t="str">
        <f aca="false">IFERROR(INDEX('Controle de Entrega'!$D$6:$D$1575,MATCH(R102,'Controle de Entrega'!$L$6:$L$1575,0)),"")</f>
        <v/>
      </c>
      <c r="W102" s="25" t="str">
        <f aca="false">IFERROR(INDEX('Controle de Entrega'!$E$6:$E$1575,MATCH(R102,'Controle de Entrega'!$L$6:$L$1575,0)),"")</f>
        <v/>
      </c>
      <c r="X102" s="25" t="str">
        <f aca="false">IFERROR(INDEX('Controle de Entrega'!$F$6:$F$1575,MATCH(R102,'Controle de Entrega'!$L$6:$L$1575,0)),"")</f>
        <v/>
      </c>
      <c r="Y102" s="27" t="str">
        <f aca="false">IFERROR(INDEX('Controle de Entrega'!$G$6:$G$1575,MATCH(R102,'Controle de Entrega'!$L$6:$L$1575,0)),"")</f>
        <v/>
      </c>
      <c r="Z102" s="25" t="str">
        <f aca="false">IFERROR(IF(INDEX('Controle de Entrega'!$H$6:$H$1575,MATCH(R102,'Controle de Entrega'!$L$6:$L$1575,0))=0,"",INDEX('Controle de Entrega'!$H$6:$H$1575,MATCH(R102,'Controle de Entrega'!$L$6:$L$1575,0))),"")</f>
        <v/>
      </c>
      <c r="AA102" s="26" t="str">
        <f aca="false">IFERROR(IF(INDEX('Controle de Entrega'!$I$6:$I$1575,MATCH(R102,'Controle de Entrega'!$L$6:$L$1575,0))=0,"",INDEX('Controle de Entrega'!$I$6:$I$1575,MATCH(R102,'Controle de Entrega'!$L$6:$L$1575,0))),"")</f>
        <v/>
      </c>
      <c r="AB102" s="31" t="str">
        <f aca="false">IFERROR(IF(MATCH(R102,'Controle de Entrega'!$L$6:$L$1575,0)+5=$AB$3,"● ATUAL",""),"")</f>
        <v/>
      </c>
    </row>
    <row r="103" customFormat="false" ht="15" hidden="false" customHeight="false" outlineLevel="0" collapsed="false">
      <c r="A103" s="25" t="n">
        <v>7</v>
      </c>
      <c r="B103" s="25" t="str">
        <f aca="false">IFERROR(INDEX('Controle de Entrega'!$A$6:$A$1575,MATCH($A103,'Controle de Entrega'!$K$6:$K$1575,0)),"")</f>
        <v/>
      </c>
      <c r="C103" s="25" t="str">
        <f aca="false">IFERROR(INDEX('Controle de Entrega'!$B$6:$B$1575,MATCH($A103,'Controle de Entrega'!$K$6:$K$1575,0)),"")</f>
        <v/>
      </c>
      <c r="D103" s="26" t="str">
        <f aca="false">IFERROR(INDEX('Controle de Entrega'!$C$6:$C$1575,MATCH($A103,'Controle de Entrega'!$K$6:$K$1575,0)),"")</f>
        <v/>
      </c>
      <c r="E103" s="25" t="str">
        <f aca="false">IFERROR(INDEX('Controle de Entrega'!$D$6:$D$1575,MATCH($A103,'Controle de Entrega'!$K$6:$K$1575,0)),"")</f>
        <v/>
      </c>
      <c r="F103" s="25" t="str">
        <f aca="false">IFERROR(INDEX('Controle de Entrega'!$E$6:$E$1575,MATCH($A103,'Controle de Entrega'!$K$6:$K$1575,0)),"")</f>
        <v/>
      </c>
      <c r="G103" s="25" t="str">
        <f aca="false">IFERROR(INDEX('Controle de Entrega'!$F$6:$F$1575,MATCH($A103,'Controle de Entrega'!$K$6:$K$1575,0)),"")</f>
        <v/>
      </c>
      <c r="H103" s="27" t="str">
        <f aca="false">IFERROR(INDEX('Controle de Entrega'!$G$6:$G$1575,MATCH($A103,'Controle de Entrega'!$K$6:$K$1575,0)),"")</f>
        <v/>
      </c>
      <c r="I103" s="25" t="str">
        <f aca="false">IFERROR(IF(INDEX('Controle de Entrega'!$H$6:$H$1575,MATCH($A103,'Controle de Entrega'!$K$6:$K$1575,0))=0,"",INDEX('Controle de Entrega'!$H$6:$H$1575,MATCH($A103,'Controle de Entrega'!$K$6:$K$1575,0))),"")</f>
        <v/>
      </c>
      <c r="J103" s="26" t="str">
        <f aca="false">IFERROR(IF(INDEX('Controle de Entrega'!$I$6:$I$1575,MATCH($A103,'Controle de Entrega'!$K$6:$K$1575,0))=0,"",INDEX('Controle de Entrega'!$I$6:$I$1575,MATCH($A103,'Controle de Entrega'!$K$6:$K$1575,0))),"")</f>
        <v/>
      </c>
      <c r="R103" s="25" t="n">
        <v>7</v>
      </c>
      <c r="S103" s="25" t="str">
        <f aca="false">IFERROR(INDEX('Controle de Entrega'!$A$6:$A$1575,MATCH(R103,'Controle de Entrega'!$L$6:$L$1575,0)),"")</f>
        <v/>
      </c>
      <c r="T103" s="25" t="str">
        <f aca="false">IFERROR(INDEX('Controle de Entrega'!$B$6:$B$1575,MATCH(R103,'Controle de Entrega'!$L$6:$L$1575,0)),"")</f>
        <v/>
      </c>
      <c r="U103" s="26" t="str">
        <f aca="false">IFERROR(INDEX('Controle de Entrega'!$C$6:$C$1575,MATCH(R103,'Controle de Entrega'!$L$6:$L$1575,0)),"")</f>
        <v/>
      </c>
      <c r="V103" s="25" t="str">
        <f aca="false">IFERROR(INDEX('Controle de Entrega'!$D$6:$D$1575,MATCH(R103,'Controle de Entrega'!$L$6:$L$1575,0)),"")</f>
        <v/>
      </c>
      <c r="W103" s="25" t="str">
        <f aca="false">IFERROR(INDEX('Controle de Entrega'!$E$6:$E$1575,MATCH(R103,'Controle de Entrega'!$L$6:$L$1575,0)),"")</f>
        <v/>
      </c>
      <c r="X103" s="25" t="str">
        <f aca="false">IFERROR(INDEX('Controle de Entrega'!$F$6:$F$1575,MATCH(R103,'Controle de Entrega'!$L$6:$L$1575,0)),"")</f>
        <v/>
      </c>
      <c r="Y103" s="27" t="str">
        <f aca="false">IFERROR(INDEX('Controle de Entrega'!$G$6:$G$1575,MATCH(R103,'Controle de Entrega'!$L$6:$L$1575,0)),"")</f>
        <v/>
      </c>
      <c r="Z103" s="25" t="str">
        <f aca="false">IFERROR(IF(INDEX('Controle de Entrega'!$H$6:$H$1575,MATCH(R103,'Controle de Entrega'!$L$6:$L$1575,0))=0,"",INDEX('Controle de Entrega'!$H$6:$H$1575,MATCH(R103,'Controle de Entrega'!$L$6:$L$1575,0))),"")</f>
        <v/>
      </c>
      <c r="AA103" s="26" t="str">
        <f aca="false">IFERROR(IF(INDEX('Controle de Entrega'!$I$6:$I$1575,MATCH(R103,'Controle de Entrega'!$L$6:$L$1575,0))=0,"",INDEX('Controle de Entrega'!$I$6:$I$1575,MATCH(R103,'Controle de Entrega'!$L$6:$L$1575,0))),"")</f>
        <v/>
      </c>
      <c r="AB103" s="31" t="str">
        <f aca="false">IFERROR(IF(MATCH(R103,'Controle de Entrega'!$L$6:$L$1575,0)+5=$AB$3,"● ATUAL",""),"")</f>
        <v/>
      </c>
    </row>
    <row r="104" customFormat="false" ht="15" hidden="false" customHeight="false" outlineLevel="0" collapsed="false">
      <c r="A104" s="25" t="n">
        <v>8</v>
      </c>
      <c r="B104" s="25" t="str">
        <f aca="false">IFERROR(INDEX('Controle de Entrega'!$A$6:$A$1575,MATCH($A104,'Controle de Entrega'!$K$6:$K$1575,0)),"")</f>
        <v/>
      </c>
      <c r="C104" s="25" t="str">
        <f aca="false">IFERROR(INDEX('Controle de Entrega'!$B$6:$B$1575,MATCH($A104,'Controle de Entrega'!$K$6:$K$1575,0)),"")</f>
        <v/>
      </c>
      <c r="D104" s="26" t="str">
        <f aca="false">IFERROR(INDEX('Controle de Entrega'!$C$6:$C$1575,MATCH($A104,'Controle de Entrega'!$K$6:$K$1575,0)),"")</f>
        <v/>
      </c>
      <c r="E104" s="25" t="str">
        <f aca="false">IFERROR(INDEX('Controle de Entrega'!$D$6:$D$1575,MATCH($A104,'Controle de Entrega'!$K$6:$K$1575,0)),"")</f>
        <v/>
      </c>
      <c r="F104" s="25" t="str">
        <f aca="false">IFERROR(INDEX('Controle de Entrega'!$E$6:$E$1575,MATCH($A104,'Controle de Entrega'!$K$6:$K$1575,0)),"")</f>
        <v/>
      </c>
      <c r="G104" s="25" t="str">
        <f aca="false">IFERROR(INDEX('Controle de Entrega'!$F$6:$F$1575,MATCH($A104,'Controle de Entrega'!$K$6:$K$1575,0)),"")</f>
        <v/>
      </c>
      <c r="H104" s="27" t="str">
        <f aca="false">IFERROR(INDEX('Controle de Entrega'!$G$6:$G$1575,MATCH($A104,'Controle de Entrega'!$K$6:$K$1575,0)),"")</f>
        <v/>
      </c>
      <c r="I104" s="25" t="str">
        <f aca="false">IFERROR(IF(INDEX('Controle de Entrega'!$H$6:$H$1575,MATCH($A104,'Controle de Entrega'!$K$6:$K$1575,0))=0,"",INDEX('Controle de Entrega'!$H$6:$H$1575,MATCH($A104,'Controle de Entrega'!$K$6:$K$1575,0))),"")</f>
        <v/>
      </c>
      <c r="J104" s="26" t="str">
        <f aca="false">IFERROR(IF(INDEX('Controle de Entrega'!$I$6:$I$1575,MATCH($A104,'Controle de Entrega'!$K$6:$K$1575,0))=0,"",INDEX('Controle de Entrega'!$I$6:$I$1575,MATCH($A104,'Controle de Entrega'!$K$6:$K$1575,0))),"")</f>
        <v/>
      </c>
      <c r="R104" s="25" t="n">
        <v>8</v>
      </c>
      <c r="S104" s="25" t="str">
        <f aca="false">IFERROR(INDEX('Controle de Entrega'!$A$6:$A$1575,MATCH(R104,'Controle de Entrega'!$L$6:$L$1575,0)),"")</f>
        <v/>
      </c>
      <c r="T104" s="25" t="str">
        <f aca="false">IFERROR(INDEX('Controle de Entrega'!$B$6:$B$1575,MATCH(R104,'Controle de Entrega'!$L$6:$L$1575,0)),"")</f>
        <v/>
      </c>
      <c r="U104" s="26" t="str">
        <f aca="false">IFERROR(INDEX('Controle de Entrega'!$C$6:$C$1575,MATCH(R104,'Controle de Entrega'!$L$6:$L$1575,0)),"")</f>
        <v/>
      </c>
      <c r="V104" s="25" t="str">
        <f aca="false">IFERROR(INDEX('Controle de Entrega'!$D$6:$D$1575,MATCH(R104,'Controle de Entrega'!$L$6:$L$1575,0)),"")</f>
        <v/>
      </c>
      <c r="W104" s="25" t="str">
        <f aca="false">IFERROR(INDEX('Controle de Entrega'!$E$6:$E$1575,MATCH(R104,'Controle de Entrega'!$L$6:$L$1575,0)),"")</f>
        <v/>
      </c>
      <c r="X104" s="25" t="str">
        <f aca="false">IFERROR(INDEX('Controle de Entrega'!$F$6:$F$1575,MATCH(R104,'Controle de Entrega'!$L$6:$L$1575,0)),"")</f>
        <v/>
      </c>
      <c r="Y104" s="27" t="str">
        <f aca="false">IFERROR(INDEX('Controle de Entrega'!$G$6:$G$1575,MATCH(R104,'Controle de Entrega'!$L$6:$L$1575,0)),"")</f>
        <v/>
      </c>
      <c r="Z104" s="25" t="str">
        <f aca="false">IFERROR(IF(INDEX('Controle de Entrega'!$H$6:$H$1575,MATCH(R104,'Controle de Entrega'!$L$6:$L$1575,0))=0,"",INDEX('Controle de Entrega'!$H$6:$H$1575,MATCH(R104,'Controle de Entrega'!$L$6:$L$1575,0))),"")</f>
        <v/>
      </c>
      <c r="AA104" s="26" t="str">
        <f aca="false">IFERROR(IF(INDEX('Controle de Entrega'!$I$6:$I$1575,MATCH(R104,'Controle de Entrega'!$L$6:$L$1575,0))=0,"",INDEX('Controle de Entrega'!$I$6:$I$1575,MATCH(R104,'Controle de Entrega'!$L$6:$L$1575,0))),"")</f>
        <v/>
      </c>
      <c r="AB104" s="31" t="str">
        <f aca="false">IFERROR(IF(MATCH(R104,'Controle de Entrega'!$L$6:$L$1575,0)+5=$AB$3,"● ATUAL",""),"")</f>
        <v/>
      </c>
    </row>
    <row r="105" customFormat="false" ht="15" hidden="false" customHeight="false" outlineLevel="0" collapsed="false">
      <c r="A105" s="25" t="n">
        <v>9</v>
      </c>
      <c r="B105" s="25" t="str">
        <f aca="false">IFERROR(INDEX('Controle de Entrega'!$A$6:$A$1575,MATCH($A105,'Controle de Entrega'!$K$6:$K$1575,0)),"")</f>
        <v/>
      </c>
      <c r="C105" s="25" t="str">
        <f aca="false">IFERROR(INDEX('Controle de Entrega'!$B$6:$B$1575,MATCH($A105,'Controle de Entrega'!$K$6:$K$1575,0)),"")</f>
        <v/>
      </c>
      <c r="D105" s="26" t="str">
        <f aca="false">IFERROR(INDEX('Controle de Entrega'!$C$6:$C$1575,MATCH($A105,'Controle de Entrega'!$K$6:$K$1575,0)),"")</f>
        <v/>
      </c>
      <c r="E105" s="25" t="str">
        <f aca="false">IFERROR(INDEX('Controle de Entrega'!$D$6:$D$1575,MATCH($A105,'Controle de Entrega'!$K$6:$K$1575,0)),"")</f>
        <v/>
      </c>
      <c r="F105" s="25" t="str">
        <f aca="false">IFERROR(INDEX('Controle de Entrega'!$E$6:$E$1575,MATCH($A105,'Controle de Entrega'!$K$6:$K$1575,0)),"")</f>
        <v/>
      </c>
      <c r="G105" s="25" t="str">
        <f aca="false">IFERROR(INDEX('Controle de Entrega'!$F$6:$F$1575,MATCH($A105,'Controle de Entrega'!$K$6:$K$1575,0)),"")</f>
        <v/>
      </c>
      <c r="H105" s="27" t="str">
        <f aca="false">IFERROR(INDEX('Controle de Entrega'!$G$6:$G$1575,MATCH($A105,'Controle de Entrega'!$K$6:$K$1575,0)),"")</f>
        <v/>
      </c>
      <c r="I105" s="25" t="str">
        <f aca="false">IFERROR(IF(INDEX('Controle de Entrega'!$H$6:$H$1575,MATCH($A105,'Controle de Entrega'!$K$6:$K$1575,0))=0,"",INDEX('Controle de Entrega'!$H$6:$H$1575,MATCH($A105,'Controle de Entrega'!$K$6:$K$1575,0))),"")</f>
        <v/>
      </c>
      <c r="J105" s="26" t="str">
        <f aca="false">IFERROR(IF(INDEX('Controle de Entrega'!$I$6:$I$1575,MATCH($A105,'Controle de Entrega'!$K$6:$K$1575,0))=0,"",INDEX('Controle de Entrega'!$I$6:$I$1575,MATCH($A105,'Controle de Entrega'!$K$6:$K$1575,0))),"")</f>
        <v/>
      </c>
      <c r="R105" s="25" t="n">
        <v>9</v>
      </c>
      <c r="S105" s="25" t="str">
        <f aca="false">IFERROR(INDEX('Controle de Entrega'!$A$6:$A$1575,MATCH(R105,'Controle de Entrega'!$L$6:$L$1575,0)),"")</f>
        <v/>
      </c>
      <c r="T105" s="25" t="str">
        <f aca="false">IFERROR(INDEX('Controle de Entrega'!$B$6:$B$1575,MATCH(R105,'Controle de Entrega'!$L$6:$L$1575,0)),"")</f>
        <v/>
      </c>
      <c r="U105" s="26" t="str">
        <f aca="false">IFERROR(INDEX('Controle de Entrega'!$C$6:$C$1575,MATCH(R105,'Controle de Entrega'!$L$6:$L$1575,0)),"")</f>
        <v/>
      </c>
      <c r="V105" s="25" t="str">
        <f aca="false">IFERROR(INDEX('Controle de Entrega'!$D$6:$D$1575,MATCH(R105,'Controle de Entrega'!$L$6:$L$1575,0)),"")</f>
        <v/>
      </c>
      <c r="W105" s="25" t="str">
        <f aca="false">IFERROR(INDEX('Controle de Entrega'!$E$6:$E$1575,MATCH(R105,'Controle de Entrega'!$L$6:$L$1575,0)),"")</f>
        <v/>
      </c>
      <c r="X105" s="25" t="str">
        <f aca="false">IFERROR(INDEX('Controle de Entrega'!$F$6:$F$1575,MATCH(R105,'Controle de Entrega'!$L$6:$L$1575,0)),"")</f>
        <v/>
      </c>
      <c r="Y105" s="27" t="str">
        <f aca="false">IFERROR(INDEX('Controle de Entrega'!$G$6:$G$1575,MATCH(R105,'Controle de Entrega'!$L$6:$L$1575,0)),"")</f>
        <v/>
      </c>
      <c r="Z105" s="25" t="str">
        <f aca="false">IFERROR(IF(INDEX('Controle de Entrega'!$H$6:$H$1575,MATCH(R105,'Controle de Entrega'!$L$6:$L$1575,0))=0,"",INDEX('Controle de Entrega'!$H$6:$H$1575,MATCH(R105,'Controle de Entrega'!$L$6:$L$1575,0))),"")</f>
        <v/>
      </c>
      <c r="AA105" s="26" t="str">
        <f aca="false">IFERROR(IF(INDEX('Controle de Entrega'!$I$6:$I$1575,MATCH(R105,'Controle de Entrega'!$L$6:$L$1575,0))=0,"",INDEX('Controle de Entrega'!$I$6:$I$1575,MATCH(R105,'Controle de Entrega'!$L$6:$L$1575,0))),"")</f>
        <v/>
      </c>
      <c r="AB105" s="31" t="str">
        <f aca="false">IFERROR(IF(MATCH(R105,'Controle de Entrega'!$L$6:$L$1575,0)+5=$AB$3,"● ATUAL",""),"")</f>
        <v/>
      </c>
    </row>
    <row r="106" customFormat="false" ht="15" hidden="false" customHeight="false" outlineLevel="0" collapsed="false">
      <c r="A106" s="25" t="n">
        <v>10</v>
      </c>
      <c r="B106" s="25" t="str">
        <f aca="false">IFERROR(INDEX('Controle de Entrega'!$A$6:$A$1575,MATCH($A106,'Controle de Entrega'!$K$6:$K$1575,0)),"")</f>
        <v/>
      </c>
      <c r="C106" s="25" t="str">
        <f aca="false">IFERROR(INDEX('Controle de Entrega'!$B$6:$B$1575,MATCH($A106,'Controle de Entrega'!$K$6:$K$1575,0)),"")</f>
        <v/>
      </c>
      <c r="D106" s="26" t="str">
        <f aca="false">IFERROR(INDEX('Controle de Entrega'!$C$6:$C$1575,MATCH($A106,'Controle de Entrega'!$K$6:$K$1575,0)),"")</f>
        <v/>
      </c>
      <c r="E106" s="25" t="str">
        <f aca="false">IFERROR(INDEX('Controle de Entrega'!$D$6:$D$1575,MATCH($A106,'Controle de Entrega'!$K$6:$K$1575,0)),"")</f>
        <v/>
      </c>
      <c r="F106" s="25" t="str">
        <f aca="false">IFERROR(INDEX('Controle de Entrega'!$E$6:$E$1575,MATCH($A106,'Controle de Entrega'!$K$6:$K$1575,0)),"")</f>
        <v/>
      </c>
      <c r="G106" s="25" t="str">
        <f aca="false">IFERROR(INDEX('Controle de Entrega'!$F$6:$F$1575,MATCH($A106,'Controle de Entrega'!$K$6:$K$1575,0)),"")</f>
        <v/>
      </c>
      <c r="H106" s="27" t="str">
        <f aca="false">IFERROR(INDEX('Controle de Entrega'!$G$6:$G$1575,MATCH($A106,'Controle de Entrega'!$K$6:$K$1575,0)),"")</f>
        <v/>
      </c>
      <c r="I106" s="25" t="str">
        <f aca="false">IFERROR(IF(INDEX('Controle de Entrega'!$H$6:$H$1575,MATCH($A106,'Controle de Entrega'!$K$6:$K$1575,0))=0,"",INDEX('Controle de Entrega'!$H$6:$H$1575,MATCH($A106,'Controle de Entrega'!$K$6:$K$1575,0))),"")</f>
        <v/>
      </c>
      <c r="J106" s="26" t="str">
        <f aca="false">IFERROR(IF(INDEX('Controle de Entrega'!$I$6:$I$1575,MATCH($A106,'Controle de Entrega'!$K$6:$K$1575,0))=0,"",INDEX('Controle de Entrega'!$I$6:$I$1575,MATCH($A106,'Controle de Entrega'!$K$6:$K$1575,0))),"")</f>
        <v/>
      </c>
      <c r="R106" s="25" t="n">
        <v>10</v>
      </c>
      <c r="S106" s="25" t="str">
        <f aca="false">IFERROR(INDEX('Controle de Entrega'!$A$6:$A$1575,MATCH(R106,'Controle de Entrega'!$L$6:$L$1575,0)),"")</f>
        <v/>
      </c>
      <c r="T106" s="25" t="str">
        <f aca="false">IFERROR(INDEX('Controle de Entrega'!$B$6:$B$1575,MATCH(R106,'Controle de Entrega'!$L$6:$L$1575,0)),"")</f>
        <v/>
      </c>
      <c r="U106" s="26" t="str">
        <f aca="false">IFERROR(INDEX('Controle de Entrega'!$C$6:$C$1575,MATCH(R106,'Controle de Entrega'!$L$6:$L$1575,0)),"")</f>
        <v/>
      </c>
      <c r="V106" s="25" t="str">
        <f aca="false">IFERROR(INDEX('Controle de Entrega'!$D$6:$D$1575,MATCH(R106,'Controle de Entrega'!$L$6:$L$1575,0)),"")</f>
        <v/>
      </c>
      <c r="W106" s="25" t="str">
        <f aca="false">IFERROR(INDEX('Controle de Entrega'!$E$6:$E$1575,MATCH(R106,'Controle de Entrega'!$L$6:$L$1575,0)),"")</f>
        <v/>
      </c>
      <c r="X106" s="25" t="str">
        <f aca="false">IFERROR(INDEX('Controle de Entrega'!$F$6:$F$1575,MATCH(R106,'Controle de Entrega'!$L$6:$L$1575,0)),"")</f>
        <v/>
      </c>
      <c r="Y106" s="27" t="str">
        <f aca="false">IFERROR(INDEX('Controle de Entrega'!$G$6:$G$1575,MATCH(R106,'Controle de Entrega'!$L$6:$L$1575,0)),"")</f>
        <v/>
      </c>
      <c r="Z106" s="25" t="str">
        <f aca="false">IFERROR(IF(INDEX('Controle de Entrega'!$H$6:$H$1575,MATCH(R106,'Controle de Entrega'!$L$6:$L$1575,0))=0,"",INDEX('Controle de Entrega'!$H$6:$H$1575,MATCH(R106,'Controle de Entrega'!$L$6:$L$1575,0))),"")</f>
        <v/>
      </c>
      <c r="AA106" s="26" t="str">
        <f aca="false">IFERROR(IF(INDEX('Controle de Entrega'!$I$6:$I$1575,MATCH(R106,'Controle de Entrega'!$L$6:$L$1575,0))=0,"",INDEX('Controle de Entrega'!$I$6:$I$1575,MATCH(R106,'Controle de Entrega'!$L$6:$L$1575,0))),"")</f>
        <v/>
      </c>
      <c r="AB106" s="31" t="str">
        <f aca="false">IFERROR(IF(MATCH(R106,'Controle de Entrega'!$L$6:$L$1575,0)+5=$AB$3,"● ATUAL",""),"")</f>
        <v/>
      </c>
    </row>
    <row r="107" customFormat="false" ht="15" hidden="false" customHeight="false" outlineLevel="0" collapsed="false">
      <c r="A107" s="25" t="n">
        <v>11</v>
      </c>
      <c r="B107" s="25" t="str">
        <f aca="false">IFERROR(INDEX('Controle de Entrega'!$A$6:$A$1575,MATCH($A107,'Controle de Entrega'!$K$6:$K$1575,0)),"")</f>
        <v/>
      </c>
      <c r="C107" s="25" t="str">
        <f aca="false">IFERROR(INDEX('Controle de Entrega'!$B$6:$B$1575,MATCH($A107,'Controle de Entrega'!$K$6:$K$1575,0)),"")</f>
        <v/>
      </c>
      <c r="D107" s="26" t="str">
        <f aca="false">IFERROR(INDEX('Controle de Entrega'!$C$6:$C$1575,MATCH($A107,'Controle de Entrega'!$K$6:$K$1575,0)),"")</f>
        <v/>
      </c>
      <c r="E107" s="25" t="str">
        <f aca="false">IFERROR(INDEX('Controle de Entrega'!$D$6:$D$1575,MATCH($A107,'Controle de Entrega'!$K$6:$K$1575,0)),"")</f>
        <v/>
      </c>
      <c r="F107" s="25" t="str">
        <f aca="false">IFERROR(INDEX('Controle de Entrega'!$E$6:$E$1575,MATCH($A107,'Controle de Entrega'!$K$6:$K$1575,0)),"")</f>
        <v/>
      </c>
      <c r="G107" s="25" t="str">
        <f aca="false">IFERROR(INDEX('Controle de Entrega'!$F$6:$F$1575,MATCH($A107,'Controle de Entrega'!$K$6:$K$1575,0)),"")</f>
        <v/>
      </c>
      <c r="H107" s="27" t="str">
        <f aca="false">IFERROR(INDEX('Controle de Entrega'!$G$6:$G$1575,MATCH($A107,'Controle de Entrega'!$K$6:$K$1575,0)),"")</f>
        <v/>
      </c>
      <c r="I107" s="25" t="str">
        <f aca="false">IFERROR(IF(INDEX('Controle de Entrega'!$H$6:$H$1575,MATCH($A107,'Controle de Entrega'!$K$6:$K$1575,0))=0,"",INDEX('Controle de Entrega'!$H$6:$H$1575,MATCH($A107,'Controle de Entrega'!$K$6:$K$1575,0))),"")</f>
        <v/>
      </c>
      <c r="J107" s="26" t="str">
        <f aca="false">IFERROR(IF(INDEX('Controle de Entrega'!$I$6:$I$1575,MATCH($A107,'Controle de Entrega'!$K$6:$K$1575,0))=0,"",INDEX('Controle de Entrega'!$I$6:$I$1575,MATCH($A107,'Controle de Entrega'!$K$6:$K$1575,0))),"")</f>
        <v/>
      </c>
      <c r="R107" s="25" t="n">
        <v>11</v>
      </c>
      <c r="S107" s="25" t="str">
        <f aca="false">IFERROR(INDEX('Controle de Entrega'!$A$6:$A$1575,MATCH(R107,'Controle de Entrega'!$L$6:$L$1575,0)),"")</f>
        <v/>
      </c>
      <c r="T107" s="25" t="str">
        <f aca="false">IFERROR(INDEX('Controle de Entrega'!$B$6:$B$1575,MATCH(R107,'Controle de Entrega'!$L$6:$L$1575,0)),"")</f>
        <v/>
      </c>
      <c r="U107" s="26" t="str">
        <f aca="false">IFERROR(INDEX('Controle de Entrega'!$C$6:$C$1575,MATCH(R107,'Controle de Entrega'!$L$6:$L$1575,0)),"")</f>
        <v/>
      </c>
      <c r="V107" s="25" t="str">
        <f aca="false">IFERROR(INDEX('Controle de Entrega'!$D$6:$D$1575,MATCH(R107,'Controle de Entrega'!$L$6:$L$1575,0)),"")</f>
        <v/>
      </c>
      <c r="W107" s="25" t="str">
        <f aca="false">IFERROR(INDEX('Controle de Entrega'!$E$6:$E$1575,MATCH(R107,'Controle de Entrega'!$L$6:$L$1575,0)),"")</f>
        <v/>
      </c>
      <c r="X107" s="25" t="str">
        <f aca="false">IFERROR(INDEX('Controle de Entrega'!$F$6:$F$1575,MATCH(R107,'Controle de Entrega'!$L$6:$L$1575,0)),"")</f>
        <v/>
      </c>
      <c r="Y107" s="27" t="str">
        <f aca="false">IFERROR(INDEX('Controle de Entrega'!$G$6:$G$1575,MATCH(R107,'Controle de Entrega'!$L$6:$L$1575,0)),"")</f>
        <v/>
      </c>
      <c r="Z107" s="25" t="str">
        <f aca="false">IFERROR(IF(INDEX('Controle de Entrega'!$H$6:$H$1575,MATCH(R107,'Controle de Entrega'!$L$6:$L$1575,0))=0,"",INDEX('Controle de Entrega'!$H$6:$H$1575,MATCH(R107,'Controle de Entrega'!$L$6:$L$1575,0))),"")</f>
        <v/>
      </c>
      <c r="AA107" s="26" t="str">
        <f aca="false">IFERROR(IF(INDEX('Controle de Entrega'!$I$6:$I$1575,MATCH(R107,'Controle de Entrega'!$L$6:$L$1575,0))=0,"",INDEX('Controle de Entrega'!$I$6:$I$1575,MATCH(R107,'Controle de Entrega'!$L$6:$L$1575,0))),"")</f>
        <v/>
      </c>
      <c r="AB107" s="31" t="str">
        <f aca="false">IFERROR(IF(MATCH(R107,'Controle de Entrega'!$L$6:$L$1575,0)+5=$AB$3,"● ATUAL",""),"")</f>
        <v/>
      </c>
    </row>
    <row r="108" customFormat="false" ht="15" hidden="false" customHeight="false" outlineLevel="0" collapsed="false">
      <c r="A108" s="25" t="n">
        <v>12</v>
      </c>
      <c r="B108" s="25" t="str">
        <f aca="false">IFERROR(INDEX('Controle de Entrega'!$A$6:$A$1575,MATCH($A108,'Controle de Entrega'!$K$6:$K$1575,0)),"")</f>
        <v/>
      </c>
      <c r="C108" s="25" t="str">
        <f aca="false">IFERROR(INDEX('Controle de Entrega'!$B$6:$B$1575,MATCH($A108,'Controle de Entrega'!$K$6:$K$1575,0)),"")</f>
        <v/>
      </c>
      <c r="D108" s="26" t="str">
        <f aca="false">IFERROR(INDEX('Controle de Entrega'!$C$6:$C$1575,MATCH($A108,'Controle de Entrega'!$K$6:$K$1575,0)),"")</f>
        <v/>
      </c>
      <c r="E108" s="25" t="str">
        <f aca="false">IFERROR(INDEX('Controle de Entrega'!$D$6:$D$1575,MATCH($A108,'Controle de Entrega'!$K$6:$K$1575,0)),"")</f>
        <v/>
      </c>
      <c r="F108" s="25" t="str">
        <f aca="false">IFERROR(INDEX('Controle de Entrega'!$E$6:$E$1575,MATCH($A108,'Controle de Entrega'!$K$6:$K$1575,0)),"")</f>
        <v/>
      </c>
      <c r="G108" s="25" t="str">
        <f aca="false">IFERROR(INDEX('Controle de Entrega'!$F$6:$F$1575,MATCH($A108,'Controle de Entrega'!$K$6:$K$1575,0)),"")</f>
        <v/>
      </c>
      <c r="H108" s="27" t="str">
        <f aca="false">IFERROR(INDEX('Controle de Entrega'!$G$6:$G$1575,MATCH($A108,'Controle de Entrega'!$K$6:$K$1575,0)),"")</f>
        <v/>
      </c>
      <c r="I108" s="25" t="str">
        <f aca="false">IFERROR(IF(INDEX('Controle de Entrega'!$H$6:$H$1575,MATCH($A108,'Controle de Entrega'!$K$6:$K$1575,0))=0,"",INDEX('Controle de Entrega'!$H$6:$H$1575,MATCH($A108,'Controle de Entrega'!$K$6:$K$1575,0))),"")</f>
        <v/>
      </c>
      <c r="J108" s="26" t="str">
        <f aca="false">IFERROR(IF(INDEX('Controle de Entrega'!$I$6:$I$1575,MATCH($A108,'Controle de Entrega'!$K$6:$K$1575,0))=0,"",INDEX('Controle de Entrega'!$I$6:$I$1575,MATCH($A108,'Controle de Entrega'!$K$6:$K$1575,0))),"")</f>
        <v/>
      </c>
      <c r="R108" s="25" t="n">
        <v>12</v>
      </c>
      <c r="S108" s="25" t="str">
        <f aca="false">IFERROR(INDEX('Controle de Entrega'!$A$6:$A$1575,MATCH(R108,'Controle de Entrega'!$L$6:$L$1575,0)),"")</f>
        <v/>
      </c>
      <c r="T108" s="25" t="str">
        <f aca="false">IFERROR(INDEX('Controle de Entrega'!$B$6:$B$1575,MATCH(R108,'Controle de Entrega'!$L$6:$L$1575,0)),"")</f>
        <v/>
      </c>
      <c r="U108" s="26" t="str">
        <f aca="false">IFERROR(INDEX('Controle de Entrega'!$C$6:$C$1575,MATCH(R108,'Controle de Entrega'!$L$6:$L$1575,0)),"")</f>
        <v/>
      </c>
      <c r="V108" s="25" t="str">
        <f aca="false">IFERROR(INDEX('Controle de Entrega'!$D$6:$D$1575,MATCH(R108,'Controle de Entrega'!$L$6:$L$1575,0)),"")</f>
        <v/>
      </c>
      <c r="W108" s="25" t="str">
        <f aca="false">IFERROR(INDEX('Controle de Entrega'!$E$6:$E$1575,MATCH(R108,'Controle de Entrega'!$L$6:$L$1575,0)),"")</f>
        <v/>
      </c>
      <c r="X108" s="25" t="str">
        <f aca="false">IFERROR(INDEX('Controle de Entrega'!$F$6:$F$1575,MATCH(R108,'Controle de Entrega'!$L$6:$L$1575,0)),"")</f>
        <v/>
      </c>
      <c r="Y108" s="27" t="str">
        <f aca="false">IFERROR(INDEX('Controle de Entrega'!$G$6:$G$1575,MATCH(R108,'Controle de Entrega'!$L$6:$L$1575,0)),"")</f>
        <v/>
      </c>
      <c r="Z108" s="25" t="str">
        <f aca="false">IFERROR(IF(INDEX('Controle de Entrega'!$H$6:$H$1575,MATCH(R108,'Controle de Entrega'!$L$6:$L$1575,0))=0,"",INDEX('Controle de Entrega'!$H$6:$H$1575,MATCH(R108,'Controle de Entrega'!$L$6:$L$1575,0))),"")</f>
        <v/>
      </c>
      <c r="AA108" s="26" t="str">
        <f aca="false">IFERROR(IF(INDEX('Controle de Entrega'!$I$6:$I$1575,MATCH(R108,'Controle de Entrega'!$L$6:$L$1575,0))=0,"",INDEX('Controle de Entrega'!$I$6:$I$1575,MATCH(R108,'Controle de Entrega'!$L$6:$L$1575,0))),"")</f>
        <v/>
      </c>
      <c r="AB108" s="31" t="str">
        <f aca="false">IFERROR(IF(MATCH(R108,'Controle de Entrega'!$L$6:$L$1575,0)+5=$AB$3,"● ATUAL",""),"")</f>
        <v/>
      </c>
    </row>
    <row r="109" customFormat="false" ht="15" hidden="false" customHeight="false" outlineLevel="0" collapsed="false">
      <c r="A109" s="25" t="n">
        <v>13</v>
      </c>
      <c r="B109" s="25" t="str">
        <f aca="false">IFERROR(INDEX('Controle de Entrega'!$A$6:$A$1575,MATCH($A109,'Controle de Entrega'!$K$6:$K$1575,0)),"")</f>
        <v/>
      </c>
      <c r="C109" s="25" t="str">
        <f aca="false">IFERROR(INDEX('Controle de Entrega'!$B$6:$B$1575,MATCH($A109,'Controle de Entrega'!$K$6:$K$1575,0)),"")</f>
        <v/>
      </c>
      <c r="D109" s="26" t="str">
        <f aca="false">IFERROR(INDEX('Controle de Entrega'!$C$6:$C$1575,MATCH($A109,'Controle de Entrega'!$K$6:$K$1575,0)),"")</f>
        <v/>
      </c>
      <c r="E109" s="25" t="str">
        <f aca="false">IFERROR(INDEX('Controle de Entrega'!$D$6:$D$1575,MATCH($A109,'Controle de Entrega'!$K$6:$K$1575,0)),"")</f>
        <v/>
      </c>
      <c r="F109" s="25" t="str">
        <f aca="false">IFERROR(INDEX('Controle de Entrega'!$E$6:$E$1575,MATCH($A109,'Controle de Entrega'!$K$6:$K$1575,0)),"")</f>
        <v/>
      </c>
      <c r="G109" s="25" t="str">
        <f aca="false">IFERROR(INDEX('Controle de Entrega'!$F$6:$F$1575,MATCH($A109,'Controle de Entrega'!$K$6:$K$1575,0)),"")</f>
        <v/>
      </c>
      <c r="H109" s="27" t="str">
        <f aca="false">IFERROR(INDEX('Controle de Entrega'!$G$6:$G$1575,MATCH($A109,'Controle de Entrega'!$K$6:$K$1575,0)),"")</f>
        <v/>
      </c>
      <c r="I109" s="25" t="str">
        <f aca="false">IFERROR(IF(INDEX('Controle de Entrega'!$H$6:$H$1575,MATCH($A109,'Controle de Entrega'!$K$6:$K$1575,0))=0,"",INDEX('Controle de Entrega'!$H$6:$H$1575,MATCH($A109,'Controle de Entrega'!$K$6:$K$1575,0))),"")</f>
        <v/>
      </c>
      <c r="J109" s="26" t="str">
        <f aca="false">IFERROR(IF(INDEX('Controle de Entrega'!$I$6:$I$1575,MATCH($A109,'Controle de Entrega'!$K$6:$K$1575,0))=0,"",INDEX('Controle de Entrega'!$I$6:$I$1575,MATCH($A109,'Controle de Entrega'!$K$6:$K$1575,0))),"")</f>
        <v/>
      </c>
      <c r="R109" s="25" t="n">
        <v>13</v>
      </c>
      <c r="S109" s="25" t="str">
        <f aca="false">IFERROR(INDEX('Controle de Entrega'!$A$6:$A$1575,MATCH(R109,'Controle de Entrega'!$L$6:$L$1575,0)),"")</f>
        <v/>
      </c>
      <c r="T109" s="25" t="str">
        <f aca="false">IFERROR(INDEX('Controle de Entrega'!$B$6:$B$1575,MATCH(R109,'Controle de Entrega'!$L$6:$L$1575,0)),"")</f>
        <v/>
      </c>
      <c r="U109" s="26" t="str">
        <f aca="false">IFERROR(INDEX('Controle de Entrega'!$C$6:$C$1575,MATCH(R109,'Controle de Entrega'!$L$6:$L$1575,0)),"")</f>
        <v/>
      </c>
      <c r="V109" s="25" t="str">
        <f aca="false">IFERROR(INDEX('Controle de Entrega'!$D$6:$D$1575,MATCH(R109,'Controle de Entrega'!$L$6:$L$1575,0)),"")</f>
        <v/>
      </c>
      <c r="W109" s="25" t="str">
        <f aca="false">IFERROR(INDEX('Controle de Entrega'!$E$6:$E$1575,MATCH(R109,'Controle de Entrega'!$L$6:$L$1575,0)),"")</f>
        <v/>
      </c>
      <c r="X109" s="25" t="str">
        <f aca="false">IFERROR(INDEX('Controle de Entrega'!$F$6:$F$1575,MATCH(R109,'Controle de Entrega'!$L$6:$L$1575,0)),"")</f>
        <v/>
      </c>
      <c r="Y109" s="27" t="str">
        <f aca="false">IFERROR(INDEX('Controle de Entrega'!$G$6:$G$1575,MATCH(R109,'Controle de Entrega'!$L$6:$L$1575,0)),"")</f>
        <v/>
      </c>
      <c r="Z109" s="25" t="str">
        <f aca="false">IFERROR(IF(INDEX('Controle de Entrega'!$H$6:$H$1575,MATCH(R109,'Controle de Entrega'!$L$6:$L$1575,0))=0,"",INDEX('Controle de Entrega'!$H$6:$H$1575,MATCH(R109,'Controle de Entrega'!$L$6:$L$1575,0))),"")</f>
        <v/>
      </c>
      <c r="AA109" s="26" t="str">
        <f aca="false">IFERROR(IF(INDEX('Controle de Entrega'!$I$6:$I$1575,MATCH(R109,'Controle de Entrega'!$L$6:$L$1575,0))=0,"",INDEX('Controle de Entrega'!$I$6:$I$1575,MATCH(R109,'Controle de Entrega'!$L$6:$L$1575,0))),"")</f>
        <v/>
      </c>
      <c r="AB109" s="31" t="str">
        <f aca="false">IFERROR(IF(MATCH(R109,'Controle de Entrega'!$L$6:$L$1575,0)+5=$AB$3,"● ATUAL",""),"")</f>
        <v/>
      </c>
    </row>
    <row r="110" customFormat="false" ht="15" hidden="false" customHeight="false" outlineLevel="0" collapsed="false">
      <c r="A110" s="25" t="n">
        <v>14</v>
      </c>
      <c r="B110" s="25" t="str">
        <f aca="false">IFERROR(INDEX('Controle de Entrega'!$A$6:$A$1575,MATCH($A110,'Controle de Entrega'!$K$6:$K$1575,0)),"")</f>
        <v/>
      </c>
      <c r="C110" s="25" t="str">
        <f aca="false">IFERROR(INDEX('Controle de Entrega'!$B$6:$B$1575,MATCH($A110,'Controle de Entrega'!$K$6:$K$1575,0)),"")</f>
        <v/>
      </c>
      <c r="D110" s="26" t="str">
        <f aca="false">IFERROR(INDEX('Controle de Entrega'!$C$6:$C$1575,MATCH($A110,'Controle de Entrega'!$K$6:$K$1575,0)),"")</f>
        <v/>
      </c>
      <c r="E110" s="25" t="str">
        <f aca="false">IFERROR(INDEX('Controle de Entrega'!$D$6:$D$1575,MATCH($A110,'Controle de Entrega'!$K$6:$K$1575,0)),"")</f>
        <v/>
      </c>
      <c r="F110" s="25" t="str">
        <f aca="false">IFERROR(INDEX('Controle de Entrega'!$E$6:$E$1575,MATCH($A110,'Controle de Entrega'!$K$6:$K$1575,0)),"")</f>
        <v/>
      </c>
      <c r="G110" s="25" t="str">
        <f aca="false">IFERROR(INDEX('Controle de Entrega'!$F$6:$F$1575,MATCH($A110,'Controle de Entrega'!$K$6:$K$1575,0)),"")</f>
        <v/>
      </c>
      <c r="H110" s="27" t="str">
        <f aca="false">IFERROR(INDEX('Controle de Entrega'!$G$6:$G$1575,MATCH($A110,'Controle de Entrega'!$K$6:$K$1575,0)),"")</f>
        <v/>
      </c>
      <c r="I110" s="25" t="str">
        <f aca="false">IFERROR(IF(INDEX('Controle de Entrega'!$H$6:$H$1575,MATCH($A110,'Controle de Entrega'!$K$6:$K$1575,0))=0,"",INDEX('Controle de Entrega'!$H$6:$H$1575,MATCH($A110,'Controle de Entrega'!$K$6:$K$1575,0))),"")</f>
        <v/>
      </c>
      <c r="J110" s="26" t="str">
        <f aca="false">IFERROR(IF(INDEX('Controle de Entrega'!$I$6:$I$1575,MATCH($A110,'Controle de Entrega'!$K$6:$K$1575,0))=0,"",INDEX('Controle de Entrega'!$I$6:$I$1575,MATCH($A110,'Controle de Entrega'!$K$6:$K$1575,0))),"")</f>
        <v/>
      </c>
      <c r="R110" s="25" t="n">
        <v>14</v>
      </c>
      <c r="S110" s="25" t="str">
        <f aca="false">IFERROR(INDEX('Controle de Entrega'!$A$6:$A$1575,MATCH(R110,'Controle de Entrega'!$L$6:$L$1575,0)),"")</f>
        <v/>
      </c>
      <c r="T110" s="25" t="str">
        <f aca="false">IFERROR(INDEX('Controle de Entrega'!$B$6:$B$1575,MATCH(R110,'Controle de Entrega'!$L$6:$L$1575,0)),"")</f>
        <v/>
      </c>
      <c r="U110" s="26" t="str">
        <f aca="false">IFERROR(INDEX('Controle de Entrega'!$C$6:$C$1575,MATCH(R110,'Controle de Entrega'!$L$6:$L$1575,0)),"")</f>
        <v/>
      </c>
      <c r="V110" s="25" t="str">
        <f aca="false">IFERROR(INDEX('Controle de Entrega'!$D$6:$D$1575,MATCH(R110,'Controle de Entrega'!$L$6:$L$1575,0)),"")</f>
        <v/>
      </c>
      <c r="W110" s="25" t="str">
        <f aca="false">IFERROR(INDEX('Controle de Entrega'!$E$6:$E$1575,MATCH(R110,'Controle de Entrega'!$L$6:$L$1575,0)),"")</f>
        <v/>
      </c>
      <c r="X110" s="25" t="str">
        <f aca="false">IFERROR(INDEX('Controle de Entrega'!$F$6:$F$1575,MATCH(R110,'Controle de Entrega'!$L$6:$L$1575,0)),"")</f>
        <v/>
      </c>
      <c r="Y110" s="27" t="str">
        <f aca="false">IFERROR(INDEX('Controle de Entrega'!$G$6:$G$1575,MATCH(R110,'Controle de Entrega'!$L$6:$L$1575,0)),"")</f>
        <v/>
      </c>
      <c r="Z110" s="25" t="str">
        <f aca="false">IFERROR(IF(INDEX('Controle de Entrega'!$H$6:$H$1575,MATCH(R110,'Controle de Entrega'!$L$6:$L$1575,0))=0,"",INDEX('Controle de Entrega'!$H$6:$H$1575,MATCH(R110,'Controle de Entrega'!$L$6:$L$1575,0))),"")</f>
        <v/>
      </c>
      <c r="AA110" s="26" t="str">
        <f aca="false">IFERROR(IF(INDEX('Controle de Entrega'!$I$6:$I$1575,MATCH(R110,'Controle de Entrega'!$L$6:$L$1575,0))=0,"",INDEX('Controle de Entrega'!$I$6:$I$1575,MATCH(R110,'Controle de Entrega'!$L$6:$L$1575,0))),"")</f>
        <v/>
      </c>
      <c r="AB110" s="31" t="str">
        <f aca="false">IFERROR(IF(MATCH(R110,'Controle de Entrega'!$L$6:$L$1575,0)+5=$AB$3,"● ATUAL",""),"")</f>
        <v/>
      </c>
    </row>
    <row r="111" customFormat="false" ht="15" hidden="false" customHeight="false" outlineLevel="0" collapsed="false">
      <c r="A111" s="25" t="n">
        <v>15</v>
      </c>
      <c r="B111" s="25" t="str">
        <f aca="false">IFERROR(INDEX('Controle de Entrega'!$A$6:$A$1575,MATCH($A111,'Controle de Entrega'!$K$6:$K$1575,0)),"")</f>
        <v/>
      </c>
      <c r="C111" s="25" t="str">
        <f aca="false">IFERROR(INDEX('Controle de Entrega'!$B$6:$B$1575,MATCH($A111,'Controle de Entrega'!$K$6:$K$1575,0)),"")</f>
        <v/>
      </c>
      <c r="D111" s="26" t="str">
        <f aca="false">IFERROR(INDEX('Controle de Entrega'!$C$6:$C$1575,MATCH($A111,'Controle de Entrega'!$K$6:$K$1575,0)),"")</f>
        <v/>
      </c>
      <c r="E111" s="25" t="str">
        <f aca="false">IFERROR(INDEX('Controle de Entrega'!$D$6:$D$1575,MATCH($A111,'Controle de Entrega'!$K$6:$K$1575,0)),"")</f>
        <v/>
      </c>
      <c r="F111" s="25" t="str">
        <f aca="false">IFERROR(INDEX('Controle de Entrega'!$E$6:$E$1575,MATCH($A111,'Controle de Entrega'!$K$6:$K$1575,0)),"")</f>
        <v/>
      </c>
      <c r="G111" s="25" t="str">
        <f aca="false">IFERROR(INDEX('Controle de Entrega'!$F$6:$F$1575,MATCH($A111,'Controle de Entrega'!$K$6:$K$1575,0)),"")</f>
        <v/>
      </c>
      <c r="H111" s="27" t="str">
        <f aca="false">IFERROR(INDEX('Controle de Entrega'!$G$6:$G$1575,MATCH($A111,'Controle de Entrega'!$K$6:$K$1575,0)),"")</f>
        <v/>
      </c>
      <c r="I111" s="25" t="str">
        <f aca="false">IFERROR(IF(INDEX('Controle de Entrega'!$H$6:$H$1575,MATCH($A111,'Controle de Entrega'!$K$6:$K$1575,0))=0,"",INDEX('Controle de Entrega'!$H$6:$H$1575,MATCH($A111,'Controle de Entrega'!$K$6:$K$1575,0))),"")</f>
        <v/>
      </c>
      <c r="J111" s="26" t="str">
        <f aca="false">IFERROR(IF(INDEX('Controle de Entrega'!$I$6:$I$1575,MATCH($A111,'Controle de Entrega'!$K$6:$K$1575,0))=0,"",INDEX('Controle de Entrega'!$I$6:$I$1575,MATCH($A111,'Controle de Entrega'!$K$6:$K$1575,0))),"")</f>
        <v/>
      </c>
      <c r="R111" s="25" t="n">
        <v>15</v>
      </c>
      <c r="S111" s="25" t="str">
        <f aca="false">IFERROR(INDEX('Controle de Entrega'!$A$6:$A$1575,MATCH(R111,'Controle de Entrega'!$L$6:$L$1575,0)),"")</f>
        <v/>
      </c>
      <c r="T111" s="25" t="str">
        <f aca="false">IFERROR(INDEX('Controle de Entrega'!$B$6:$B$1575,MATCH(R111,'Controle de Entrega'!$L$6:$L$1575,0)),"")</f>
        <v/>
      </c>
      <c r="U111" s="26" t="str">
        <f aca="false">IFERROR(INDEX('Controle de Entrega'!$C$6:$C$1575,MATCH(R111,'Controle de Entrega'!$L$6:$L$1575,0)),"")</f>
        <v/>
      </c>
      <c r="V111" s="25" t="str">
        <f aca="false">IFERROR(INDEX('Controle de Entrega'!$D$6:$D$1575,MATCH(R111,'Controle de Entrega'!$L$6:$L$1575,0)),"")</f>
        <v/>
      </c>
      <c r="W111" s="25" t="str">
        <f aca="false">IFERROR(INDEX('Controle de Entrega'!$E$6:$E$1575,MATCH(R111,'Controle de Entrega'!$L$6:$L$1575,0)),"")</f>
        <v/>
      </c>
      <c r="X111" s="25" t="str">
        <f aca="false">IFERROR(INDEX('Controle de Entrega'!$F$6:$F$1575,MATCH(R111,'Controle de Entrega'!$L$6:$L$1575,0)),"")</f>
        <v/>
      </c>
      <c r="Y111" s="27" t="str">
        <f aca="false">IFERROR(INDEX('Controle de Entrega'!$G$6:$G$1575,MATCH(R111,'Controle de Entrega'!$L$6:$L$1575,0)),"")</f>
        <v/>
      </c>
      <c r="Z111" s="25" t="str">
        <f aca="false">IFERROR(IF(INDEX('Controle de Entrega'!$H$6:$H$1575,MATCH(R111,'Controle de Entrega'!$L$6:$L$1575,0))=0,"",INDEX('Controle de Entrega'!$H$6:$H$1575,MATCH(R111,'Controle de Entrega'!$L$6:$L$1575,0))),"")</f>
        <v/>
      </c>
      <c r="AA111" s="26" t="str">
        <f aca="false">IFERROR(IF(INDEX('Controle de Entrega'!$I$6:$I$1575,MATCH(R111,'Controle de Entrega'!$L$6:$L$1575,0))=0,"",INDEX('Controle de Entrega'!$I$6:$I$1575,MATCH(R111,'Controle de Entrega'!$L$6:$L$1575,0))),"")</f>
        <v/>
      </c>
      <c r="AB111" s="31" t="str">
        <f aca="false">IFERROR(IF(MATCH(R111,'Controle de Entrega'!$L$6:$L$1575,0)+5=$AB$3,"● ATUAL",""),"")</f>
        <v/>
      </c>
    </row>
    <row r="112" customFormat="false" ht="15" hidden="false" customHeight="false" outlineLevel="0" collapsed="false">
      <c r="A112" s="25" t="n">
        <v>16</v>
      </c>
      <c r="B112" s="25" t="str">
        <f aca="false">IFERROR(INDEX('Controle de Entrega'!$A$6:$A$1575,MATCH($A112,'Controle de Entrega'!$K$6:$K$1575,0)),"")</f>
        <v/>
      </c>
      <c r="C112" s="25" t="str">
        <f aca="false">IFERROR(INDEX('Controle de Entrega'!$B$6:$B$1575,MATCH($A112,'Controle de Entrega'!$K$6:$K$1575,0)),"")</f>
        <v/>
      </c>
      <c r="D112" s="26" t="str">
        <f aca="false">IFERROR(INDEX('Controle de Entrega'!$C$6:$C$1575,MATCH($A112,'Controle de Entrega'!$K$6:$K$1575,0)),"")</f>
        <v/>
      </c>
      <c r="E112" s="25" t="str">
        <f aca="false">IFERROR(INDEX('Controle de Entrega'!$D$6:$D$1575,MATCH($A112,'Controle de Entrega'!$K$6:$K$1575,0)),"")</f>
        <v/>
      </c>
      <c r="F112" s="25" t="str">
        <f aca="false">IFERROR(INDEX('Controle de Entrega'!$E$6:$E$1575,MATCH($A112,'Controle de Entrega'!$K$6:$K$1575,0)),"")</f>
        <v/>
      </c>
      <c r="G112" s="25" t="str">
        <f aca="false">IFERROR(INDEX('Controle de Entrega'!$F$6:$F$1575,MATCH($A112,'Controle de Entrega'!$K$6:$K$1575,0)),"")</f>
        <v/>
      </c>
      <c r="H112" s="27" t="str">
        <f aca="false">IFERROR(INDEX('Controle de Entrega'!$G$6:$G$1575,MATCH($A112,'Controle de Entrega'!$K$6:$K$1575,0)),"")</f>
        <v/>
      </c>
      <c r="I112" s="25" t="str">
        <f aca="false">IFERROR(IF(INDEX('Controle de Entrega'!$H$6:$H$1575,MATCH($A112,'Controle de Entrega'!$K$6:$K$1575,0))=0,"",INDEX('Controle de Entrega'!$H$6:$H$1575,MATCH($A112,'Controle de Entrega'!$K$6:$K$1575,0))),"")</f>
        <v/>
      </c>
      <c r="J112" s="26" t="str">
        <f aca="false">IFERROR(IF(INDEX('Controle de Entrega'!$I$6:$I$1575,MATCH($A112,'Controle de Entrega'!$K$6:$K$1575,0))=0,"",INDEX('Controle de Entrega'!$I$6:$I$1575,MATCH($A112,'Controle de Entrega'!$K$6:$K$1575,0))),"")</f>
        <v/>
      </c>
      <c r="R112" s="25" t="n">
        <v>16</v>
      </c>
      <c r="S112" s="25" t="str">
        <f aca="false">IFERROR(INDEX('Controle de Entrega'!$A$6:$A$1575,MATCH(R112,'Controle de Entrega'!$L$6:$L$1575,0)),"")</f>
        <v/>
      </c>
      <c r="T112" s="25" t="str">
        <f aca="false">IFERROR(INDEX('Controle de Entrega'!$B$6:$B$1575,MATCH(R112,'Controle de Entrega'!$L$6:$L$1575,0)),"")</f>
        <v/>
      </c>
      <c r="U112" s="26" t="str">
        <f aca="false">IFERROR(INDEX('Controle de Entrega'!$C$6:$C$1575,MATCH(R112,'Controle de Entrega'!$L$6:$L$1575,0)),"")</f>
        <v/>
      </c>
      <c r="V112" s="25" t="str">
        <f aca="false">IFERROR(INDEX('Controle de Entrega'!$D$6:$D$1575,MATCH(R112,'Controle de Entrega'!$L$6:$L$1575,0)),"")</f>
        <v/>
      </c>
      <c r="W112" s="25" t="str">
        <f aca="false">IFERROR(INDEX('Controle de Entrega'!$E$6:$E$1575,MATCH(R112,'Controle de Entrega'!$L$6:$L$1575,0)),"")</f>
        <v/>
      </c>
      <c r="X112" s="25" t="str">
        <f aca="false">IFERROR(INDEX('Controle de Entrega'!$F$6:$F$1575,MATCH(R112,'Controle de Entrega'!$L$6:$L$1575,0)),"")</f>
        <v/>
      </c>
      <c r="Y112" s="27" t="str">
        <f aca="false">IFERROR(INDEX('Controle de Entrega'!$G$6:$G$1575,MATCH(R112,'Controle de Entrega'!$L$6:$L$1575,0)),"")</f>
        <v/>
      </c>
      <c r="Z112" s="25" t="str">
        <f aca="false">IFERROR(IF(INDEX('Controle de Entrega'!$H$6:$H$1575,MATCH(R112,'Controle de Entrega'!$L$6:$L$1575,0))=0,"",INDEX('Controle de Entrega'!$H$6:$H$1575,MATCH(R112,'Controle de Entrega'!$L$6:$L$1575,0))),"")</f>
        <v/>
      </c>
      <c r="AA112" s="26" t="str">
        <f aca="false">IFERROR(IF(INDEX('Controle de Entrega'!$I$6:$I$1575,MATCH(R112,'Controle de Entrega'!$L$6:$L$1575,0))=0,"",INDEX('Controle de Entrega'!$I$6:$I$1575,MATCH(R112,'Controle de Entrega'!$L$6:$L$1575,0))),"")</f>
        <v/>
      </c>
      <c r="AB112" s="31" t="str">
        <f aca="false">IFERROR(IF(MATCH(R112,'Controle de Entrega'!$L$6:$L$1575,0)+5=$AB$3,"● ATUAL",""),"")</f>
        <v/>
      </c>
    </row>
    <row r="113" customFormat="false" ht="15" hidden="false" customHeight="false" outlineLevel="0" collapsed="false">
      <c r="A113" s="25" t="n">
        <v>17</v>
      </c>
      <c r="B113" s="25" t="str">
        <f aca="false">IFERROR(INDEX('Controle de Entrega'!$A$6:$A$1575,MATCH($A113,'Controle de Entrega'!$K$6:$K$1575,0)),"")</f>
        <v/>
      </c>
      <c r="C113" s="25" t="str">
        <f aca="false">IFERROR(INDEX('Controle de Entrega'!$B$6:$B$1575,MATCH($A113,'Controle de Entrega'!$K$6:$K$1575,0)),"")</f>
        <v/>
      </c>
      <c r="D113" s="26" t="str">
        <f aca="false">IFERROR(INDEX('Controle de Entrega'!$C$6:$C$1575,MATCH($A113,'Controle de Entrega'!$K$6:$K$1575,0)),"")</f>
        <v/>
      </c>
      <c r="E113" s="25" t="str">
        <f aca="false">IFERROR(INDEX('Controle de Entrega'!$D$6:$D$1575,MATCH($A113,'Controle de Entrega'!$K$6:$K$1575,0)),"")</f>
        <v/>
      </c>
      <c r="F113" s="25" t="str">
        <f aca="false">IFERROR(INDEX('Controle de Entrega'!$E$6:$E$1575,MATCH($A113,'Controle de Entrega'!$K$6:$K$1575,0)),"")</f>
        <v/>
      </c>
      <c r="G113" s="25" t="str">
        <f aca="false">IFERROR(INDEX('Controle de Entrega'!$F$6:$F$1575,MATCH($A113,'Controle de Entrega'!$K$6:$K$1575,0)),"")</f>
        <v/>
      </c>
      <c r="H113" s="27" t="str">
        <f aca="false">IFERROR(INDEX('Controle de Entrega'!$G$6:$G$1575,MATCH($A113,'Controle de Entrega'!$K$6:$K$1575,0)),"")</f>
        <v/>
      </c>
      <c r="I113" s="25" t="str">
        <f aca="false">IFERROR(IF(INDEX('Controle de Entrega'!$H$6:$H$1575,MATCH($A113,'Controle de Entrega'!$K$6:$K$1575,0))=0,"",INDEX('Controle de Entrega'!$H$6:$H$1575,MATCH($A113,'Controle de Entrega'!$K$6:$K$1575,0))),"")</f>
        <v/>
      </c>
      <c r="J113" s="26" t="str">
        <f aca="false">IFERROR(IF(INDEX('Controle de Entrega'!$I$6:$I$1575,MATCH($A113,'Controle de Entrega'!$K$6:$K$1575,0))=0,"",INDEX('Controle de Entrega'!$I$6:$I$1575,MATCH($A113,'Controle de Entrega'!$K$6:$K$1575,0))),"")</f>
        <v/>
      </c>
      <c r="R113" s="25" t="n">
        <v>17</v>
      </c>
      <c r="S113" s="25" t="str">
        <f aca="false">IFERROR(INDEX('Controle de Entrega'!$A$6:$A$1575,MATCH(R113,'Controle de Entrega'!$L$6:$L$1575,0)),"")</f>
        <v/>
      </c>
      <c r="T113" s="25" t="str">
        <f aca="false">IFERROR(INDEX('Controle de Entrega'!$B$6:$B$1575,MATCH(R113,'Controle de Entrega'!$L$6:$L$1575,0)),"")</f>
        <v/>
      </c>
      <c r="U113" s="26" t="str">
        <f aca="false">IFERROR(INDEX('Controle de Entrega'!$C$6:$C$1575,MATCH(R113,'Controle de Entrega'!$L$6:$L$1575,0)),"")</f>
        <v/>
      </c>
      <c r="V113" s="25" t="str">
        <f aca="false">IFERROR(INDEX('Controle de Entrega'!$D$6:$D$1575,MATCH(R113,'Controle de Entrega'!$L$6:$L$1575,0)),"")</f>
        <v/>
      </c>
      <c r="W113" s="25" t="str">
        <f aca="false">IFERROR(INDEX('Controle de Entrega'!$E$6:$E$1575,MATCH(R113,'Controle de Entrega'!$L$6:$L$1575,0)),"")</f>
        <v/>
      </c>
      <c r="X113" s="25" t="str">
        <f aca="false">IFERROR(INDEX('Controle de Entrega'!$F$6:$F$1575,MATCH(R113,'Controle de Entrega'!$L$6:$L$1575,0)),"")</f>
        <v/>
      </c>
      <c r="Y113" s="27" t="str">
        <f aca="false">IFERROR(INDEX('Controle de Entrega'!$G$6:$G$1575,MATCH(R113,'Controle de Entrega'!$L$6:$L$1575,0)),"")</f>
        <v/>
      </c>
      <c r="Z113" s="25" t="str">
        <f aca="false">IFERROR(IF(INDEX('Controle de Entrega'!$H$6:$H$1575,MATCH(R113,'Controle de Entrega'!$L$6:$L$1575,0))=0,"",INDEX('Controle de Entrega'!$H$6:$H$1575,MATCH(R113,'Controle de Entrega'!$L$6:$L$1575,0))),"")</f>
        <v/>
      </c>
      <c r="AA113" s="26" t="str">
        <f aca="false">IFERROR(IF(INDEX('Controle de Entrega'!$I$6:$I$1575,MATCH(R113,'Controle de Entrega'!$L$6:$L$1575,0))=0,"",INDEX('Controle de Entrega'!$I$6:$I$1575,MATCH(R113,'Controle de Entrega'!$L$6:$L$1575,0))),"")</f>
        <v/>
      </c>
      <c r="AB113" s="31" t="str">
        <f aca="false">IFERROR(IF(MATCH(R113,'Controle de Entrega'!$L$6:$L$1575,0)+5=$AB$3,"● ATUAL",""),"")</f>
        <v/>
      </c>
    </row>
    <row r="114" customFormat="false" ht="15" hidden="false" customHeight="false" outlineLevel="0" collapsed="false">
      <c r="A114" s="25" t="n">
        <v>18</v>
      </c>
      <c r="B114" s="25" t="str">
        <f aca="false">IFERROR(INDEX('Controle de Entrega'!$A$6:$A$1575,MATCH($A114,'Controle de Entrega'!$K$6:$K$1575,0)),"")</f>
        <v/>
      </c>
      <c r="C114" s="25" t="str">
        <f aca="false">IFERROR(INDEX('Controle de Entrega'!$B$6:$B$1575,MATCH($A114,'Controle de Entrega'!$K$6:$K$1575,0)),"")</f>
        <v/>
      </c>
      <c r="D114" s="26" t="str">
        <f aca="false">IFERROR(INDEX('Controle de Entrega'!$C$6:$C$1575,MATCH($A114,'Controle de Entrega'!$K$6:$K$1575,0)),"")</f>
        <v/>
      </c>
      <c r="E114" s="25" t="str">
        <f aca="false">IFERROR(INDEX('Controle de Entrega'!$D$6:$D$1575,MATCH($A114,'Controle de Entrega'!$K$6:$K$1575,0)),"")</f>
        <v/>
      </c>
      <c r="F114" s="25" t="str">
        <f aca="false">IFERROR(INDEX('Controle de Entrega'!$E$6:$E$1575,MATCH($A114,'Controle de Entrega'!$K$6:$K$1575,0)),"")</f>
        <v/>
      </c>
      <c r="G114" s="25" t="str">
        <f aca="false">IFERROR(INDEX('Controle de Entrega'!$F$6:$F$1575,MATCH($A114,'Controle de Entrega'!$K$6:$K$1575,0)),"")</f>
        <v/>
      </c>
      <c r="H114" s="27" t="str">
        <f aca="false">IFERROR(INDEX('Controle de Entrega'!$G$6:$G$1575,MATCH($A114,'Controle de Entrega'!$K$6:$K$1575,0)),"")</f>
        <v/>
      </c>
      <c r="I114" s="25" t="str">
        <f aca="false">IFERROR(IF(INDEX('Controle de Entrega'!$H$6:$H$1575,MATCH($A114,'Controle de Entrega'!$K$6:$K$1575,0))=0,"",INDEX('Controle de Entrega'!$H$6:$H$1575,MATCH($A114,'Controle de Entrega'!$K$6:$K$1575,0))),"")</f>
        <v/>
      </c>
      <c r="J114" s="26" t="str">
        <f aca="false">IFERROR(IF(INDEX('Controle de Entrega'!$I$6:$I$1575,MATCH($A114,'Controle de Entrega'!$K$6:$K$1575,0))=0,"",INDEX('Controle de Entrega'!$I$6:$I$1575,MATCH($A114,'Controle de Entrega'!$K$6:$K$1575,0))),"")</f>
        <v/>
      </c>
      <c r="R114" s="25" t="n">
        <v>18</v>
      </c>
      <c r="S114" s="25" t="str">
        <f aca="false">IFERROR(INDEX('Controle de Entrega'!$A$6:$A$1575,MATCH(R114,'Controle de Entrega'!$L$6:$L$1575,0)),"")</f>
        <v/>
      </c>
      <c r="T114" s="25" t="str">
        <f aca="false">IFERROR(INDEX('Controle de Entrega'!$B$6:$B$1575,MATCH(R114,'Controle de Entrega'!$L$6:$L$1575,0)),"")</f>
        <v/>
      </c>
      <c r="U114" s="26" t="str">
        <f aca="false">IFERROR(INDEX('Controle de Entrega'!$C$6:$C$1575,MATCH(R114,'Controle de Entrega'!$L$6:$L$1575,0)),"")</f>
        <v/>
      </c>
      <c r="V114" s="25" t="str">
        <f aca="false">IFERROR(INDEX('Controle de Entrega'!$D$6:$D$1575,MATCH(R114,'Controle de Entrega'!$L$6:$L$1575,0)),"")</f>
        <v/>
      </c>
      <c r="W114" s="25" t="str">
        <f aca="false">IFERROR(INDEX('Controle de Entrega'!$E$6:$E$1575,MATCH(R114,'Controle de Entrega'!$L$6:$L$1575,0)),"")</f>
        <v/>
      </c>
      <c r="X114" s="25" t="str">
        <f aca="false">IFERROR(INDEX('Controle de Entrega'!$F$6:$F$1575,MATCH(R114,'Controle de Entrega'!$L$6:$L$1575,0)),"")</f>
        <v/>
      </c>
      <c r="Y114" s="27" t="str">
        <f aca="false">IFERROR(INDEX('Controle de Entrega'!$G$6:$G$1575,MATCH(R114,'Controle de Entrega'!$L$6:$L$1575,0)),"")</f>
        <v/>
      </c>
      <c r="Z114" s="25" t="str">
        <f aca="false">IFERROR(IF(INDEX('Controle de Entrega'!$H$6:$H$1575,MATCH(R114,'Controle de Entrega'!$L$6:$L$1575,0))=0,"",INDEX('Controle de Entrega'!$H$6:$H$1575,MATCH(R114,'Controle de Entrega'!$L$6:$L$1575,0))),"")</f>
        <v/>
      </c>
      <c r="AA114" s="26" t="str">
        <f aca="false">IFERROR(IF(INDEX('Controle de Entrega'!$I$6:$I$1575,MATCH(R114,'Controle de Entrega'!$L$6:$L$1575,0))=0,"",INDEX('Controle de Entrega'!$I$6:$I$1575,MATCH(R114,'Controle de Entrega'!$L$6:$L$1575,0))),"")</f>
        <v/>
      </c>
      <c r="AB114" s="31" t="str">
        <f aca="false">IFERROR(IF(MATCH(R114,'Controle de Entrega'!$L$6:$L$1575,0)+5=$AB$3,"● ATUAL",""),"")</f>
        <v/>
      </c>
    </row>
    <row r="115" customFormat="false" ht="15" hidden="false" customHeight="false" outlineLevel="0" collapsed="false">
      <c r="A115" s="25" t="n">
        <v>19</v>
      </c>
      <c r="B115" s="25" t="str">
        <f aca="false">IFERROR(INDEX('Controle de Entrega'!$A$6:$A$1575,MATCH($A115,'Controle de Entrega'!$K$6:$K$1575,0)),"")</f>
        <v/>
      </c>
      <c r="C115" s="25" t="str">
        <f aca="false">IFERROR(INDEX('Controle de Entrega'!$B$6:$B$1575,MATCH($A115,'Controle de Entrega'!$K$6:$K$1575,0)),"")</f>
        <v/>
      </c>
      <c r="D115" s="26" t="str">
        <f aca="false">IFERROR(INDEX('Controle de Entrega'!$C$6:$C$1575,MATCH($A115,'Controle de Entrega'!$K$6:$K$1575,0)),"")</f>
        <v/>
      </c>
      <c r="E115" s="25" t="str">
        <f aca="false">IFERROR(INDEX('Controle de Entrega'!$D$6:$D$1575,MATCH($A115,'Controle de Entrega'!$K$6:$K$1575,0)),"")</f>
        <v/>
      </c>
      <c r="F115" s="25" t="str">
        <f aca="false">IFERROR(INDEX('Controle de Entrega'!$E$6:$E$1575,MATCH($A115,'Controle de Entrega'!$K$6:$K$1575,0)),"")</f>
        <v/>
      </c>
      <c r="G115" s="25" t="str">
        <f aca="false">IFERROR(INDEX('Controle de Entrega'!$F$6:$F$1575,MATCH($A115,'Controle de Entrega'!$K$6:$K$1575,0)),"")</f>
        <v/>
      </c>
      <c r="H115" s="27" t="str">
        <f aca="false">IFERROR(INDEX('Controle de Entrega'!$G$6:$G$1575,MATCH($A115,'Controle de Entrega'!$K$6:$K$1575,0)),"")</f>
        <v/>
      </c>
      <c r="I115" s="25" t="str">
        <f aca="false">IFERROR(IF(INDEX('Controle de Entrega'!$H$6:$H$1575,MATCH($A115,'Controle de Entrega'!$K$6:$K$1575,0))=0,"",INDEX('Controle de Entrega'!$H$6:$H$1575,MATCH($A115,'Controle de Entrega'!$K$6:$K$1575,0))),"")</f>
        <v/>
      </c>
      <c r="J115" s="26" t="str">
        <f aca="false">IFERROR(IF(INDEX('Controle de Entrega'!$I$6:$I$1575,MATCH($A115,'Controle de Entrega'!$K$6:$K$1575,0))=0,"",INDEX('Controle de Entrega'!$I$6:$I$1575,MATCH($A115,'Controle de Entrega'!$K$6:$K$1575,0))),"")</f>
        <v/>
      </c>
      <c r="R115" s="25" t="n">
        <v>19</v>
      </c>
      <c r="S115" s="25" t="str">
        <f aca="false">IFERROR(INDEX('Controle de Entrega'!$A$6:$A$1575,MATCH(R115,'Controle de Entrega'!$L$6:$L$1575,0)),"")</f>
        <v/>
      </c>
      <c r="T115" s="25" t="str">
        <f aca="false">IFERROR(INDEX('Controle de Entrega'!$B$6:$B$1575,MATCH(R115,'Controle de Entrega'!$L$6:$L$1575,0)),"")</f>
        <v/>
      </c>
      <c r="U115" s="26" t="str">
        <f aca="false">IFERROR(INDEX('Controle de Entrega'!$C$6:$C$1575,MATCH(R115,'Controle de Entrega'!$L$6:$L$1575,0)),"")</f>
        <v/>
      </c>
      <c r="V115" s="25" t="str">
        <f aca="false">IFERROR(INDEX('Controle de Entrega'!$D$6:$D$1575,MATCH(R115,'Controle de Entrega'!$L$6:$L$1575,0)),"")</f>
        <v/>
      </c>
      <c r="W115" s="25" t="str">
        <f aca="false">IFERROR(INDEX('Controle de Entrega'!$E$6:$E$1575,MATCH(R115,'Controle de Entrega'!$L$6:$L$1575,0)),"")</f>
        <v/>
      </c>
      <c r="X115" s="25" t="str">
        <f aca="false">IFERROR(INDEX('Controle de Entrega'!$F$6:$F$1575,MATCH(R115,'Controle de Entrega'!$L$6:$L$1575,0)),"")</f>
        <v/>
      </c>
      <c r="Y115" s="27" t="str">
        <f aca="false">IFERROR(INDEX('Controle de Entrega'!$G$6:$G$1575,MATCH(R115,'Controle de Entrega'!$L$6:$L$1575,0)),"")</f>
        <v/>
      </c>
      <c r="Z115" s="25" t="str">
        <f aca="false">IFERROR(IF(INDEX('Controle de Entrega'!$H$6:$H$1575,MATCH(R115,'Controle de Entrega'!$L$6:$L$1575,0))=0,"",INDEX('Controle de Entrega'!$H$6:$H$1575,MATCH(R115,'Controle de Entrega'!$L$6:$L$1575,0))),"")</f>
        <v/>
      </c>
      <c r="AA115" s="26" t="str">
        <f aca="false">IFERROR(IF(INDEX('Controle de Entrega'!$I$6:$I$1575,MATCH(R115,'Controle de Entrega'!$L$6:$L$1575,0))=0,"",INDEX('Controle de Entrega'!$I$6:$I$1575,MATCH(R115,'Controle de Entrega'!$L$6:$L$1575,0))),"")</f>
        <v/>
      </c>
      <c r="AB115" s="31" t="str">
        <f aca="false">IFERROR(IF(MATCH(R115,'Controle de Entrega'!$L$6:$L$1575,0)+5=$AB$3,"● ATUAL",""),"")</f>
        <v/>
      </c>
    </row>
    <row r="116" customFormat="false" ht="15" hidden="false" customHeight="false" outlineLevel="0" collapsed="false">
      <c r="A116" s="25" t="n">
        <v>20</v>
      </c>
      <c r="B116" s="25" t="str">
        <f aca="false">IFERROR(INDEX('Controle de Entrega'!$A$6:$A$1575,MATCH($A116,'Controle de Entrega'!$K$6:$K$1575,0)),"")</f>
        <v/>
      </c>
      <c r="C116" s="25" t="str">
        <f aca="false">IFERROR(INDEX('Controle de Entrega'!$B$6:$B$1575,MATCH($A116,'Controle de Entrega'!$K$6:$K$1575,0)),"")</f>
        <v/>
      </c>
      <c r="D116" s="26" t="str">
        <f aca="false">IFERROR(INDEX('Controle de Entrega'!$C$6:$C$1575,MATCH($A116,'Controle de Entrega'!$K$6:$K$1575,0)),"")</f>
        <v/>
      </c>
      <c r="E116" s="25" t="str">
        <f aca="false">IFERROR(INDEX('Controle de Entrega'!$D$6:$D$1575,MATCH($A116,'Controle de Entrega'!$K$6:$K$1575,0)),"")</f>
        <v/>
      </c>
      <c r="F116" s="25" t="str">
        <f aca="false">IFERROR(INDEX('Controle de Entrega'!$E$6:$E$1575,MATCH($A116,'Controle de Entrega'!$K$6:$K$1575,0)),"")</f>
        <v/>
      </c>
      <c r="G116" s="25" t="str">
        <f aca="false">IFERROR(INDEX('Controle de Entrega'!$F$6:$F$1575,MATCH($A116,'Controle de Entrega'!$K$6:$K$1575,0)),"")</f>
        <v/>
      </c>
      <c r="H116" s="27" t="str">
        <f aca="false">IFERROR(INDEX('Controle de Entrega'!$G$6:$G$1575,MATCH($A116,'Controle de Entrega'!$K$6:$K$1575,0)),"")</f>
        <v/>
      </c>
      <c r="I116" s="25" t="str">
        <f aca="false">IFERROR(IF(INDEX('Controle de Entrega'!$H$6:$H$1575,MATCH($A116,'Controle de Entrega'!$K$6:$K$1575,0))=0,"",INDEX('Controle de Entrega'!$H$6:$H$1575,MATCH($A116,'Controle de Entrega'!$K$6:$K$1575,0))),"")</f>
        <v/>
      </c>
      <c r="J116" s="26" t="str">
        <f aca="false">IFERROR(IF(INDEX('Controle de Entrega'!$I$6:$I$1575,MATCH($A116,'Controle de Entrega'!$K$6:$K$1575,0))=0,"",INDEX('Controle de Entrega'!$I$6:$I$1575,MATCH($A116,'Controle de Entrega'!$K$6:$K$1575,0))),"")</f>
        <v/>
      </c>
      <c r="R116" s="25" t="n">
        <v>20</v>
      </c>
      <c r="S116" s="25" t="str">
        <f aca="false">IFERROR(INDEX('Controle de Entrega'!$A$6:$A$1575,MATCH(R116,'Controle de Entrega'!$L$6:$L$1575,0)),"")</f>
        <v/>
      </c>
      <c r="T116" s="25" t="str">
        <f aca="false">IFERROR(INDEX('Controle de Entrega'!$B$6:$B$1575,MATCH(R116,'Controle de Entrega'!$L$6:$L$1575,0)),"")</f>
        <v/>
      </c>
      <c r="U116" s="26" t="str">
        <f aca="false">IFERROR(INDEX('Controle de Entrega'!$C$6:$C$1575,MATCH(R116,'Controle de Entrega'!$L$6:$L$1575,0)),"")</f>
        <v/>
      </c>
      <c r="V116" s="25" t="str">
        <f aca="false">IFERROR(INDEX('Controle de Entrega'!$D$6:$D$1575,MATCH(R116,'Controle de Entrega'!$L$6:$L$1575,0)),"")</f>
        <v/>
      </c>
      <c r="W116" s="25" t="str">
        <f aca="false">IFERROR(INDEX('Controle de Entrega'!$E$6:$E$1575,MATCH(R116,'Controle de Entrega'!$L$6:$L$1575,0)),"")</f>
        <v/>
      </c>
      <c r="X116" s="25" t="str">
        <f aca="false">IFERROR(INDEX('Controle de Entrega'!$F$6:$F$1575,MATCH(R116,'Controle de Entrega'!$L$6:$L$1575,0)),"")</f>
        <v/>
      </c>
      <c r="Y116" s="27" t="str">
        <f aca="false">IFERROR(INDEX('Controle de Entrega'!$G$6:$G$1575,MATCH(R116,'Controle de Entrega'!$L$6:$L$1575,0)),"")</f>
        <v/>
      </c>
      <c r="Z116" s="25" t="str">
        <f aca="false">IFERROR(IF(INDEX('Controle de Entrega'!$H$6:$H$1575,MATCH(R116,'Controle de Entrega'!$L$6:$L$1575,0))=0,"",INDEX('Controle de Entrega'!$H$6:$H$1575,MATCH(R116,'Controle de Entrega'!$L$6:$L$1575,0))),"")</f>
        <v/>
      </c>
      <c r="AA116" s="26" t="str">
        <f aca="false">IFERROR(IF(INDEX('Controle de Entrega'!$I$6:$I$1575,MATCH(R116,'Controle de Entrega'!$L$6:$L$1575,0))=0,"",INDEX('Controle de Entrega'!$I$6:$I$1575,MATCH(R116,'Controle de Entrega'!$L$6:$L$1575,0))),"")</f>
        <v/>
      </c>
      <c r="AB116" s="31" t="str">
        <f aca="false">IFERROR(IF(MATCH(R116,'Controle de Entrega'!$L$6:$L$1575,0)+5=$AB$3,"● ATUAL",""),"")</f>
        <v/>
      </c>
    </row>
    <row r="117" customFormat="false" ht="15" hidden="false" customHeight="false" outlineLevel="0" collapsed="false">
      <c r="A117" s="25" t="n">
        <v>21</v>
      </c>
      <c r="B117" s="25" t="str">
        <f aca="false">IFERROR(INDEX('Controle de Entrega'!$A$6:$A$1575,MATCH($A117,'Controle de Entrega'!$K$6:$K$1575,0)),"")</f>
        <v/>
      </c>
      <c r="C117" s="25" t="str">
        <f aca="false">IFERROR(INDEX('Controle de Entrega'!$B$6:$B$1575,MATCH($A117,'Controle de Entrega'!$K$6:$K$1575,0)),"")</f>
        <v/>
      </c>
      <c r="D117" s="26" t="str">
        <f aca="false">IFERROR(INDEX('Controle de Entrega'!$C$6:$C$1575,MATCH($A117,'Controle de Entrega'!$K$6:$K$1575,0)),"")</f>
        <v/>
      </c>
      <c r="E117" s="25" t="str">
        <f aca="false">IFERROR(INDEX('Controle de Entrega'!$D$6:$D$1575,MATCH($A117,'Controle de Entrega'!$K$6:$K$1575,0)),"")</f>
        <v/>
      </c>
      <c r="F117" s="25" t="str">
        <f aca="false">IFERROR(INDEX('Controle de Entrega'!$E$6:$E$1575,MATCH($A117,'Controle de Entrega'!$K$6:$K$1575,0)),"")</f>
        <v/>
      </c>
      <c r="G117" s="25" t="str">
        <f aca="false">IFERROR(INDEX('Controle de Entrega'!$F$6:$F$1575,MATCH($A117,'Controle de Entrega'!$K$6:$K$1575,0)),"")</f>
        <v/>
      </c>
      <c r="H117" s="27" t="str">
        <f aca="false">IFERROR(INDEX('Controle de Entrega'!$G$6:$G$1575,MATCH($A117,'Controle de Entrega'!$K$6:$K$1575,0)),"")</f>
        <v/>
      </c>
      <c r="I117" s="25" t="str">
        <f aca="false">IFERROR(IF(INDEX('Controle de Entrega'!$H$6:$H$1575,MATCH($A117,'Controle de Entrega'!$K$6:$K$1575,0))=0,"",INDEX('Controle de Entrega'!$H$6:$H$1575,MATCH($A117,'Controle de Entrega'!$K$6:$K$1575,0))),"")</f>
        <v/>
      </c>
      <c r="J117" s="26" t="str">
        <f aca="false">IFERROR(IF(INDEX('Controle de Entrega'!$I$6:$I$1575,MATCH($A117,'Controle de Entrega'!$K$6:$K$1575,0))=0,"",INDEX('Controle de Entrega'!$I$6:$I$1575,MATCH($A117,'Controle de Entrega'!$K$6:$K$1575,0))),"")</f>
        <v/>
      </c>
    </row>
    <row r="118" customFormat="false" ht="15" hidden="false" customHeight="false" outlineLevel="0" collapsed="false">
      <c r="A118" s="25" t="n">
        <v>22</v>
      </c>
      <c r="B118" s="25" t="str">
        <f aca="false">IFERROR(INDEX('Controle de Entrega'!$A$6:$A$1575,MATCH($A118,'Controle de Entrega'!$K$6:$K$1575,0)),"")</f>
        <v/>
      </c>
      <c r="C118" s="25" t="str">
        <f aca="false">IFERROR(INDEX('Controle de Entrega'!$B$6:$B$1575,MATCH($A118,'Controle de Entrega'!$K$6:$K$1575,0)),"")</f>
        <v/>
      </c>
      <c r="D118" s="26" t="str">
        <f aca="false">IFERROR(INDEX('Controle de Entrega'!$C$6:$C$1575,MATCH($A118,'Controle de Entrega'!$K$6:$K$1575,0)),"")</f>
        <v/>
      </c>
      <c r="E118" s="25" t="str">
        <f aca="false">IFERROR(INDEX('Controle de Entrega'!$D$6:$D$1575,MATCH($A118,'Controle de Entrega'!$K$6:$K$1575,0)),"")</f>
        <v/>
      </c>
      <c r="F118" s="25" t="str">
        <f aca="false">IFERROR(INDEX('Controle de Entrega'!$E$6:$E$1575,MATCH($A118,'Controle de Entrega'!$K$6:$K$1575,0)),"")</f>
        <v/>
      </c>
      <c r="G118" s="25" t="str">
        <f aca="false">IFERROR(INDEX('Controle de Entrega'!$F$6:$F$1575,MATCH($A118,'Controle de Entrega'!$K$6:$K$1575,0)),"")</f>
        <v/>
      </c>
      <c r="H118" s="27" t="str">
        <f aca="false">IFERROR(INDEX('Controle de Entrega'!$G$6:$G$1575,MATCH($A118,'Controle de Entrega'!$K$6:$K$1575,0)),"")</f>
        <v/>
      </c>
      <c r="I118" s="25" t="str">
        <f aca="false">IFERROR(IF(INDEX('Controle de Entrega'!$H$6:$H$1575,MATCH($A118,'Controle de Entrega'!$K$6:$K$1575,0))=0,"",INDEX('Controle de Entrega'!$H$6:$H$1575,MATCH($A118,'Controle de Entrega'!$K$6:$K$1575,0))),"")</f>
        <v/>
      </c>
      <c r="J118" s="26" t="str">
        <f aca="false">IFERROR(IF(INDEX('Controle de Entrega'!$I$6:$I$1575,MATCH($A118,'Controle de Entrega'!$K$6:$K$1575,0))=0,"",INDEX('Controle de Entrega'!$I$6:$I$1575,MATCH($A118,'Controle de Entrega'!$K$6:$K$1575,0))),"")</f>
        <v/>
      </c>
    </row>
    <row r="119" customFormat="false" ht="15" hidden="false" customHeight="false" outlineLevel="0" collapsed="false">
      <c r="A119" s="25" t="n">
        <v>23</v>
      </c>
      <c r="B119" s="25" t="str">
        <f aca="false">IFERROR(INDEX('Controle de Entrega'!$A$6:$A$1575,MATCH($A119,'Controle de Entrega'!$K$6:$K$1575,0)),"")</f>
        <v/>
      </c>
      <c r="C119" s="25" t="str">
        <f aca="false">IFERROR(INDEX('Controle de Entrega'!$B$6:$B$1575,MATCH($A119,'Controle de Entrega'!$K$6:$K$1575,0)),"")</f>
        <v/>
      </c>
      <c r="D119" s="26" t="str">
        <f aca="false">IFERROR(INDEX('Controle de Entrega'!$C$6:$C$1575,MATCH($A119,'Controle de Entrega'!$K$6:$K$1575,0)),"")</f>
        <v/>
      </c>
      <c r="E119" s="25" t="str">
        <f aca="false">IFERROR(INDEX('Controle de Entrega'!$D$6:$D$1575,MATCH($A119,'Controle de Entrega'!$K$6:$K$1575,0)),"")</f>
        <v/>
      </c>
      <c r="F119" s="25" t="str">
        <f aca="false">IFERROR(INDEX('Controle de Entrega'!$E$6:$E$1575,MATCH($A119,'Controle de Entrega'!$K$6:$K$1575,0)),"")</f>
        <v/>
      </c>
      <c r="G119" s="25" t="str">
        <f aca="false">IFERROR(INDEX('Controle de Entrega'!$F$6:$F$1575,MATCH($A119,'Controle de Entrega'!$K$6:$K$1575,0)),"")</f>
        <v/>
      </c>
      <c r="H119" s="27" t="str">
        <f aca="false">IFERROR(INDEX('Controle de Entrega'!$G$6:$G$1575,MATCH($A119,'Controle de Entrega'!$K$6:$K$1575,0)),"")</f>
        <v/>
      </c>
      <c r="I119" s="25" t="str">
        <f aca="false">IFERROR(IF(INDEX('Controle de Entrega'!$H$6:$H$1575,MATCH($A119,'Controle de Entrega'!$K$6:$K$1575,0))=0,"",INDEX('Controle de Entrega'!$H$6:$H$1575,MATCH($A119,'Controle de Entrega'!$K$6:$K$1575,0))),"")</f>
        <v/>
      </c>
      <c r="J119" s="26" t="str">
        <f aca="false">IFERROR(IF(INDEX('Controle de Entrega'!$I$6:$I$1575,MATCH($A119,'Controle de Entrega'!$K$6:$K$1575,0))=0,"",INDEX('Controle de Entrega'!$I$6:$I$1575,MATCH($A119,'Controle de Entrega'!$K$6:$K$1575,0))),"")</f>
        <v/>
      </c>
    </row>
    <row r="120" customFormat="false" ht="15" hidden="false" customHeight="false" outlineLevel="0" collapsed="false">
      <c r="A120" s="25" t="n">
        <v>24</v>
      </c>
      <c r="B120" s="25" t="str">
        <f aca="false">IFERROR(INDEX('Controle de Entrega'!$A$6:$A$1575,MATCH($A120,'Controle de Entrega'!$K$6:$K$1575,0)),"")</f>
        <v/>
      </c>
      <c r="C120" s="25" t="str">
        <f aca="false">IFERROR(INDEX('Controle de Entrega'!$B$6:$B$1575,MATCH($A120,'Controle de Entrega'!$K$6:$K$1575,0)),"")</f>
        <v/>
      </c>
      <c r="D120" s="26" t="str">
        <f aca="false">IFERROR(INDEX('Controle de Entrega'!$C$6:$C$1575,MATCH($A120,'Controle de Entrega'!$K$6:$K$1575,0)),"")</f>
        <v/>
      </c>
      <c r="E120" s="25" t="str">
        <f aca="false">IFERROR(INDEX('Controle de Entrega'!$D$6:$D$1575,MATCH($A120,'Controle de Entrega'!$K$6:$K$1575,0)),"")</f>
        <v/>
      </c>
      <c r="F120" s="25" t="str">
        <f aca="false">IFERROR(INDEX('Controle de Entrega'!$E$6:$E$1575,MATCH($A120,'Controle de Entrega'!$K$6:$K$1575,0)),"")</f>
        <v/>
      </c>
      <c r="G120" s="25" t="str">
        <f aca="false">IFERROR(INDEX('Controle de Entrega'!$F$6:$F$1575,MATCH($A120,'Controle de Entrega'!$K$6:$K$1575,0)),"")</f>
        <v/>
      </c>
      <c r="H120" s="27" t="str">
        <f aca="false">IFERROR(INDEX('Controle de Entrega'!$G$6:$G$1575,MATCH($A120,'Controle de Entrega'!$K$6:$K$1575,0)),"")</f>
        <v/>
      </c>
      <c r="I120" s="25" t="str">
        <f aca="false">IFERROR(IF(INDEX('Controle de Entrega'!$H$6:$H$1575,MATCH($A120,'Controle de Entrega'!$K$6:$K$1575,0))=0,"",INDEX('Controle de Entrega'!$H$6:$H$1575,MATCH($A120,'Controle de Entrega'!$K$6:$K$1575,0))),"")</f>
        <v/>
      </c>
      <c r="J120" s="26" t="str">
        <f aca="false">IFERROR(IF(INDEX('Controle de Entrega'!$I$6:$I$1575,MATCH($A120,'Controle de Entrega'!$K$6:$K$1575,0))=0,"",INDEX('Controle de Entrega'!$I$6:$I$1575,MATCH($A120,'Controle de Entrega'!$K$6:$K$1575,0))),"")</f>
        <v/>
      </c>
    </row>
    <row r="121" customFormat="false" ht="15" hidden="false" customHeight="false" outlineLevel="0" collapsed="false">
      <c r="A121" s="25" t="n">
        <v>25</v>
      </c>
      <c r="B121" s="25" t="str">
        <f aca="false">IFERROR(INDEX('Controle de Entrega'!$A$6:$A$1575,MATCH($A121,'Controle de Entrega'!$K$6:$K$1575,0)),"")</f>
        <v/>
      </c>
      <c r="C121" s="25" t="str">
        <f aca="false">IFERROR(INDEX('Controle de Entrega'!$B$6:$B$1575,MATCH($A121,'Controle de Entrega'!$K$6:$K$1575,0)),"")</f>
        <v/>
      </c>
      <c r="D121" s="26" t="str">
        <f aca="false">IFERROR(INDEX('Controle de Entrega'!$C$6:$C$1575,MATCH($A121,'Controle de Entrega'!$K$6:$K$1575,0)),"")</f>
        <v/>
      </c>
      <c r="E121" s="25" t="str">
        <f aca="false">IFERROR(INDEX('Controle de Entrega'!$D$6:$D$1575,MATCH($A121,'Controle de Entrega'!$K$6:$K$1575,0)),"")</f>
        <v/>
      </c>
      <c r="F121" s="25" t="str">
        <f aca="false">IFERROR(INDEX('Controle de Entrega'!$E$6:$E$1575,MATCH($A121,'Controle de Entrega'!$K$6:$K$1575,0)),"")</f>
        <v/>
      </c>
      <c r="G121" s="25" t="str">
        <f aca="false">IFERROR(INDEX('Controle de Entrega'!$F$6:$F$1575,MATCH($A121,'Controle de Entrega'!$K$6:$K$1575,0)),"")</f>
        <v/>
      </c>
      <c r="H121" s="27" t="str">
        <f aca="false">IFERROR(INDEX('Controle de Entrega'!$G$6:$G$1575,MATCH($A121,'Controle de Entrega'!$K$6:$K$1575,0)),"")</f>
        <v/>
      </c>
      <c r="I121" s="25" t="str">
        <f aca="false">IFERROR(IF(INDEX('Controle de Entrega'!$H$6:$H$1575,MATCH($A121,'Controle de Entrega'!$K$6:$K$1575,0))=0,"",INDEX('Controle de Entrega'!$H$6:$H$1575,MATCH($A121,'Controle de Entrega'!$K$6:$K$1575,0))),"")</f>
        <v/>
      </c>
      <c r="J121" s="26" t="str">
        <f aca="false">IFERROR(IF(INDEX('Controle de Entrega'!$I$6:$I$1575,MATCH($A121,'Controle de Entrega'!$K$6:$K$1575,0))=0,"",INDEX('Controle de Entrega'!$I$6:$I$1575,MATCH($A121,'Controle de Entrega'!$K$6:$K$1575,0))),"")</f>
        <v/>
      </c>
    </row>
    <row r="122" customFormat="false" ht="15" hidden="false" customHeight="false" outlineLevel="0" collapsed="false">
      <c r="A122" s="25" t="n">
        <v>26</v>
      </c>
      <c r="B122" s="25" t="str">
        <f aca="false">IFERROR(INDEX('Controle de Entrega'!$A$6:$A$1575,MATCH($A122,'Controle de Entrega'!$K$6:$K$1575,0)),"")</f>
        <v/>
      </c>
      <c r="C122" s="25" t="str">
        <f aca="false">IFERROR(INDEX('Controle de Entrega'!$B$6:$B$1575,MATCH($A122,'Controle de Entrega'!$K$6:$K$1575,0)),"")</f>
        <v/>
      </c>
      <c r="D122" s="26" t="str">
        <f aca="false">IFERROR(INDEX('Controle de Entrega'!$C$6:$C$1575,MATCH($A122,'Controle de Entrega'!$K$6:$K$1575,0)),"")</f>
        <v/>
      </c>
      <c r="E122" s="25" t="str">
        <f aca="false">IFERROR(INDEX('Controle de Entrega'!$D$6:$D$1575,MATCH($A122,'Controle de Entrega'!$K$6:$K$1575,0)),"")</f>
        <v/>
      </c>
      <c r="F122" s="25" t="str">
        <f aca="false">IFERROR(INDEX('Controle de Entrega'!$E$6:$E$1575,MATCH($A122,'Controle de Entrega'!$K$6:$K$1575,0)),"")</f>
        <v/>
      </c>
      <c r="G122" s="25" t="str">
        <f aca="false">IFERROR(INDEX('Controle de Entrega'!$F$6:$F$1575,MATCH($A122,'Controle de Entrega'!$K$6:$K$1575,0)),"")</f>
        <v/>
      </c>
      <c r="H122" s="27" t="str">
        <f aca="false">IFERROR(INDEX('Controle de Entrega'!$G$6:$G$1575,MATCH($A122,'Controle de Entrega'!$K$6:$K$1575,0)),"")</f>
        <v/>
      </c>
      <c r="I122" s="25" t="str">
        <f aca="false">IFERROR(IF(INDEX('Controle de Entrega'!$H$6:$H$1575,MATCH($A122,'Controle de Entrega'!$K$6:$K$1575,0))=0,"",INDEX('Controle de Entrega'!$H$6:$H$1575,MATCH($A122,'Controle de Entrega'!$K$6:$K$1575,0))),"")</f>
        <v/>
      </c>
      <c r="J122" s="26" t="str">
        <f aca="false">IFERROR(IF(INDEX('Controle de Entrega'!$I$6:$I$1575,MATCH($A122,'Controle de Entrega'!$K$6:$K$1575,0))=0,"",INDEX('Controle de Entrega'!$I$6:$I$1575,MATCH($A122,'Controle de Entrega'!$K$6:$K$1575,0))),"")</f>
        <v/>
      </c>
    </row>
    <row r="123" customFormat="false" ht="15" hidden="false" customHeight="false" outlineLevel="0" collapsed="false">
      <c r="A123" s="25" t="n">
        <v>27</v>
      </c>
      <c r="B123" s="25" t="str">
        <f aca="false">IFERROR(INDEX('Controle de Entrega'!$A$6:$A$1575,MATCH($A123,'Controle de Entrega'!$K$6:$K$1575,0)),"")</f>
        <v/>
      </c>
      <c r="C123" s="25" t="str">
        <f aca="false">IFERROR(INDEX('Controle de Entrega'!$B$6:$B$1575,MATCH($A123,'Controle de Entrega'!$K$6:$K$1575,0)),"")</f>
        <v/>
      </c>
      <c r="D123" s="26" t="str">
        <f aca="false">IFERROR(INDEX('Controle de Entrega'!$C$6:$C$1575,MATCH($A123,'Controle de Entrega'!$K$6:$K$1575,0)),"")</f>
        <v/>
      </c>
      <c r="E123" s="25" t="str">
        <f aca="false">IFERROR(INDEX('Controle de Entrega'!$D$6:$D$1575,MATCH($A123,'Controle de Entrega'!$K$6:$K$1575,0)),"")</f>
        <v/>
      </c>
      <c r="F123" s="25" t="str">
        <f aca="false">IFERROR(INDEX('Controle de Entrega'!$E$6:$E$1575,MATCH($A123,'Controle de Entrega'!$K$6:$K$1575,0)),"")</f>
        <v/>
      </c>
      <c r="G123" s="25" t="str">
        <f aca="false">IFERROR(INDEX('Controle de Entrega'!$F$6:$F$1575,MATCH($A123,'Controle de Entrega'!$K$6:$K$1575,0)),"")</f>
        <v/>
      </c>
      <c r="H123" s="27" t="str">
        <f aca="false">IFERROR(INDEX('Controle de Entrega'!$G$6:$G$1575,MATCH($A123,'Controle de Entrega'!$K$6:$K$1575,0)),"")</f>
        <v/>
      </c>
      <c r="I123" s="25" t="str">
        <f aca="false">IFERROR(IF(INDEX('Controle de Entrega'!$H$6:$H$1575,MATCH($A123,'Controle de Entrega'!$K$6:$K$1575,0))=0,"",INDEX('Controle de Entrega'!$H$6:$H$1575,MATCH($A123,'Controle de Entrega'!$K$6:$K$1575,0))),"")</f>
        <v/>
      </c>
      <c r="J123" s="26" t="str">
        <f aca="false">IFERROR(IF(INDEX('Controle de Entrega'!$I$6:$I$1575,MATCH($A123,'Controle de Entrega'!$K$6:$K$1575,0))=0,"",INDEX('Controle de Entrega'!$I$6:$I$1575,MATCH($A123,'Controle de Entrega'!$K$6:$K$1575,0))),"")</f>
        <v/>
      </c>
    </row>
    <row r="124" customFormat="false" ht="15" hidden="false" customHeight="false" outlineLevel="0" collapsed="false">
      <c r="A124" s="25" t="n">
        <v>28</v>
      </c>
      <c r="B124" s="25" t="str">
        <f aca="false">IFERROR(INDEX('Controle de Entrega'!$A$6:$A$1575,MATCH($A124,'Controle de Entrega'!$K$6:$K$1575,0)),"")</f>
        <v/>
      </c>
      <c r="C124" s="25" t="str">
        <f aca="false">IFERROR(INDEX('Controle de Entrega'!$B$6:$B$1575,MATCH($A124,'Controle de Entrega'!$K$6:$K$1575,0)),"")</f>
        <v/>
      </c>
      <c r="D124" s="26" t="str">
        <f aca="false">IFERROR(INDEX('Controle de Entrega'!$C$6:$C$1575,MATCH($A124,'Controle de Entrega'!$K$6:$K$1575,0)),"")</f>
        <v/>
      </c>
      <c r="E124" s="25" t="str">
        <f aca="false">IFERROR(INDEX('Controle de Entrega'!$D$6:$D$1575,MATCH($A124,'Controle de Entrega'!$K$6:$K$1575,0)),"")</f>
        <v/>
      </c>
      <c r="F124" s="25" t="str">
        <f aca="false">IFERROR(INDEX('Controle de Entrega'!$E$6:$E$1575,MATCH($A124,'Controle de Entrega'!$K$6:$K$1575,0)),"")</f>
        <v/>
      </c>
      <c r="G124" s="25" t="str">
        <f aca="false">IFERROR(INDEX('Controle de Entrega'!$F$6:$F$1575,MATCH($A124,'Controle de Entrega'!$K$6:$K$1575,0)),"")</f>
        <v/>
      </c>
      <c r="H124" s="27" t="str">
        <f aca="false">IFERROR(INDEX('Controle de Entrega'!$G$6:$G$1575,MATCH($A124,'Controle de Entrega'!$K$6:$K$1575,0)),"")</f>
        <v/>
      </c>
      <c r="I124" s="25" t="str">
        <f aca="false">IFERROR(IF(INDEX('Controle de Entrega'!$H$6:$H$1575,MATCH($A124,'Controle de Entrega'!$K$6:$K$1575,0))=0,"",INDEX('Controle de Entrega'!$H$6:$H$1575,MATCH($A124,'Controle de Entrega'!$K$6:$K$1575,0))),"")</f>
        <v/>
      </c>
      <c r="J124" s="26" t="str">
        <f aca="false">IFERROR(IF(INDEX('Controle de Entrega'!$I$6:$I$1575,MATCH($A124,'Controle de Entrega'!$K$6:$K$1575,0))=0,"",INDEX('Controle de Entrega'!$I$6:$I$1575,MATCH($A124,'Controle de Entrega'!$K$6:$K$1575,0))),"")</f>
        <v/>
      </c>
    </row>
    <row r="125" customFormat="false" ht="15" hidden="false" customHeight="false" outlineLevel="0" collapsed="false">
      <c r="A125" s="25" t="n">
        <v>29</v>
      </c>
      <c r="B125" s="25" t="str">
        <f aca="false">IFERROR(INDEX('Controle de Entrega'!$A$6:$A$1575,MATCH($A125,'Controle de Entrega'!$K$6:$K$1575,0)),"")</f>
        <v/>
      </c>
      <c r="C125" s="25" t="str">
        <f aca="false">IFERROR(INDEX('Controle de Entrega'!$B$6:$B$1575,MATCH($A125,'Controle de Entrega'!$K$6:$K$1575,0)),"")</f>
        <v/>
      </c>
      <c r="D125" s="26" t="str">
        <f aca="false">IFERROR(INDEX('Controle de Entrega'!$C$6:$C$1575,MATCH($A125,'Controle de Entrega'!$K$6:$K$1575,0)),"")</f>
        <v/>
      </c>
      <c r="E125" s="25" t="str">
        <f aca="false">IFERROR(INDEX('Controle de Entrega'!$D$6:$D$1575,MATCH($A125,'Controle de Entrega'!$K$6:$K$1575,0)),"")</f>
        <v/>
      </c>
      <c r="F125" s="25" t="str">
        <f aca="false">IFERROR(INDEX('Controle de Entrega'!$E$6:$E$1575,MATCH($A125,'Controle de Entrega'!$K$6:$K$1575,0)),"")</f>
        <v/>
      </c>
      <c r="G125" s="25" t="str">
        <f aca="false">IFERROR(INDEX('Controle de Entrega'!$F$6:$F$1575,MATCH($A125,'Controle de Entrega'!$K$6:$K$1575,0)),"")</f>
        <v/>
      </c>
      <c r="H125" s="27" t="str">
        <f aca="false">IFERROR(INDEX('Controle de Entrega'!$G$6:$G$1575,MATCH($A125,'Controle de Entrega'!$K$6:$K$1575,0)),"")</f>
        <v/>
      </c>
      <c r="I125" s="25" t="str">
        <f aca="false">IFERROR(IF(INDEX('Controle de Entrega'!$H$6:$H$1575,MATCH($A125,'Controle de Entrega'!$K$6:$K$1575,0))=0,"",INDEX('Controle de Entrega'!$H$6:$H$1575,MATCH($A125,'Controle de Entrega'!$K$6:$K$1575,0))),"")</f>
        <v/>
      </c>
      <c r="J125" s="26" t="str">
        <f aca="false">IFERROR(IF(INDEX('Controle de Entrega'!$I$6:$I$1575,MATCH($A125,'Controle de Entrega'!$K$6:$K$1575,0))=0,"",INDEX('Controle de Entrega'!$I$6:$I$1575,MATCH($A125,'Controle de Entrega'!$K$6:$K$1575,0))),"")</f>
        <v/>
      </c>
    </row>
    <row r="126" customFormat="false" ht="15" hidden="false" customHeight="false" outlineLevel="0" collapsed="false">
      <c r="A126" s="25" t="n">
        <v>30</v>
      </c>
      <c r="B126" s="25" t="str">
        <f aca="false">IFERROR(INDEX('Controle de Entrega'!$A$6:$A$1575,MATCH($A126,'Controle de Entrega'!$K$6:$K$1575,0)),"")</f>
        <v/>
      </c>
      <c r="C126" s="25" t="str">
        <f aca="false">IFERROR(INDEX('Controle de Entrega'!$B$6:$B$1575,MATCH($A126,'Controle de Entrega'!$K$6:$K$1575,0)),"")</f>
        <v/>
      </c>
      <c r="D126" s="26" t="str">
        <f aca="false">IFERROR(INDEX('Controle de Entrega'!$C$6:$C$1575,MATCH($A126,'Controle de Entrega'!$K$6:$K$1575,0)),"")</f>
        <v/>
      </c>
      <c r="E126" s="25" t="str">
        <f aca="false">IFERROR(INDEX('Controle de Entrega'!$D$6:$D$1575,MATCH($A126,'Controle de Entrega'!$K$6:$K$1575,0)),"")</f>
        <v/>
      </c>
      <c r="F126" s="25" t="str">
        <f aca="false">IFERROR(INDEX('Controle de Entrega'!$E$6:$E$1575,MATCH($A126,'Controle de Entrega'!$K$6:$K$1575,0)),"")</f>
        <v/>
      </c>
      <c r="G126" s="25" t="str">
        <f aca="false">IFERROR(INDEX('Controle de Entrega'!$F$6:$F$1575,MATCH($A126,'Controle de Entrega'!$K$6:$K$1575,0)),"")</f>
        <v/>
      </c>
      <c r="H126" s="27" t="str">
        <f aca="false">IFERROR(INDEX('Controle de Entrega'!$G$6:$G$1575,MATCH($A126,'Controle de Entrega'!$K$6:$K$1575,0)),"")</f>
        <v/>
      </c>
      <c r="I126" s="25" t="str">
        <f aca="false">IFERROR(IF(INDEX('Controle de Entrega'!$H$6:$H$1575,MATCH($A126,'Controle de Entrega'!$K$6:$K$1575,0))=0,"",INDEX('Controle de Entrega'!$H$6:$H$1575,MATCH($A126,'Controle de Entrega'!$K$6:$K$1575,0))),"")</f>
        <v/>
      </c>
      <c r="J126" s="26" t="str">
        <f aca="false">IFERROR(IF(INDEX('Controle de Entrega'!$I$6:$I$1575,MATCH($A126,'Controle de Entrega'!$K$6:$K$1575,0))=0,"",INDEX('Controle de Entrega'!$I$6:$I$1575,MATCH($A126,'Controle de Entrega'!$K$6:$K$1575,0))),"")</f>
        <v/>
      </c>
    </row>
    <row r="127" customFormat="false" ht="15" hidden="false" customHeight="false" outlineLevel="0" collapsed="false">
      <c r="A127" s="25" t="n">
        <v>31</v>
      </c>
      <c r="B127" s="25" t="str">
        <f aca="false">IFERROR(INDEX('Controle de Entrega'!$A$6:$A$1575,MATCH($A127,'Controle de Entrega'!$K$6:$K$1575,0)),"")</f>
        <v/>
      </c>
      <c r="C127" s="25" t="str">
        <f aca="false">IFERROR(INDEX('Controle de Entrega'!$B$6:$B$1575,MATCH($A127,'Controle de Entrega'!$K$6:$K$1575,0)),"")</f>
        <v/>
      </c>
      <c r="D127" s="26" t="str">
        <f aca="false">IFERROR(INDEX('Controle de Entrega'!$C$6:$C$1575,MATCH($A127,'Controle de Entrega'!$K$6:$K$1575,0)),"")</f>
        <v/>
      </c>
      <c r="E127" s="25" t="str">
        <f aca="false">IFERROR(INDEX('Controle de Entrega'!$D$6:$D$1575,MATCH($A127,'Controle de Entrega'!$K$6:$K$1575,0)),"")</f>
        <v/>
      </c>
      <c r="F127" s="25" t="str">
        <f aca="false">IFERROR(INDEX('Controle de Entrega'!$E$6:$E$1575,MATCH($A127,'Controle de Entrega'!$K$6:$K$1575,0)),"")</f>
        <v/>
      </c>
      <c r="G127" s="25" t="str">
        <f aca="false">IFERROR(INDEX('Controle de Entrega'!$F$6:$F$1575,MATCH($A127,'Controle de Entrega'!$K$6:$K$1575,0)),"")</f>
        <v/>
      </c>
      <c r="H127" s="27" t="str">
        <f aca="false">IFERROR(INDEX('Controle de Entrega'!$G$6:$G$1575,MATCH($A127,'Controle de Entrega'!$K$6:$K$1575,0)),"")</f>
        <v/>
      </c>
      <c r="I127" s="25" t="str">
        <f aca="false">IFERROR(IF(INDEX('Controle de Entrega'!$H$6:$H$1575,MATCH($A127,'Controle de Entrega'!$K$6:$K$1575,0))=0,"",INDEX('Controle de Entrega'!$H$6:$H$1575,MATCH($A127,'Controle de Entrega'!$K$6:$K$1575,0))),"")</f>
        <v/>
      </c>
      <c r="J127" s="26" t="str">
        <f aca="false">IFERROR(IF(INDEX('Controle de Entrega'!$I$6:$I$1575,MATCH($A127,'Controle de Entrega'!$K$6:$K$1575,0))=0,"",INDEX('Controle de Entrega'!$I$6:$I$1575,MATCH($A127,'Controle de Entrega'!$K$6:$K$1575,0))),"")</f>
        <v/>
      </c>
    </row>
    <row r="128" customFormat="false" ht="15" hidden="false" customHeight="false" outlineLevel="0" collapsed="false">
      <c r="A128" s="25" t="n">
        <v>32</v>
      </c>
      <c r="B128" s="25" t="str">
        <f aca="false">IFERROR(INDEX('Controle de Entrega'!$A$6:$A$1575,MATCH($A128,'Controle de Entrega'!$K$6:$K$1575,0)),"")</f>
        <v/>
      </c>
      <c r="C128" s="25" t="str">
        <f aca="false">IFERROR(INDEX('Controle de Entrega'!$B$6:$B$1575,MATCH($A128,'Controle de Entrega'!$K$6:$K$1575,0)),"")</f>
        <v/>
      </c>
      <c r="D128" s="26" t="str">
        <f aca="false">IFERROR(INDEX('Controle de Entrega'!$C$6:$C$1575,MATCH($A128,'Controle de Entrega'!$K$6:$K$1575,0)),"")</f>
        <v/>
      </c>
      <c r="E128" s="25" t="str">
        <f aca="false">IFERROR(INDEX('Controle de Entrega'!$D$6:$D$1575,MATCH($A128,'Controle de Entrega'!$K$6:$K$1575,0)),"")</f>
        <v/>
      </c>
      <c r="F128" s="25" t="str">
        <f aca="false">IFERROR(INDEX('Controle de Entrega'!$E$6:$E$1575,MATCH($A128,'Controle de Entrega'!$K$6:$K$1575,0)),"")</f>
        <v/>
      </c>
      <c r="G128" s="25" t="str">
        <f aca="false">IFERROR(INDEX('Controle de Entrega'!$F$6:$F$1575,MATCH($A128,'Controle de Entrega'!$K$6:$K$1575,0)),"")</f>
        <v/>
      </c>
      <c r="H128" s="27" t="str">
        <f aca="false">IFERROR(INDEX('Controle de Entrega'!$G$6:$G$1575,MATCH($A128,'Controle de Entrega'!$K$6:$K$1575,0)),"")</f>
        <v/>
      </c>
      <c r="I128" s="25" t="str">
        <f aca="false">IFERROR(IF(INDEX('Controle de Entrega'!$H$6:$H$1575,MATCH($A128,'Controle de Entrega'!$K$6:$K$1575,0))=0,"",INDEX('Controle de Entrega'!$H$6:$H$1575,MATCH($A128,'Controle de Entrega'!$K$6:$K$1575,0))),"")</f>
        <v/>
      </c>
      <c r="J128" s="26" t="str">
        <f aca="false">IFERROR(IF(INDEX('Controle de Entrega'!$I$6:$I$1575,MATCH($A128,'Controle de Entrega'!$K$6:$K$1575,0))=0,"",INDEX('Controle de Entrega'!$I$6:$I$1575,MATCH($A128,'Controle de Entrega'!$K$6:$K$1575,0))),"")</f>
        <v/>
      </c>
    </row>
    <row r="129" customFormat="false" ht="15" hidden="false" customHeight="false" outlineLevel="0" collapsed="false">
      <c r="A129" s="25" t="n">
        <v>33</v>
      </c>
      <c r="B129" s="25" t="str">
        <f aca="false">IFERROR(INDEX('Controle de Entrega'!$A$6:$A$1575,MATCH($A129,'Controle de Entrega'!$K$6:$K$1575,0)),"")</f>
        <v/>
      </c>
      <c r="C129" s="25" t="str">
        <f aca="false">IFERROR(INDEX('Controle de Entrega'!$B$6:$B$1575,MATCH($A129,'Controle de Entrega'!$K$6:$K$1575,0)),"")</f>
        <v/>
      </c>
      <c r="D129" s="26" t="str">
        <f aca="false">IFERROR(INDEX('Controle de Entrega'!$C$6:$C$1575,MATCH($A129,'Controle de Entrega'!$K$6:$K$1575,0)),"")</f>
        <v/>
      </c>
      <c r="E129" s="25" t="str">
        <f aca="false">IFERROR(INDEX('Controle de Entrega'!$D$6:$D$1575,MATCH($A129,'Controle de Entrega'!$K$6:$K$1575,0)),"")</f>
        <v/>
      </c>
      <c r="F129" s="25" t="str">
        <f aca="false">IFERROR(INDEX('Controle de Entrega'!$E$6:$E$1575,MATCH($A129,'Controle de Entrega'!$K$6:$K$1575,0)),"")</f>
        <v/>
      </c>
      <c r="G129" s="25" t="str">
        <f aca="false">IFERROR(INDEX('Controle de Entrega'!$F$6:$F$1575,MATCH($A129,'Controle de Entrega'!$K$6:$K$1575,0)),"")</f>
        <v/>
      </c>
      <c r="H129" s="27" t="str">
        <f aca="false">IFERROR(INDEX('Controle de Entrega'!$G$6:$G$1575,MATCH($A129,'Controle de Entrega'!$K$6:$K$1575,0)),"")</f>
        <v/>
      </c>
      <c r="I129" s="25" t="str">
        <f aca="false">IFERROR(IF(INDEX('Controle de Entrega'!$H$6:$H$1575,MATCH($A129,'Controle de Entrega'!$K$6:$K$1575,0))=0,"",INDEX('Controle de Entrega'!$H$6:$H$1575,MATCH($A129,'Controle de Entrega'!$K$6:$K$1575,0))),"")</f>
        <v/>
      </c>
      <c r="J129" s="26" t="str">
        <f aca="false">IFERROR(IF(INDEX('Controle de Entrega'!$I$6:$I$1575,MATCH($A129,'Controle de Entrega'!$K$6:$K$1575,0))=0,"",INDEX('Controle de Entrega'!$I$6:$I$1575,MATCH($A129,'Controle de Entrega'!$K$6:$K$1575,0))),"")</f>
        <v/>
      </c>
    </row>
    <row r="130" customFormat="false" ht="15" hidden="false" customHeight="false" outlineLevel="0" collapsed="false">
      <c r="A130" s="25" t="n">
        <v>34</v>
      </c>
      <c r="B130" s="25" t="str">
        <f aca="false">IFERROR(INDEX('Controle de Entrega'!$A$6:$A$1575,MATCH($A130,'Controle de Entrega'!$K$6:$K$1575,0)),"")</f>
        <v/>
      </c>
      <c r="C130" s="25" t="str">
        <f aca="false">IFERROR(INDEX('Controle de Entrega'!$B$6:$B$1575,MATCH($A130,'Controle de Entrega'!$K$6:$K$1575,0)),"")</f>
        <v/>
      </c>
      <c r="D130" s="26" t="str">
        <f aca="false">IFERROR(INDEX('Controle de Entrega'!$C$6:$C$1575,MATCH($A130,'Controle de Entrega'!$K$6:$K$1575,0)),"")</f>
        <v/>
      </c>
      <c r="E130" s="25" t="str">
        <f aca="false">IFERROR(INDEX('Controle de Entrega'!$D$6:$D$1575,MATCH($A130,'Controle de Entrega'!$K$6:$K$1575,0)),"")</f>
        <v/>
      </c>
      <c r="F130" s="25" t="str">
        <f aca="false">IFERROR(INDEX('Controle de Entrega'!$E$6:$E$1575,MATCH($A130,'Controle de Entrega'!$K$6:$K$1575,0)),"")</f>
        <v/>
      </c>
      <c r="G130" s="25" t="str">
        <f aca="false">IFERROR(INDEX('Controle de Entrega'!$F$6:$F$1575,MATCH($A130,'Controle de Entrega'!$K$6:$K$1575,0)),"")</f>
        <v/>
      </c>
      <c r="H130" s="27" t="str">
        <f aca="false">IFERROR(INDEX('Controle de Entrega'!$G$6:$G$1575,MATCH($A130,'Controle de Entrega'!$K$6:$K$1575,0)),"")</f>
        <v/>
      </c>
      <c r="I130" s="25" t="str">
        <f aca="false">IFERROR(IF(INDEX('Controle de Entrega'!$H$6:$H$1575,MATCH($A130,'Controle de Entrega'!$K$6:$K$1575,0))=0,"",INDEX('Controle de Entrega'!$H$6:$H$1575,MATCH($A130,'Controle de Entrega'!$K$6:$K$1575,0))),"")</f>
        <v/>
      </c>
      <c r="J130" s="26" t="str">
        <f aca="false">IFERROR(IF(INDEX('Controle de Entrega'!$I$6:$I$1575,MATCH($A130,'Controle de Entrega'!$K$6:$K$1575,0))=0,"",INDEX('Controle de Entrega'!$I$6:$I$1575,MATCH($A130,'Controle de Entrega'!$K$6:$K$1575,0))),"")</f>
        <v/>
      </c>
    </row>
    <row r="131" customFormat="false" ht="15" hidden="false" customHeight="false" outlineLevel="0" collapsed="false">
      <c r="A131" s="25" t="n">
        <v>35</v>
      </c>
      <c r="B131" s="25" t="str">
        <f aca="false">IFERROR(INDEX('Controle de Entrega'!$A$6:$A$1575,MATCH($A131,'Controle de Entrega'!$K$6:$K$1575,0)),"")</f>
        <v/>
      </c>
      <c r="C131" s="25" t="str">
        <f aca="false">IFERROR(INDEX('Controle de Entrega'!$B$6:$B$1575,MATCH($A131,'Controle de Entrega'!$K$6:$K$1575,0)),"")</f>
        <v/>
      </c>
      <c r="D131" s="26" t="str">
        <f aca="false">IFERROR(INDEX('Controle de Entrega'!$C$6:$C$1575,MATCH($A131,'Controle de Entrega'!$K$6:$K$1575,0)),"")</f>
        <v/>
      </c>
      <c r="E131" s="25" t="str">
        <f aca="false">IFERROR(INDEX('Controle de Entrega'!$D$6:$D$1575,MATCH($A131,'Controle de Entrega'!$K$6:$K$1575,0)),"")</f>
        <v/>
      </c>
      <c r="F131" s="25" t="str">
        <f aca="false">IFERROR(INDEX('Controle de Entrega'!$E$6:$E$1575,MATCH($A131,'Controle de Entrega'!$K$6:$K$1575,0)),"")</f>
        <v/>
      </c>
      <c r="G131" s="25" t="str">
        <f aca="false">IFERROR(INDEX('Controle de Entrega'!$F$6:$F$1575,MATCH($A131,'Controle de Entrega'!$K$6:$K$1575,0)),"")</f>
        <v/>
      </c>
      <c r="H131" s="27" t="str">
        <f aca="false">IFERROR(INDEX('Controle de Entrega'!$G$6:$G$1575,MATCH($A131,'Controle de Entrega'!$K$6:$K$1575,0)),"")</f>
        <v/>
      </c>
      <c r="I131" s="25" t="str">
        <f aca="false">IFERROR(IF(INDEX('Controle de Entrega'!$H$6:$H$1575,MATCH($A131,'Controle de Entrega'!$K$6:$K$1575,0))=0,"",INDEX('Controle de Entrega'!$H$6:$H$1575,MATCH($A131,'Controle de Entrega'!$K$6:$K$1575,0))),"")</f>
        <v/>
      </c>
      <c r="J131" s="26" t="str">
        <f aca="false">IFERROR(IF(INDEX('Controle de Entrega'!$I$6:$I$1575,MATCH($A131,'Controle de Entrega'!$K$6:$K$1575,0))=0,"",INDEX('Controle de Entrega'!$I$6:$I$1575,MATCH($A131,'Controle de Entrega'!$K$6:$K$1575,0))),"")</f>
        <v/>
      </c>
    </row>
    <row r="132" customFormat="false" ht="15" hidden="false" customHeight="false" outlineLevel="0" collapsed="false">
      <c r="A132" s="25" t="n">
        <v>36</v>
      </c>
      <c r="B132" s="25" t="str">
        <f aca="false">IFERROR(INDEX('Controle de Entrega'!$A$6:$A$1575,MATCH($A132,'Controle de Entrega'!$K$6:$K$1575,0)),"")</f>
        <v/>
      </c>
      <c r="C132" s="25" t="str">
        <f aca="false">IFERROR(INDEX('Controle de Entrega'!$B$6:$B$1575,MATCH($A132,'Controle de Entrega'!$K$6:$K$1575,0)),"")</f>
        <v/>
      </c>
      <c r="D132" s="26" t="str">
        <f aca="false">IFERROR(INDEX('Controle de Entrega'!$C$6:$C$1575,MATCH($A132,'Controle de Entrega'!$K$6:$K$1575,0)),"")</f>
        <v/>
      </c>
      <c r="E132" s="25" t="str">
        <f aca="false">IFERROR(INDEX('Controle de Entrega'!$D$6:$D$1575,MATCH($A132,'Controle de Entrega'!$K$6:$K$1575,0)),"")</f>
        <v/>
      </c>
      <c r="F132" s="25" t="str">
        <f aca="false">IFERROR(INDEX('Controle de Entrega'!$E$6:$E$1575,MATCH($A132,'Controle de Entrega'!$K$6:$K$1575,0)),"")</f>
        <v/>
      </c>
      <c r="G132" s="25" t="str">
        <f aca="false">IFERROR(INDEX('Controle de Entrega'!$F$6:$F$1575,MATCH($A132,'Controle de Entrega'!$K$6:$K$1575,0)),"")</f>
        <v/>
      </c>
      <c r="H132" s="27" t="str">
        <f aca="false">IFERROR(INDEX('Controle de Entrega'!$G$6:$G$1575,MATCH($A132,'Controle de Entrega'!$K$6:$K$1575,0)),"")</f>
        <v/>
      </c>
      <c r="I132" s="25" t="str">
        <f aca="false">IFERROR(IF(INDEX('Controle de Entrega'!$H$6:$H$1575,MATCH($A132,'Controle de Entrega'!$K$6:$K$1575,0))=0,"",INDEX('Controle de Entrega'!$H$6:$H$1575,MATCH($A132,'Controle de Entrega'!$K$6:$K$1575,0))),"")</f>
        <v/>
      </c>
      <c r="J132" s="26" t="str">
        <f aca="false">IFERROR(IF(INDEX('Controle de Entrega'!$I$6:$I$1575,MATCH($A132,'Controle de Entrega'!$K$6:$K$1575,0))=0,"",INDEX('Controle de Entrega'!$I$6:$I$1575,MATCH($A132,'Controle de Entrega'!$K$6:$K$1575,0))),"")</f>
        <v/>
      </c>
    </row>
    <row r="133" customFormat="false" ht="15" hidden="false" customHeight="false" outlineLevel="0" collapsed="false">
      <c r="A133" s="25" t="n">
        <v>37</v>
      </c>
      <c r="B133" s="25" t="str">
        <f aca="false">IFERROR(INDEX('Controle de Entrega'!$A$6:$A$1575,MATCH($A133,'Controle de Entrega'!$K$6:$K$1575,0)),"")</f>
        <v/>
      </c>
      <c r="C133" s="25" t="str">
        <f aca="false">IFERROR(INDEX('Controle de Entrega'!$B$6:$B$1575,MATCH($A133,'Controle de Entrega'!$K$6:$K$1575,0)),"")</f>
        <v/>
      </c>
      <c r="D133" s="26" t="str">
        <f aca="false">IFERROR(INDEX('Controle de Entrega'!$C$6:$C$1575,MATCH($A133,'Controle de Entrega'!$K$6:$K$1575,0)),"")</f>
        <v/>
      </c>
      <c r="E133" s="25" t="str">
        <f aca="false">IFERROR(INDEX('Controle de Entrega'!$D$6:$D$1575,MATCH($A133,'Controle de Entrega'!$K$6:$K$1575,0)),"")</f>
        <v/>
      </c>
      <c r="F133" s="25" t="str">
        <f aca="false">IFERROR(INDEX('Controle de Entrega'!$E$6:$E$1575,MATCH($A133,'Controle de Entrega'!$K$6:$K$1575,0)),"")</f>
        <v/>
      </c>
      <c r="G133" s="25" t="str">
        <f aca="false">IFERROR(INDEX('Controle de Entrega'!$F$6:$F$1575,MATCH($A133,'Controle de Entrega'!$K$6:$K$1575,0)),"")</f>
        <v/>
      </c>
      <c r="H133" s="27" t="str">
        <f aca="false">IFERROR(INDEX('Controle de Entrega'!$G$6:$G$1575,MATCH($A133,'Controle de Entrega'!$K$6:$K$1575,0)),"")</f>
        <v/>
      </c>
      <c r="I133" s="25" t="str">
        <f aca="false">IFERROR(IF(INDEX('Controle de Entrega'!$H$6:$H$1575,MATCH($A133,'Controle de Entrega'!$K$6:$K$1575,0))=0,"",INDEX('Controle de Entrega'!$H$6:$H$1575,MATCH($A133,'Controle de Entrega'!$K$6:$K$1575,0))),"")</f>
        <v/>
      </c>
      <c r="J133" s="26" t="str">
        <f aca="false">IFERROR(IF(INDEX('Controle de Entrega'!$I$6:$I$1575,MATCH($A133,'Controle de Entrega'!$K$6:$K$1575,0))=0,"",INDEX('Controle de Entrega'!$I$6:$I$1575,MATCH($A133,'Controle de Entrega'!$K$6:$K$1575,0))),"")</f>
        <v/>
      </c>
    </row>
    <row r="134" customFormat="false" ht="15" hidden="false" customHeight="false" outlineLevel="0" collapsed="false">
      <c r="A134" s="25" t="n">
        <v>38</v>
      </c>
      <c r="B134" s="25" t="str">
        <f aca="false">IFERROR(INDEX('Controle de Entrega'!$A$6:$A$1575,MATCH($A134,'Controle de Entrega'!$K$6:$K$1575,0)),"")</f>
        <v/>
      </c>
      <c r="C134" s="25" t="str">
        <f aca="false">IFERROR(INDEX('Controle de Entrega'!$B$6:$B$1575,MATCH($A134,'Controle de Entrega'!$K$6:$K$1575,0)),"")</f>
        <v/>
      </c>
      <c r="D134" s="26" t="str">
        <f aca="false">IFERROR(INDEX('Controle de Entrega'!$C$6:$C$1575,MATCH($A134,'Controle de Entrega'!$K$6:$K$1575,0)),"")</f>
        <v/>
      </c>
      <c r="E134" s="25" t="str">
        <f aca="false">IFERROR(INDEX('Controle de Entrega'!$D$6:$D$1575,MATCH($A134,'Controle de Entrega'!$K$6:$K$1575,0)),"")</f>
        <v/>
      </c>
      <c r="F134" s="25" t="str">
        <f aca="false">IFERROR(INDEX('Controle de Entrega'!$E$6:$E$1575,MATCH($A134,'Controle de Entrega'!$K$6:$K$1575,0)),"")</f>
        <v/>
      </c>
      <c r="G134" s="25" t="str">
        <f aca="false">IFERROR(INDEX('Controle de Entrega'!$F$6:$F$1575,MATCH($A134,'Controle de Entrega'!$K$6:$K$1575,0)),"")</f>
        <v/>
      </c>
      <c r="H134" s="27" t="str">
        <f aca="false">IFERROR(INDEX('Controle de Entrega'!$G$6:$G$1575,MATCH($A134,'Controle de Entrega'!$K$6:$K$1575,0)),"")</f>
        <v/>
      </c>
      <c r="I134" s="25" t="str">
        <f aca="false">IFERROR(IF(INDEX('Controle de Entrega'!$H$6:$H$1575,MATCH($A134,'Controle de Entrega'!$K$6:$K$1575,0))=0,"",INDEX('Controle de Entrega'!$H$6:$H$1575,MATCH($A134,'Controle de Entrega'!$K$6:$K$1575,0))),"")</f>
        <v/>
      </c>
      <c r="J134" s="26" t="str">
        <f aca="false">IFERROR(IF(INDEX('Controle de Entrega'!$I$6:$I$1575,MATCH($A134,'Controle de Entrega'!$K$6:$K$1575,0))=0,"",INDEX('Controle de Entrega'!$I$6:$I$1575,MATCH($A134,'Controle de Entrega'!$K$6:$K$1575,0))),"")</f>
        <v/>
      </c>
    </row>
    <row r="135" customFormat="false" ht="15" hidden="false" customHeight="false" outlineLevel="0" collapsed="false">
      <c r="A135" s="25" t="n">
        <v>39</v>
      </c>
      <c r="B135" s="25" t="str">
        <f aca="false">IFERROR(INDEX('Controle de Entrega'!$A$6:$A$1575,MATCH($A135,'Controle de Entrega'!$K$6:$K$1575,0)),"")</f>
        <v/>
      </c>
      <c r="C135" s="25" t="str">
        <f aca="false">IFERROR(INDEX('Controle de Entrega'!$B$6:$B$1575,MATCH($A135,'Controle de Entrega'!$K$6:$K$1575,0)),"")</f>
        <v/>
      </c>
      <c r="D135" s="26" t="str">
        <f aca="false">IFERROR(INDEX('Controle de Entrega'!$C$6:$C$1575,MATCH($A135,'Controle de Entrega'!$K$6:$K$1575,0)),"")</f>
        <v/>
      </c>
      <c r="E135" s="25" t="str">
        <f aca="false">IFERROR(INDEX('Controle de Entrega'!$D$6:$D$1575,MATCH($A135,'Controle de Entrega'!$K$6:$K$1575,0)),"")</f>
        <v/>
      </c>
      <c r="F135" s="25" t="str">
        <f aca="false">IFERROR(INDEX('Controle de Entrega'!$E$6:$E$1575,MATCH($A135,'Controle de Entrega'!$K$6:$K$1575,0)),"")</f>
        <v/>
      </c>
      <c r="G135" s="25" t="str">
        <f aca="false">IFERROR(INDEX('Controle de Entrega'!$F$6:$F$1575,MATCH($A135,'Controle de Entrega'!$K$6:$K$1575,0)),"")</f>
        <v/>
      </c>
      <c r="H135" s="27" t="str">
        <f aca="false">IFERROR(INDEX('Controle de Entrega'!$G$6:$G$1575,MATCH($A135,'Controle de Entrega'!$K$6:$K$1575,0)),"")</f>
        <v/>
      </c>
      <c r="I135" s="25" t="str">
        <f aca="false">IFERROR(IF(INDEX('Controle de Entrega'!$H$6:$H$1575,MATCH($A135,'Controle de Entrega'!$K$6:$K$1575,0))=0,"",INDEX('Controle de Entrega'!$H$6:$H$1575,MATCH($A135,'Controle de Entrega'!$K$6:$K$1575,0))),"")</f>
        <v/>
      </c>
      <c r="J135" s="26" t="str">
        <f aca="false">IFERROR(IF(INDEX('Controle de Entrega'!$I$6:$I$1575,MATCH($A135,'Controle de Entrega'!$K$6:$K$1575,0))=0,"",INDEX('Controle de Entrega'!$I$6:$I$1575,MATCH($A135,'Controle de Entrega'!$K$6:$K$1575,0))),"")</f>
        <v/>
      </c>
    </row>
    <row r="136" customFormat="false" ht="15" hidden="false" customHeight="false" outlineLevel="0" collapsed="false">
      <c r="A136" s="25" t="n">
        <v>40</v>
      </c>
      <c r="B136" s="25" t="str">
        <f aca="false">IFERROR(INDEX('Controle de Entrega'!$A$6:$A$1575,MATCH($A136,'Controle de Entrega'!$K$6:$K$1575,0)),"")</f>
        <v/>
      </c>
      <c r="C136" s="25" t="str">
        <f aca="false">IFERROR(INDEX('Controle de Entrega'!$B$6:$B$1575,MATCH($A136,'Controle de Entrega'!$K$6:$K$1575,0)),"")</f>
        <v/>
      </c>
      <c r="D136" s="26" t="str">
        <f aca="false">IFERROR(INDEX('Controle de Entrega'!$C$6:$C$1575,MATCH($A136,'Controle de Entrega'!$K$6:$K$1575,0)),"")</f>
        <v/>
      </c>
      <c r="E136" s="25" t="str">
        <f aca="false">IFERROR(INDEX('Controle de Entrega'!$D$6:$D$1575,MATCH($A136,'Controle de Entrega'!$K$6:$K$1575,0)),"")</f>
        <v/>
      </c>
      <c r="F136" s="25" t="str">
        <f aca="false">IFERROR(INDEX('Controle de Entrega'!$E$6:$E$1575,MATCH($A136,'Controle de Entrega'!$K$6:$K$1575,0)),"")</f>
        <v/>
      </c>
      <c r="G136" s="25" t="str">
        <f aca="false">IFERROR(INDEX('Controle de Entrega'!$F$6:$F$1575,MATCH($A136,'Controle de Entrega'!$K$6:$K$1575,0)),"")</f>
        <v/>
      </c>
      <c r="H136" s="27" t="str">
        <f aca="false">IFERROR(INDEX('Controle de Entrega'!$G$6:$G$1575,MATCH($A136,'Controle de Entrega'!$K$6:$K$1575,0)),"")</f>
        <v/>
      </c>
      <c r="I136" s="25" t="str">
        <f aca="false">IFERROR(IF(INDEX('Controle de Entrega'!$H$6:$H$1575,MATCH($A136,'Controle de Entrega'!$K$6:$K$1575,0))=0,"",INDEX('Controle de Entrega'!$H$6:$H$1575,MATCH($A136,'Controle de Entrega'!$K$6:$K$1575,0))),"")</f>
        <v/>
      </c>
      <c r="J136" s="26" t="str">
        <f aca="false">IFERROR(IF(INDEX('Controle de Entrega'!$I$6:$I$1575,MATCH($A136,'Controle de Entrega'!$K$6:$K$1575,0))=0,"",INDEX('Controle de Entrega'!$I$6:$I$1575,MATCH($A136,'Controle de Entrega'!$K$6:$K$1575,0))),"")</f>
        <v/>
      </c>
    </row>
    <row r="137" customFormat="false" ht="15" hidden="false" customHeight="false" outlineLevel="0" collapsed="false">
      <c r="A137" s="25" t="n">
        <v>41</v>
      </c>
      <c r="B137" s="25" t="str">
        <f aca="false">IFERROR(INDEX('Controle de Entrega'!$A$6:$A$1575,MATCH($A137,'Controle de Entrega'!$K$6:$K$1575,0)),"")</f>
        <v/>
      </c>
      <c r="C137" s="25" t="str">
        <f aca="false">IFERROR(INDEX('Controle de Entrega'!$B$6:$B$1575,MATCH($A137,'Controle de Entrega'!$K$6:$K$1575,0)),"")</f>
        <v/>
      </c>
      <c r="D137" s="26" t="str">
        <f aca="false">IFERROR(INDEX('Controle de Entrega'!$C$6:$C$1575,MATCH($A137,'Controle de Entrega'!$K$6:$K$1575,0)),"")</f>
        <v/>
      </c>
      <c r="E137" s="25" t="str">
        <f aca="false">IFERROR(INDEX('Controle de Entrega'!$D$6:$D$1575,MATCH($A137,'Controle de Entrega'!$K$6:$K$1575,0)),"")</f>
        <v/>
      </c>
      <c r="F137" s="25" t="str">
        <f aca="false">IFERROR(INDEX('Controle de Entrega'!$E$6:$E$1575,MATCH($A137,'Controle de Entrega'!$K$6:$K$1575,0)),"")</f>
        <v/>
      </c>
      <c r="G137" s="25" t="str">
        <f aca="false">IFERROR(INDEX('Controle de Entrega'!$F$6:$F$1575,MATCH($A137,'Controle de Entrega'!$K$6:$K$1575,0)),"")</f>
        <v/>
      </c>
      <c r="H137" s="27" t="str">
        <f aca="false">IFERROR(INDEX('Controle de Entrega'!$G$6:$G$1575,MATCH($A137,'Controle de Entrega'!$K$6:$K$1575,0)),"")</f>
        <v/>
      </c>
      <c r="I137" s="25" t="str">
        <f aca="false">IFERROR(IF(INDEX('Controle de Entrega'!$H$6:$H$1575,MATCH($A137,'Controle de Entrega'!$K$6:$K$1575,0))=0,"",INDEX('Controle de Entrega'!$H$6:$H$1575,MATCH($A137,'Controle de Entrega'!$K$6:$K$1575,0))),"")</f>
        <v/>
      </c>
      <c r="J137" s="26" t="str">
        <f aca="false">IFERROR(IF(INDEX('Controle de Entrega'!$I$6:$I$1575,MATCH($A137,'Controle de Entrega'!$K$6:$K$1575,0))=0,"",INDEX('Controle de Entrega'!$I$6:$I$1575,MATCH($A137,'Controle de Entrega'!$K$6:$K$1575,0))),"")</f>
        <v/>
      </c>
    </row>
    <row r="138" customFormat="false" ht="15" hidden="false" customHeight="false" outlineLevel="0" collapsed="false">
      <c r="A138" s="25" t="n">
        <v>42</v>
      </c>
      <c r="B138" s="25" t="str">
        <f aca="false">IFERROR(INDEX('Controle de Entrega'!$A$6:$A$1575,MATCH($A138,'Controle de Entrega'!$K$6:$K$1575,0)),"")</f>
        <v/>
      </c>
      <c r="C138" s="25" t="str">
        <f aca="false">IFERROR(INDEX('Controle de Entrega'!$B$6:$B$1575,MATCH($A138,'Controle de Entrega'!$K$6:$K$1575,0)),"")</f>
        <v/>
      </c>
      <c r="D138" s="26" t="str">
        <f aca="false">IFERROR(INDEX('Controle de Entrega'!$C$6:$C$1575,MATCH($A138,'Controle de Entrega'!$K$6:$K$1575,0)),"")</f>
        <v/>
      </c>
      <c r="E138" s="25" t="str">
        <f aca="false">IFERROR(INDEX('Controle de Entrega'!$D$6:$D$1575,MATCH($A138,'Controle de Entrega'!$K$6:$K$1575,0)),"")</f>
        <v/>
      </c>
      <c r="F138" s="25" t="str">
        <f aca="false">IFERROR(INDEX('Controle de Entrega'!$E$6:$E$1575,MATCH($A138,'Controle de Entrega'!$K$6:$K$1575,0)),"")</f>
        <v/>
      </c>
      <c r="G138" s="25" t="str">
        <f aca="false">IFERROR(INDEX('Controle de Entrega'!$F$6:$F$1575,MATCH($A138,'Controle de Entrega'!$K$6:$K$1575,0)),"")</f>
        <v/>
      </c>
      <c r="H138" s="27" t="str">
        <f aca="false">IFERROR(INDEX('Controle de Entrega'!$G$6:$G$1575,MATCH($A138,'Controle de Entrega'!$K$6:$K$1575,0)),"")</f>
        <v/>
      </c>
      <c r="I138" s="25" t="str">
        <f aca="false">IFERROR(IF(INDEX('Controle de Entrega'!$H$6:$H$1575,MATCH($A138,'Controle de Entrega'!$K$6:$K$1575,0))=0,"",INDEX('Controle de Entrega'!$H$6:$H$1575,MATCH($A138,'Controle de Entrega'!$K$6:$K$1575,0))),"")</f>
        <v/>
      </c>
      <c r="J138" s="26" t="str">
        <f aca="false">IFERROR(IF(INDEX('Controle de Entrega'!$I$6:$I$1575,MATCH($A138,'Controle de Entrega'!$K$6:$K$1575,0))=0,"",INDEX('Controle de Entrega'!$I$6:$I$1575,MATCH($A138,'Controle de Entrega'!$K$6:$K$1575,0))),"")</f>
        <v/>
      </c>
    </row>
    <row r="139" customFormat="false" ht="15" hidden="false" customHeight="false" outlineLevel="0" collapsed="false">
      <c r="A139" s="25" t="n">
        <v>43</v>
      </c>
      <c r="B139" s="25" t="str">
        <f aca="false">IFERROR(INDEX('Controle de Entrega'!$A$6:$A$1575,MATCH($A139,'Controle de Entrega'!$K$6:$K$1575,0)),"")</f>
        <v/>
      </c>
      <c r="C139" s="25" t="str">
        <f aca="false">IFERROR(INDEX('Controle de Entrega'!$B$6:$B$1575,MATCH($A139,'Controle de Entrega'!$K$6:$K$1575,0)),"")</f>
        <v/>
      </c>
      <c r="D139" s="26" t="str">
        <f aca="false">IFERROR(INDEX('Controle de Entrega'!$C$6:$C$1575,MATCH($A139,'Controle de Entrega'!$K$6:$K$1575,0)),"")</f>
        <v/>
      </c>
      <c r="E139" s="25" t="str">
        <f aca="false">IFERROR(INDEX('Controle de Entrega'!$D$6:$D$1575,MATCH($A139,'Controle de Entrega'!$K$6:$K$1575,0)),"")</f>
        <v/>
      </c>
      <c r="F139" s="25" t="str">
        <f aca="false">IFERROR(INDEX('Controle de Entrega'!$E$6:$E$1575,MATCH($A139,'Controle de Entrega'!$K$6:$K$1575,0)),"")</f>
        <v/>
      </c>
      <c r="G139" s="25" t="str">
        <f aca="false">IFERROR(INDEX('Controle de Entrega'!$F$6:$F$1575,MATCH($A139,'Controle de Entrega'!$K$6:$K$1575,0)),"")</f>
        <v/>
      </c>
      <c r="H139" s="27" t="str">
        <f aca="false">IFERROR(INDEX('Controle de Entrega'!$G$6:$G$1575,MATCH($A139,'Controle de Entrega'!$K$6:$K$1575,0)),"")</f>
        <v/>
      </c>
      <c r="I139" s="25" t="str">
        <f aca="false">IFERROR(IF(INDEX('Controle de Entrega'!$H$6:$H$1575,MATCH($A139,'Controle de Entrega'!$K$6:$K$1575,0))=0,"",INDEX('Controle de Entrega'!$H$6:$H$1575,MATCH($A139,'Controle de Entrega'!$K$6:$K$1575,0))),"")</f>
        <v/>
      </c>
      <c r="J139" s="26" t="str">
        <f aca="false">IFERROR(IF(INDEX('Controle de Entrega'!$I$6:$I$1575,MATCH($A139,'Controle de Entrega'!$K$6:$K$1575,0))=0,"",INDEX('Controle de Entrega'!$I$6:$I$1575,MATCH($A139,'Controle de Entrega'!$K$6:$K$1575,0))),"")</f>
        <v/>
      </c>
    </row>
    <row r="140" customFormat="false" ht="15" hidden="false" customHeight="false" outlineLevel="0" collapsed="false">
      <c r="A140" s="25" t="n">
        <v>44</v>
      </c>
      <c r="B140" s="25" t="str">
        <f aca="false">IFERROR(INDEX('Controle de Entrega'!$A$6:$A$1575,MATCH($A140,'Controle de Entrega'!$K$6:$K$1575,0)),"")</f>
        <v/>
      </c>
      <c r="C140" s="25" t="str">
        <f aca="false">IFERROR(INDEX('Controle de Entrega'!$B$6:$B$1575,MATCH($A140,'Controle de Entrega'!$K$6:$K$1575,0)),"")</f>
        <v/>
      </c>
      <c r="D140" s="26" t="str">
        <f aca="false">IFERROR(INDEX('Controle de Entrega'!$C$6:$C$1575,MATCH($A140,'Controle de Entrega'!$K$6:$K$1575,0)),"")</f>
        <v/>
      </c>
      <c r="E140" s="25" t="str">
        <f aca="false">IFERROR(INDEX('Controle de Entrega'!$D$6:$D$1575,MATCH($A140,'Controle de Entrega'!$K$6:$K$1575,0)),"")</f>
        <v/>
      </c>
      <c r="F140" s="25" t="str">
        <f aca="false">IFERROR(INDEX('Controle de Entrega'!$E$6:$E$1575,MATCH($A140,'Controle de Entrega'!$K$6:$K$1575,0)),"")</f>
        <v/>
      </c>
      <c r="G140" s="25" t="str">
        <f aca="false">IFERROR(INDEX('Controle de Entrega'!$F$6:$F$1575,MATCH($A140,'Controle de Entrega'!$K$6:$K$1575,0)),"")</f>
        <v/>
      </c>
      <c r="H140" s="27" t="str">
        <f aca="false">IFERROR(INDEX('Controle de Entrega'!$G$6:$G$1575,MATCH($A140,'Controle de Entrega'!$K$6:$K$1575,0)),"")</f>
        <v/>
      </c>
      <c r="I140" s="25" t="str">
        <f aca="false">IFERROR(IF(INDEX('Controle de Entrega'!$H$6:$H$1575,MATCH($A140,'Controle de Entrega'!$K$6:$K$1575,0))=0,"",INDEX('Controle de Entrega'!$H$6:$H$1575,MATCH($A140,'Controle de Entrega'!$K$6:$K$1575,0))),"")</f>
        <v/>
      </c>
      <c r="J140" s="26" t="str">
        <f aca="false">IFERROR(IF(INDEX('Controle de Entrega'!$I$6:$I$1575,MATCH($A140,'Controle de Entrega'!$K$6:$K$1575,0))=0,"",INDEX('Controle de Entrega'!$I$6:$I$1575,MATCH($A140,'Controle de Entrega'!$K$6:$K$1575,0))),"")</f>
        <v/>
      </c>
    </row>
    <row r="141" customFormat="false" ht="15" hidden="false" customHeight="false" outlineLevel="0" collapsed="false">
      <c r="A141" s="25" t="n">
        <v>45</v>
      </c>
      <c r="B141" s="25" t="str">
        <f aca="false">IFERROR(INDEX('Controle de Entrega'!$A$6:$A$1575,MATCH($A141,'Controle de Entrega'!$K$6:$K$1575,0)),"")</f>
        <v/>
      </c>
      <c r="C141" s="25" t="str">
        <f aca="false">IFERROR(INDEX('Controle de Entrega'!$B$6:$B$1575,MATCH($A141,'Controle de Entrega'!$K$6:$K$1575,0)),"")</f>
        <v/>
      </c>
      <c r="D141" s="26" t="str">
        <f aca="false">IFERROR(INDEX('Controle de Entrega'!$C$6:$C$1575,MATCH($A141,'Controle de Entrega'!$K$6:$K$1575,0)),"")</f>
        <v/>
      </c>
      <c r="E141" s="25" t="str">
        <f aca="false">IFERROR(INDEX('Controle de Entrega'!$D$6:$D$1575,MATCH($A141,'Controle de Entrega'!$K$6:$K$1575,0)),"")</f>
        <v/>
      </c>
      <c r="F141" s="25" t="str">
        <f aca="false">IFERROR(INDEX('Controle de Entrega'!$E$6:$E$1575,MATCH($A141,'Controle de Entrega'!$K$6:$K$1575,0)),"")</f>
        <v/>
      </c>
      <c r="G141" s="25" t="str">
        <f aca="false">IFERROR(INDEX('Controle de Entrega'!$F$6:$F$1575,MATCH($A141,'Controle de Entrega'!$K$6:$K$1575,0)),"")</f>
        <v/>
      </c>
      <c r="H141" s="27" t="str">
        <f aca="false">IFERROR(INDEX('Controle de Entrega'!$G$6:$G$1575,MATCH($A141,'Controle de Entrega'!$K$6:$K$1575,0)),"")</f>
        <v/>
      </c>
      <c r="I141" s="25" t="str">
        <f aca="false">IFERROR(IF(INDEX('Controle de Entrega'!$H$6:$H$1575,MATCH($A141,'Controle de Entrega'!$K$6:$K$1575,0))=0,"",INDEX('Controle de Entrega'!$H$6:$H$1575,MATCH($A141,'Controle de Entrega'!$K$6:$K$1575,0))),"")</f>
        <v/>
      </c>
      <c r="J141" s="26" t="str">
        <f aca="false">IFERROR(IF(INDEX('Controle de Entrega'!$I$6:$I$1575,MATCH($A141,'Controle de Entrega'!$K$6:$K$1575,0))=0,"",INDEX('Controle de Entrega'!$I$6:$I$1575,MATCH($A141,'Controle de Entrega'!$K$6:$K$1575,0))),"")</f>
        <v/>
      </c>
    </row>
    <row r="142" customFormat="false" ht="15" hidden="false" customHeight="false" outlineLevel="0" collapsed="false">
      <c r="A142" s="25" t="n">
        <v>46</v>
      </c>
      <c r="B142" s="25" t="str">
        <f aca="false">IFERROR(INDEX('Controle de Entrega'!$A$6:$A$1575,MATCH($A142,'Controle de Entrega'!$K$6:$K$1575,0)),"")</f>
        <v/>
      </c>
      <c r="C142" s="25" t="str">
        <f aca="false">IFERROR(INDEX('Controle de Entrega'!$B$6:$B$1575,MATCH($A142,'Controle de Entrega'!$K$6:$K$1575,0)),"")</f>
        <v/>
      </c>
      <c r="D142" s="26" t="str">
        <f aca="false">IFERROR(INDEX('Controle de Entrega'!$C$6:$C$1575,MATCH($A142,'Controle de Entrega'!$K$6:$K$1575,0)),"")</f>
        <v/>
      </c>
      <c r="E142" s="25" t="str">
        <f aca="false">IFERROR(INDEX('Controle de Entrega'!$D$6:$D$1575,MATCH($A142,'Controle de Entrega'!$K$6:$K$1575,0)),"")</f>
        <v/>
      </c>
      <c r="F142" s="25" t="str">
        <f aca="false">IFERROR(INDEX('Controle de Entrega'!$E$6:$E$1575,MATCH($A142,'Controle de Entrega'!$K$6:$K$1575,0)),"")</f>
        <v/>
      </c>
      <c r="G142" s="25" t="str">
        <f aca="false">IFERROR(INDEX('Controle de Entrega'!$F$6:$F$1575,MATCH($A142,'Controle de Entrega'!$K$6:$K$1575,0)),"")</f>
        <v/>
      </c>
      <c r="H142" s="27" t="str">
        <f aca="false">IFERROR(INDEX('Controle de Entrega'!$G$6:$G$1575,MATCH($A142,'Controle de Entrega'!$K$6:$K$1575,0)),"")</f>
        <v/>
      </c>
      <c r="I142" s="25" t="str">
        <f aca="false">IFERROR(IF(INDEX('Controle de Entrega'!$H$6:$H$1575,MATCH($A142,'Controle de Entrega'!$K$6:$K$1575,0))=0,"",INDEX('Controle de Entrega'!$H$6:$H$1575,MATCH($A142,'Controle de Entrega'!$K$6:$K$1575,0))),"")</f>
        <v/>
      </c>
      <c r="J142" s="26" t="str">
        <f aca="false">IFERROR(IF(INDEX('Controle de Entrega'!$I$6:$I$1575,MATCH($A142,'Controle de Entrega'!$K$6:$K$1575,0))=0,"",INDEX('Controle de Entrega'!$I$6:$I$1575,MATCH($A142,'Controle de Entrega'!$K$6:$K$1575,0))),"")</f>
        <v/>
      </c>
    </row>
    <row r="143" customFormat="false" ht="15" hidden="false" customHeight="false" outlineLevel="0" collapsed="false">
      <c r="A143" s="25" t="n">
        <v>47</v>
      </c>
      <c r="B143" s="25" t="str">
        <f aca="false">IFERROR(INDEX('Controle de Entrega'!$A$6:$A$1575,MATCH($A143,'Controle de Entrega'!$K$6:$K$1575,0)),"")</f>
        <v/>
      </c>
      <c r="C143" s="25" t="str">
        <f aca="false">IFERROR(INDEX('Controle de Entrega'!$B$6:$B$1575,MATCH($A143,'Controle de Entrega'!$K$6:$K$1575,0)),"")</f>
        <v/>
      </c>
      <c r="D143" s="26" t="str">
        <f aca="false">IFERROR(INDEX('Controle de Entrega'!$C$6:$C$1575,MATCH($A143,'Controle de Entrega'!$K$6:$K$1575,0)),"")</f>
        <v/>
      </c>
      <c r="E143" s="25" t="str">
        <f aca="false">IFERROR(INDEX('Controle de Entrega'!$D$6:$D$1575,MATCH($A143,'Controle de Entrega'!$K$6:$K$1575,0)),"")</f>
        <v/>
      </c>
      <c r="F143" s="25" t="str">
        <f aca="false">IFERROR(INDEX('Controle de Entrega'!$E$6:$E$1575,MATCH($A143,'Controle de Entrega'!$K$6:$K$1575,0)),"")</f>
        <v/>
      </c>
      <c r="G143" s="25" t="str">
        <f aca="false">IFERROR(INDEX('Controle de Entrega'!$F$6:$F$1575,MATCH($A143,'Controle de Entrega'!$K$6:$K$1575,0)),"")</f>
        <v/>
      </c>
      <c r="H143" s="27" t="str">
        <f aca="false">IFERROR(INDEX('Controle de Entrega'!$G$6:$G$1575,MATCH($A143,'Controle de Entrega'!$K$6:$K$1575,0)),"")</f>
        <v/>
      </c>
      <c r="I143" s="25" t="str">
        <f aca="false">IFERROR(IF(INDEX('Controle de Entrega'!$H$6:$H$1575,MATCH($A143,'Controle de Entrega'!$K$6:$K$1575,0))=0,"",INDEX('Controle de Entrega'!$H$6:$H$1575,MATCH($A143,'Controle de Entrega'!$K$6:$K$1575,0))),"")</f>
        <v/>
      </c>
      <c r="J143" s="26" t="str">
        <f aca="false">IFERROR(IF(INDEX('Controle de Entrega'!$I$6:$I$1575,MATCH($A143,'Controle de Entrega'!$K$6:$K$1575,0))=0,"",INDEX('Controle de Entrega'!$I$6:$I$1575,MATCH($A143,'Controle de Entrega'!$K$6:$K$1575,0))),"")</f>
        <v/>
      </c>
    </row>
    <row r="144" customFormat="false" ht="15" hidden="false" customHeight="false" outlineLevel="0" collapsed="false">
      <c r="A144" s="25" t="n">
        <v>48</v>
      </c>
      <c r="B144" s="25" t="str">
        <f aca="false">IFERROR(INDEX('Controle de Entrega'!$A$6:$A$1575,MATCH($A144,'Controle de Entrega'!$K$6:$K$1575,0)),"")</f>
        <v/>
      </c>
      <c r="C144" s="25" t="str">
        <f aca="false">IFERROR(INDEX('Controle de Entrega'!$B$6:$B$1575,MATCH($A144,'Controle de Entrega'!$K$6:$K$1575,0)),"")</f>
        <v/>
      </c>
      <c r="D144" s="26" t="str">
        <f aca="false">IFERROR(INDEX('Controle de Entrega'!$C$6:$C$1575,MATCH($A144,'Controle de Entrega'!$K$6:$K$1575,0)),"")</f>
        <v/>
      </c>
      <c r="E144" s="25" t="str">
        <f aca="false">IFERROR(INDEX('Controle de Entrega'!$D$6:$D$1575,MATCH($A144,'Controle de Entrega'!$K$6:$K$1575,0)),"")</f>
        <v/>
      </c>
      <c r="F144" s="25" t="str">
        <f aca="false">IFERROR(INDEX('Controle de Entrega'!$E$6:$E$1575,MATCH($A144,'Controle de Entrega'!$K$6:$K$1575,0)),"")</f>
        <v/>
      </c>
      <c r="G144" s="25" t="str">
        <f aca="false">IFERROR(INDEX('Controle de Entrega'!$F$6:$F$1575,MATCH($A144,'Controle de Entrega'!$K$6:$K$1575,0)),"")</f>
        <v/>
      </c>
      <c r="H144" s="27" t="str">
        <f aca="false">IFERROR(INDEX('Controle de Entrega'!$G$6:$G$1575,MATCH($A144,'Controle de Entrega'!$K$6:$K$1575,0)),"")</f>
        <v/>
      </c>
      <c r="I144" s="25" t="str">
        <f aca="false">IFERROR(IF(INDEX('Controle de Entrega'!$H$6:$H$1575,MATCH($A144,'Controle de Entrega'!$K$6:$K$1575,0))=0,"",INDEX('Controle de Entrega'!$H$6:$H$1575,MATCH($A144,'Controle de Entrega'!$K$6:$K$1575,0))),"")</f>
        <v/>
      </c>
      <c r="J144" s="26" t="str">
        <f aca="false">IFERROR(IF(INDEX('Controle de Entrega'!$I$6:$I$1575,MATCH($A144,'Controle de Entrega'!$K$6:$K$1575,0))=0,"",INDEX('Controle de Entrega'!$I$6:$I$1575,MATCH($A144,'Controle de Entrega'!$K$6:$K$1575,0))),"")</f>
        <v/>
      </c>
    </row>
    <row r="145" customFormat="false" ht="15" hidden="false" customHeight="false" outlineLevel="0" collapsed="false">
      <c r="A145" s="25" t="n">
        <v>49</v>
      </c>
      <c r="B145" s="25" t="str">
        <f aca="false">IFERROR(INDEX('Controle de Entrega'!$A$6:$A$1575,MATCH($A145,'Controle de Entrega'!$K$6:$K$1575,0)),"")</f>
        <v/>
      </c>
      <c r="C145" s="25" t="str">
        <f aca="false">IFERROR(INDEX('Controle de Entrega'!$B$6:$B$1575,MATCH($A145,'Controle de Entrega'!$K$6:$K$1575,0)),"")</f>
        <v/>
      </c>
      <c r="D145" s="26" t="str">
        <f aca="false">IFERROR(INDEX('Controle de Entrega'!$C$6:$C$1575,MATCH($A145,'Controle de Entrega'!$K$6:$K$1575,0)),"")</f>
        <v/>
      </c>
      <c r="E145" s="25" t="str">
        <f aca="false">IFERROR(INDEX('Controle de Entrega'!$D$6:$D$1575,MATCH($A145,'Controle de Entrega'!$K$6:$K$1575,0)),"")</f>
        <v/>
      </c>
      <c r="F145" s="25" t="str">
        <f aca="false">IFERROR(INDEX('Controle de Entrega'!$E$6:$E$1575,MATCH($A145,'Controle de Entrega'!$K$6:$K$1575,0)),"")</f>
        <v/>
      </c>
      <c r="G145" s="25" t="str">
        <f aca="false">IFERROR(INDEX('Controle de Entrega'!$F$6:$F$1575,MATCH($A145,'Controle de Entrega'!$K$6:$K$1575,0)),"")</f>
        <v/>
      </c>
      <c r="H145" s="27" t="str">
        <f aca="false">IFERROR(INDEX('Controle de Entrega'!$G$6:$G$1575,MATCH($A145,'Controle de Entrega'!$K$6:$K$1575,0)),"")</f>
        <v/>
      </c>
      <c r="I145" s="25" t="str">
        <f aca="false">IFERROR(IF(INDEX('Controle de Entrega'!$H$6:$H$1575,MATCH($A145,'Controle de Entrega'!$K$6:$K$1575,0))=0,"",INDEX('Controle de Entrega'!$H$6:$H$1575,MATCH($A145,'Controle de Entrega'!$K$6:$K$1575,0))),"")</f>
        <v/>
      </c>
      <c r="J145" s="26" t="str">
        <f aca="false">IFERROR(IF(INDEX('Controle de Entrega'!$I$6:$I$1575,MATCH($A145,'Controle de Entrega'!$K$6:$K$1575,0))=0,"",INDEX('Controle de Entrega'!$I$6:$I$1575,MATCH($A145,'Controle de Entrega'!$K$6:$K$1575,0))),"")</f>
        <v/>
      </c>
    </row>
    <row r="146" customFormat="false" ht="15" hidden="false" customHeight="false" outlineLevel="0" collapsed="false">
      <c r="A146" s="25" t="n">
        <v>50</v>
      </c>
      <c r="B146" s="25" t="str">
        <f aca="false">IFERROR(INDEX('Controle de Entrega'!$A$6:$A$1575,MATCH($A146,'Controle de Entrega'!$K$6:$K$1575,0)),"")</f>
        <v/>
      </c>
      <c r="C146" s="25" t="str">
        <f aca="false">IFERROR(INDEX('Controle de Entrega'!$B$6:$B$1575,MATCH($A146,'Controle de Entrega'!$K$6:$K$1575,0)),"")</f>
        <v/>
      </c>
      <c r="D146" s="26" t="str">
        <f aca="false">IFERROR(INDEX('Controle de Entrega'!$C$6:$C$1575,MATCH($A146,'Controle de Entrega'!$K$6:$K$1575,0)),"")</f>
        <v/>
      </c>
      <c r="E146" s="25" t="str">
        <f aca="false">IFERROR(INDEX('Controle de Entrega'!$D$6:$D$1575,MATCH($A146,'Controle de Entrega'!$K$6:$K$1575,0)),"")</f>
        <v/>
      </c>
      <c r="F146" s="25" t="str">
        <f aca="false">IFERROR(INDEX('Controle de Entrega'!$E$6:$E$1575,MATCH($A146,'Controle de Entrega'!$K$6:$K$1575,0)),"")</f>
        <v/>
      </c>
      <c r="G146" s="25" t="str">
        <f aca="false">IFERROR(INDEX('Controle de Entrega'!$F$6:$F$1575,MATCH($A146,'Controle de Entrega'!$K$6:$K$1575,0)),"")</f>
        <v/>
      </c>
      <c r="H146" s="27" t="str">
        <f aca="false">IFERROR(INDEX('Controle de Entrega'!$G$6:$G$1575,MATCH($A146,'Controle de Entrega'!$K$6:$K$1575,0)),"")</f>
        <v/>
      </c>
      <c r="I146" s="25" t="str">
        <f aca="false">IFERROR(IF(INDEX('Controle de Entrega'!$H$6:$H$1575,MATCH($A146,'Controle de Entrega'!$K$6:$K$1575,0))=0,"",INDEX('Controle de Entrega'!$H$6:$H$1575,MATCH($A146,'Controle de Entrega'!$K$6:$K$1575,0))),"")</f>
        <v/>
      </c>
      <c r="J146" s="26" t="str">
        <f aca="false">IFERROR(IF(INDEX('Controle de Entrega'!$I$6:$I$1575,MATCH($A146,'Controle de Entrega'!$K$6:$K$1575,0))=0,"",INDEX('Controle de Entrega'!$I$6:$I$1575,MATCH($A146,'Controle de Entrega'!$K$6:$K$1575,0))),"")</f>
        <v/>
      </c>
    </row>
    <row r="147" customFormat="false" ht="15" hidden="false" customHeight="false" outlineLevel="0" collapsed="false">
      <c r="A147" s="25" t="n">
        <v>51</v>
      </c>
      <c r="B147" s="25" t="str">
        <f aca="false">IFERROR(INDEX('Controle de Entrega'!$A$6:$A$1575,MATCH($A147,'Controle de Entrega'!$K$6:$K$1575,0)),"")</f>
        <v/>
      </c>
      <c r="C147" s="25" t="str">
        <f aca="false">IFERROR(INDEX('Controle de Entrega'!$B$6:$B$1575,MATCH($A147,'Controle de Entrega'!$K$6:$K$1575,0)),"")</f>
        <v/>
      </c>
      <c r="D147" s="26" t="str">
        <f aca="false">IFERROR(INDEX('Controle de Entrega'!$C$6:$C$1575,MATCH($A147,'Controle de Entrega'!$K$6:$K$1575,0)),"")</f>
        <v/>
      </c>
      <c r="E147" s="25" t="str">
        <f aca="false">IFERROR(INDEX('Controle de Entrega'!$D$6:$D$1575,MATCH($A147,'Controle de Entrega'!$K$6:$K$1575,0)),"")</f>
        <v/>
      </c>
      <c r="F147" s="25" t="str">
        <f aca="false">IFERROR(INDEX('Controle de Entrega'!$E$6:$E$1575,MATCH($A147,'Controle de Entrega'!$K$6:$K$1575,0)),"")</f>
        <v/>
      </c>
      <c r="G147" s="25" t="str">
        <f aca="false">IFERROR(INDEX('Controle de Entrega'!$F$6:$F$1575,MATCH($A147,'Controle de Entrega'!$K$6:$K$1575,0)),"")</f>
        <v/>
      </c>
      <c r="H147" s="27" t="str">
        <f aca="false">IFERROR(INDEX('Controle de Entrega'!$G$6:$G$1575,MATCH($A147,'Controle de Entrega'!$K$6:$K$1575,0)),"")</f>
        <v/>
      </c>
      <c r="I147" s="25" t="str">
        <f aca="false">IFERROR(IF(INDEX('Controle de Entrega'!$H$6:$H$1575,MATCH($A147,'Controle de Entrega'!$K$6:$K$1575,0))=0,"",INDEX('Controle de Entrega'!$H$6:$H$1575,MATCH($A147,'Controle de Entrega'!$K$6:$K$1575,0))),"")</f>
        <v/>
      </c>
      <c r="J147" s="26" t="str">
        <f aca="false">IFERROR(IF(INDEX('Controle de Entrega'!$I$6:$I$1575,MATCH($A147,'Controle de Entrega'!$K$6:$K$1575,0))=0,"",INDEX('Controle de Entrega'!$I$6:$I$1575,MATCH($A147,'Controle de Entrega'!$K$6:$K$1575,0))),"")</f>
        <v/>
      </c>
    </row>
    <row r="148" customFormat="false" ht="15" hidden="false" customHeight="false" outlineLevel="0" collapsed="false">
      <c r="A148" s="25" t="n">
        <v>52</v>
      </c>
      <c r="B148" s="25" t="str">
        <f aca="false">IFERROR(INDEX('Controle de Entrega'!$A$6:$A$1575,MATCH($A148,'Controle de Entrega'!$K$6:$K$1575,0)),"")</f>
        <v/>
      </c>
      <c r="C148" s="25" t="str">
        <f aca="false">IFERROR(INDEX('Controle de Entrega'!$B$6:$B$1575,MATCH($A148,'Controle de Entrega'!$K$6:$K$1575,0)),"")</f>
        <v/>
      </c>
      <c r="D148" s="26" t="str">
        <f aca="false">IFERROR(INDEX('Controle de Entrega'!$C$6:$C$1575,MATCH($A148,'Controle de Entrega'!$K$6:$K$1575,0)),"")</f>
        <v/>
      </c>
      <c r="E148" s="25" t="str">
        <f aca="false">IFERROR(INDEX('Controle de Entrega'!$D$6:$D$1575,MATCH($A148,'Controle de Entrega'!$K$6:$K$1575,0)),"")</f>
        <v/>
      </c>
      <c r="F148" s="25" t="str">
        <f aca="false">IFERROR(INDEX('Controle de Entrega'!$E$6:$E$1575,MATCH($A148,'Controle de Entrega'!$K$6:$K$1575,0)),"")</f>
        <v/>
      </c>
      <c r="G148" s="25" t="str">
        <f aca="false">IFERROR(INDEX('Controle de Entrega'!$F$6:$F$1575,MATCH($A148,'Controle de Entrega'!$K$6:$K$1575,0)),"")</f>
        <v/>
      </c>
      <c r="H148" s="27" t="str">
        <f aca="false">IFERROR(INDEX('Controle de Entrega'!$G$6:$G$1575,MATCH($A148,'Controle de Entrega'!$K$6:$K$1575,0)),"")</f>
        <v/>
      </c>
      <c r="I148" s="25" t="str">
        <f aca="false">IFERROR(IF(INDEX('Controle de Entrega'!$H$6:$H$1575,MATCH($A148,'Controle de Entrega'!$K$6:$K$1575,0))=0,"",INDEX('Controle de Entrega'!$H$6:$H$1575,MATCH($A148,'Controle de Entrega'!$K$6:$K$1575,0))),"")</f>
        <v/>
      </c>
      <c r="J148" s="26" t="str">
        <f aca="false">IFERROR(IF(INDEX('Controle de Entrega'!$I$6:$I$1575,MATCH($A148,'Controle de Entrega'!$K$6:$K$1575,0))=0,"",INDEX('Controle de Entrega'!$I$6:$I$1575,MATCH($A148,'Controle de Entrega'!$K$6:$K$1575,0))),"")</f>
        <v/>
      </c>
    </row>
    <row r="149" customFormat="false" ht="15" hidden="false" customHeight="false" outlineLevel="0" collapsed="false">
      <c r="A149" s="25" t="n">
        <v>53</v>
      </c>
      <c r="B149" s="25" t="str">
        <f aca="false">IFERROR(INDEX('Controle de Entrega'!$A$6:$A$1575,MATCH($A149,'Controle de Entrega'!$K$6:$K$1575,0)),"")</f>
        <v/>
      </c>
      <c r="C149" s="25" t="str">
        <f aca="false">IFERROR(INDEX('Controle de Entrega'!$B$6:$B$1575,MATCH($A149,'Controle de Entrega'!$K$6:$K$1575,0)),"")</f>
        <v/>
      </c>
      <c r="D149" s="26" t="str">
        <f aca="false">IFERROR(INDEX('Controle de Entrega'!$C$6:$C$1575,MATCH($A149,'Controle de Entrega'!$K$6:$K$1575,0)),"")</f>
        <v/>
      </c>
      <c r="E149" s="25" t="str">
        <f aca="false">IFERROR(INDEX('Controle de Entrega'!$D$6:$D$1575,MATCH($A149,'Controle de Entrega'!$K$6:$K$1575,0)),"")</f>
        <v/>
      </c>
      <c r="F149" s="25" t="str">
        <f aca="false">IFERROR(INDEX('Controle de Entrega'!$E$6:$E$1575,MATCH($A149,'Controle de Entrega'!$K$6:$K$1575,0)),"")</f>
        <v/>
      </c>
      <c r="G149" s="25" t="str">
        <f aca="false">IFERROR(INDEX('Controle de Entrega'!$F$6:$F$1575,MATCH($A149,'Controle de Entrega'!$K$6:$K$1575,0)),"")</f>
        <v/>
      </c>
      <c r="H149" s="27" t="str">
        <f aca="false">IFERROR(INDEX('Controle de Entrega'!$G$6:$G$1575,MATCH($A149,'Controle de Entrega'!$K$6:$K$1575,0)),"")</f>
        <v/>
      </c>
      <c r="I149" s="25" t="str">
        <f aca="false">IFERROR(IF(INDEX('Controle de Entrega'!$H$6:$H$1575,MATCH($A149,'Controle de Entrega'!$K$6:$K$1575,0))=0,"",INDEX('Controle de Entrega'!$H$6:$H$1575,MATCH($A149,'Controle de Entrega'!$K$6:$K$1575,0))),"")</f>
        <v/>
      </c>
      <c r="J149" s="26" t="str">
        <f aca="false">IFERROR(IF(INDEX('Controle de Entrega'!$I$6:$I$1575,MATCH($A149,'Controle de Entrega'!$K$6:$K$1575,0))=0,"",INDEX('Controle de Entrega'!$I$6:$I$1575,MATCH($A149,'Controle de Entrega'!$K$6:$K$1575,0))),"")</f>
        <v/>
      </c>
    </row>
    <row r="150" customFormat="false" ht="15" hidden="false" customHeight="false" outlineLevel="0" collapsed="false">
      <c r="A150" s="25" t="n">
        <v>54</v>
      </c>
      <c r="B150" s="25" t="str">
        <f aca="false">IFERROR(INDEX('Controle de Entrega'!$A$6:$A$1575,MATCH($A150,'Controle de Entrega'!$K$6:$K$1575,0)),"")</f>
        <v/>
      </c>
      <c r="C150" s="25" t="str">
        <f aca="false">IFERROR(INDEX('Controle de Entrega'!$B$6:$B$1575,MATCH($A150,'Controle de Entrega'!$K$6:$K$1575,0)),"")</f>
        <v/>
      </c>
      <c r="D150" s="26" t="str">
        <f aca="false">IFERROR(INDEX('Controle de Entrega'!$C$6:$C$1575,MATCH($A150,'Controle de Entrega'!$K$6:$K$1575,0)),"")</f>
        <v/>
      </c>
      <c r="E150" s="25" t="str">
        <f aca="false">IFERROR(INDEX('Controle de Entrega'!$D$6:$D$1575,MATCH($A150,'Controle de Entrega'!$K$6:$K$1575,0)),"")</f>
        <v/>
      </c>
      <c r="F150" s="25" t="str">
        <f aca="false">IFERROR(INDEX('Controle de Entrega'!$E$6:$E$1575,MATCH($A150,'Controle de Entrega'!$K$6:$K$1575,0)),"")</f>
        <v/>
      </c>
      <c r="G150" s="25" t="str">
        <f aca="false">IFERROR(INDEX('Controle de Entrega'!$F$6:$F$1575,MATCH($A150,'Controle de Entrega'!$K$6:$K$1575,0)),"")</f>
        <v/>
      </c>
      <c r="H150" s="27" t="str">
        <f aca="false">IFERROR(INDEX('Controle de Entrega'!$G$6:$G$1575,MATCH($A150,'Controle de Entrega'!$K$6:$K$1575,0)),"")</f>
        <v/>
      </c>
      <c r="I150" s="25" t="str">
        <f aca="false">IFERROR(IF(INDEX('Controle de Entrega'!$H$6:$H$1575,MATCH($A150,'Controle de Entrega'!$K$6:$K$1575,0))=0,"",INDEX('Controle de Entrega'!$H$6:$H$1575,MATCH($A150,'Controle de Entrega'!$K$6:$K$1575,0))),"")</f>
        <v/>
      </c>
      <c r="J150" s="26" t="str">
        <f aca="false">IFERROR(IF(INDEX('Controle de Entrega'!$I$6:$I$1575,MATCH($A150,'Controle de Entrega'!$K$6:$K$1575,0))=0,"",INDEX('Controle de Entrega'!$I$6:$I$1575,MATCH($A150,'Controle de Entrega'!$K$6:$K$1575,0))),"")</f>
        <v/>
      </c>
    </row>
    <row r="151" customFormat="false" ht="15" hidden="false" customHeight="false" outlineLevel="0" collapsed="false">
      <c r="A151" s="25" t="n">
        <v>55</v>
      </c>
      <c r="B151" s="25" t="str">
        <f aca="false">IFERROR(INDEX('Controle de Entrega'!$A$6:$A$1575,MATCH($A151,'Controle de Entrega'!$K$6:$K$1575,0)),"")</f>
        <v/>
      </c>
      <c r="C151" s="25" t="str">
        <f aca="false">IFERROR(INDEX('Controle de Entrega'!$B$6:$B$1575,MATCH($A151,'Controle de Entrega'!$K$6:$K$1575,0)),"")</f>
        <v/>
      </c>
      <c r="D151" s="26" t="str">
        <f aca="false">IFERROR(INDEX('Controle de Entrega'!$C$6:$C$1575,MATCH($A151,'Controle de Entrega'!$K$6:$K$1575,0)),"")</f>
        <v/>
      </c>
      <c r="E151" s="25" t="str">
        <f aca="false">IFERROR(INDEX('Controle de Entrega'!$D$6:$D$1575,MATCH($A151,'Controle de Entrega'!$K$6:$K$1575,0)),"")</f>
        <v/>
      </c>
      <c r="F151" s="25" t="str">
        <f aca="false">IFERROR(INDEX('Controle de Entrega'!$E$6:$E$1575,MATCH($A151,'Controle de Entrega'!$K$6:$K$1575,0)),"")</f>
        <v/>
      </c>
      <c r="G151" s="25" t="str">
        <f aca="false">IFERROR(INDEX('Controle de Entrega'!$F$6:$F$1575,MATCH($A151,'Controle de Entrega'!$K$6:$K$1575,0)),"")</f>
        <v/>
      </c>
      <c r="H151" s="27" t="str">
        <f aca="false">IFERROR(INDEX('Controle de Entrega'!$G$6:$G$1575,MATCH($A151,'Controle de Entrega'!$K$6:$K$1575,0)),"")</f>
        <v/>
      </c>
      <c r="I151" s="25" t="str">
        <f aca="false">IFERROR(IF(INDEX('Controle de Entrega'!$H$6:$H$1575,MATCH($A151,'Controle de Entrega'!$K$6:$K$1575,0))=0,"",INDEX('Controle de Entrega'!$H$6:$H$1575,MATCH($A151,'Controle de Entrega'!$K$6:$K$1575,0))),"")</f>
        <v/>
      </c>
      <c r="J151" s="26" t="str">
        <f aca="false">IFERROR(IF(INDEX('Controle de Entrega'!$I$6:$I$1575,MATCH($A151,'Controle de Entrega'!$K$6:$K$1575,0))=0,"",INDEX('Controle de Entrega'!$I$6:$I$1575,MATCH($A151,'Controle de Entrega'!$K$6:$K$1575,0))),"")</f>
        <v/>
      </c>
    </row>
    <row r="152" customFormat="false" ht="15" hidden="false" customHeight="false" outlineLevel="0" collapsed="false">
      <c r="A152" s="25" t="n">
        <v>56</v>
      </c>
      <c r="B152" s="25" t="str">
        <f aca="false">IFERROR(INDEX('Controle de Entrega'!$A$6:$A$1575,MATCH($A152,'Controle de Entrega'!$K$6:$K$1575,0)),"")</f>
        <v/>
      </c>
      <c r="C152" s="25" t="str">
        <f aca="false">IFERROR(INDEX('Controle de Entrega'!$B$6:$B$1575,MATCH($A152,'Controle de Entrega'!$K$6:$K$1575,0)),"")</f>
        <v/>
      </c>
      <c r="D152" s="26" t="str">
        <f aca="false">IFERROR(INDEX('Controle de Entrega'!$C$6:$C$1575,MATCH($A152,'Controle de Entrega'!$K$6:$K$1575,0)),"")</f>
        <v/>
      </c>
      <c r="E152" s="25" t="str">
        <f aca="false">IFERROR(INDEX('Controle de Entrega'!$D$6:$D$1575,MATCH($A152,'Controle de Entrega'!$K$6:$K$1575,0)),"")</f>
        <v/>
      </c>
      <c r="F152" s="25" t="str">
        <f aca="false">IFERROR(INDEX('Controle de Entrega'!$E$6:$E$1575,MATCH($A152,'Controle de Entrega'!$K$6:$K$1575,0)),"")</f>
        <v/>
      </c>
      <c r="G152" s="25" t="str">
        <f aca="false">IFERROR(INDEX('Controle de Entrega'!$F$6:$F$1575,MATCH($A152,'Controle de Entrega'!$K$6:$K$1575,0)),"")</f>
        <v/>
      </c>
      <c r="H152" s="27" t="str">
        <f aca="false">IFERROR(INDEX('Controle de Entrega'!$G$6:$G$1575,MATCH($A152,'Controle de Entrega'!$K$6:$K$1575,0)),"")</f>
        <v/>
      </c>
      <c r="I152" s="25" t="str">
        <f aca="false">IFERROR(IF(INDEX('Controle de Entrega'!$H$6:$H$1575,MATCH($A152,'Controle de Entrega'!$K$6:$K$1575,0))=0,"",INDEX('Controle de Entrega'!$H$6:$H$1575,MATCH($A152,'Controle de Entrega'!$K$6:$K$1575,0))),"")</f>
        <v/>
      </c>
      <c r="J152" s="26" t="str">
        <f aca="false">IFERROR(IF(INDEX('Controle de Entrega'!$I$6:$I$1575,MATCH($A152,'Controle de Entrega'!$K$6:$K$1575,0))=0,"",INDEX('Controle de Entrega'!$I$6:$I$1575,MATCH($A152,'Controle de Entrega'!$K$6:$K$1575,0))),"")</f>
        <v/>
      </c>
    </row>
    <row r="153" customFormat="false" ht="15" hidden="false" customHeight="false" outlineLevel="0" collapsed="false">
      <c r="A153" s="25" t="n">
        <v>57</v>
      </c>
      <c r="B153" s="25" t="str">
        <f aca="false">IFERROR(INDEX('Controle de Entrega'!$A$6:$A$1575,MATCH($A153,'Controle de Entrega'!$K$6:$K$1575,0)),"")</f>
        <v/>
      </c>
      <c r="C153" s="25" t="str">
        <f aca="false">IFERROR(INDEX('Controle de Entrega'!$B$6:$B$1575,MATCH($A153,'Controle de Entrega'!$K$6:$K$1575,0)),"")</f>
        <v/>
      </c>
      <c r="D153" s="26" t="str">
        <f aca="false">IFERROR(INDEX('Controle de Entrega'!$C$6:$C$1575,MATCH($A153,'Controle de Entrega'!$K$6:$K$1575,0)),"")</f>
        <v/>
      </c>
      <c r="E153" s="25" t="str">
        <f aca="false">IFERROR(INDEX('Controle de Entrega'!$D$6:$D$1575,MATCH($A153,'Controle de Entrega'!$K$6:$K$1575,0)),"")</f>
        <v/>
      </c>
      <c r="F153" s="25" t="str">
        <f aca="false">IFERROR(INDEX('Controle de Entrega'!$E$6:$E$1575,MATCH($A153,'Controle de Entrega'!$K$6:$K$1575,0)),"")</f>
        <v/>
      </c>
      <c r="G153" s="25" t="str">
        <f aca="false">IFERROR(INDEX('Controle de Entrega'!$F$6:$F$1575,MATCH($A153,'Controle de Entrega'!$K$6:$K$1575,0)),"")</f>
        <v/>
      </c>
      <c r="H153" s="27" t="str">
        <f aca="false">IFERROR(INDEX('Controle de Entrega'!$G$6:$G$1575,MATCH($A153,'Controle de Entrega'!$K$6:$K$1575,0)),"")</f>
        <v/>
      </c>
      <c r="I153" s="25" t="str">
        <f aca="false">IFERROR(IF(INDEX('Controle de Entrega'!$H$6:$H$1575,MATCH($A153,'Controle de Entrega'!$K$6:$K$1575,0))=0,"",INDEX('Controle de Entrega'!$H$6:$H$1575,MATCH($A153,'Controle de Entrega'!$K$6:$K$1575,0))),"")</f>
        <v/>
      </c>
      <c r="J153" s="26" t="str">
        <f aca="false">IFERROR(IF(INDEX('Controle de Entrega'!$I$6:$I$1575,MATCH($A153,'Controle de Entrega'!$K$6:$K$1575,0))=0,"",INDEX('Controle de Entrega'!$I$6:$I$1575,MATCH($A153,'Controle de Entrega'!$K$6:$K$1575,0))),"")</f>
        <v/>
      </c>
    </row>
    <row r="154" customFormat="false" ht="15" hidden="false" customHeight="false" outlineLevel="0" collapsed="false">
      <c r="A154" s="25" t="n">
        <v>58</v>
      </c>
      <c r="B154" s="25" t="str">
        <f aca="false">IFERROR(INDEX('Controle de Entrega'!$A$6:$A$1575,MATCH($A154,'Controle de Entrega'!$K$6:$K$1575,0)),"")</f>
        <v/>
      </c>
      <c r="C154" s="25" t="str">
        <f aca="false">IFERROR(INDEX('Controle de Entrega'!$B$6:$B$1575,MATCH($A154,'Controle de Entrega'!$K$6:$K$1575,0)),"")</f>
        <v/>
      </c>
      <c r="D154" s="26" t="str">
        <f aca="false">IFERROR(INDEX('Controle de Entrega'!$C$6:$C$1575,MATCH($A154,'Controle de Entrega'!$K$6:$K$1575,0)),"")</f>
        <v/>
      </c>
      <c r="E154" s="25" t="str">
        <f aca="false">IFERROR(INDEX('Controle de Entrega'!$D$6:$D$1575,MATCH($A154,'Controle de Entrega'!$K$6:$K$1575,0)),"")</f>
        <v/>
      </c>
      <c r="F154" s="25" t="str">
        <f aca="false">IFERROR(INDEX('Controle de Entrega'!$E$6:$E$1575,MATCH($A154,'Controle de Entrega'!$K$6:$K$1575,0)),"")</f>
        <v/>
      </c>
      <c r="G154" s="25" t="str">
        <f aca="false">IFERROR(INDEX('Controle de Entrega'!$F$6:$F$1575,MATCH($A154,'Controle de Entrega'!$K$6:$K$1575,0)),"")</f>
        <v/>
      </c>
      <c r="H154" s="27" t="str">
        <f aca="false">IFERROR(INDEX('Controle de Entrega'!$G$6:$G$1575,MATCH($A154,'Controle de Entrega'!$K$6:$K$1575,0)),"")</f>
        <v/>
      </c>
      <c r="I154" s="25" t="str">
        <f aca="false">IFERROR(IF(INDEX('Controle de Entrega'!$H$6:$H$1575,MATCH($A154,'Controle de Entrega'!$K$6:$K$1575,0))=0,"",INDEX('Controle de Entrega'!$H$6:$H$1575,MATCH($A154,'Controle de Entrega'!$K$6:$K$1575,0))),"")</f>
        <v/>
      </c>
      <c r="J154" s="26" t="str">
        <f aca="false">IFERROR(IF(INDEX('Controle de Entrega'!$I$6:$I$1575,MATCH($A154,'Controle de Entrega'!$K$6:$K$1575,0))=0,"",INDEX('Controle de Entrega'!$I$6:$I$1575,MATCH($A154,'Controle de Entrega'!$K$6:$K$1575,0))),"")</f>
        <v/>
      </c>
    </row>
    <row r="155" customFormat="false" ht="15" hidden="false" customHeight="false" outlineLevel="0" collapsed="false">
      <c r="A155" s="25" t="n">
        <v>59</v>
      </c>
      <c r="B155" s="25" t="str">
        <f aca="false">IFERROR(INDEX('Controle de Entrega'!$A$6:$A$1575,MATCH($A155,'Controle de Entrega'!$K$6:$K$1575,0)),"")</f>
        <v/>
      </c>
      <c r="C155" s="25" t="str">
        <f aca="false">IFERROR(INDEX('Controle de Entrega'!$B$6:$B$1575,MATCH($A155,'Controle de Entrega'!$K$6:$K$1575,0)),"")</f>
        <v/>
      </c>
      <c r="D155" s="26" t="str">
        <f aca="false">IFERROR(INDEX('Controle de Entrega'!$C$6:$C$1575,MATCH($A155,'Controle de Entrega'!$K$6:$K$1575,0)),"")</f>
        <v/>
      </c>
      <c r="E155" s="25" t="str">
        <f aca="false">IFERROR(INDEX('Controle de Entrega'!$D$6:$D$1575,MATCH($A155,'Controle de Entrega'!$K$6:$K$1575,0)),"")</f>
        <v/>
      </c>
      <c r="F155" s="25" t="str">
        <f aca="false">IFERROR(INDEX('Controle de Entrega'!$E$6:$E$1575,MATCH($A155,'Controle de Entrega'!$K$6:$K$1575,0)),"")</f>
        <v/>
      </c>
      <c r="G155" s="25" t="str">
        <f aca="false">IFERROR(INDEX('Controle de Entrega'!$F$6:$F$1575,MATCH($A155,'Controle de Entrega'!$K$6:$K$1575,0)),"")</f>
        <v/>
      </c>
      <c r="H155" s="27" t="str">
        <f aca="false">IFERROR(INDEX('Controle de Entrega'!$G$6:$G$1575,MATCH($A155,'Controle de Entrega'!$K$6:$K$1575,0)),"")</f>
        <v/>
      </c>
      <c r="I155" s="25" t="str">
        <f aca="false">IFERROR(IF(INDEX('Controle de Entrega'!$H$6:$H$1575,MATCH($A155,'Controle de Entrega'!$K$6:$K$1575,0))=0,"",INDEX('Controle de Entrega'!$H$6:$H$1575,MATCH($A155,'Controle de Entrega'!$K$6:$K$1575,0))),"")</f>
        <v/>
      </c>
      <c r="J155" s="26" t="str">
        <f aca="false">IFERROR(IF(INDEX('Controle de Entrega'!$I$6:$I$1575,MATCH($A155,'Controle de Entrega'!$K$6:$K$1575,0))=0,"",INDEX('Controle de Entrega'!$I$6:$I$1575,MATCH($A155,'Controle de Entrega'!$K$6:$K$1575,0))),"")</f>
        <v/>
      </c>
    </row>
    <row r="156" customFormat="false" ht="15" hidden="false" customHeight="false" outlineLevel="0" collapsed="false">
      <c r="A156" s="25" t="n">
        <v>60</v>
      </c>
      <c r="B156" s="25" t="str">
        <f aca="false">IFERROR(INDEX('Controle de Entrega'!$A$6:$A$1575,MATCH($A156,'Controle de Entrega'!$K$6:$K$1575,0)),"")</f>
        <v/>
      </c>
      <c r="C156" s="25" t="str">
        <f aca="false">IFERROR(INDEX('Controle de Entrega'!$B$6:$B$1575,MATCH($A156,'Controle de Entrega'!$K$6:$K$1575,0)),"")</f>
        <v/>
      </c>
      <c r="D156" s="26" t="str">
        <f aca="false">IFERROR(INDEX('Controle de Entrega'!$C$6:$C$1575,MATCH($A156,'Controle de Entrega'!$K$6:$K$1575,0)),"")</f>
        <v/>
      </c>
      <c r="E156" s="25" t="str">
        <f aca="false">IFERROR(INDEX('Controle de Entrega'!$D$6:$D$1575,MATCH($A156,'Controle de Entrega'!$K$6:$K$1575,0)),"")</f>
        <v/>
      </c>
      <c r="F156" s="25" t="str">
        <f aca="false">IFERROR(INDEX('Controle de Entrega'!$E$6:$E$1575,MATCH($A156,'Controle de Entrega'!$K$6:$K$1575,0)),"")</f>
        <v/>
      </c>
      <c r="G156" s="25" t="str">
        <f aca="false">IFERROR(INDEX('Controle de Entrega'!$F$6:$F$1575,MATCH($A156,'Controle de Entrega'!$K$6:$K$1575,0)),"")</f>
        <v/>
      </c>
      <c r="H156" s="27" t="str">
        <f aca="false">IFERROR(INDEX('Controle de Entrega'!$G$6:$G$1575,MATCH($A156,'Controle de Entrega'!$K$6:$K$1575,0)),"")</f>
        <v/>
      </c>
      <c r="I156" s="25" t="str">
        <f aca="false">IFERROR(IF(INDEX('Controle de Entrega'!$H$6:$H$1575,MATCH($A156,'Controle de Entrega'!$K$6:$K$1575,0))=0,"",INDEX('Controle de Entrega'!$H$6:$H$1575,MATCH($A156,'Controle de Entrega'!$K$6:$K$1575,0))),"")</f>
        <v/>
      </c>
      <c r="J156" s="26" t="str">
        <f aca="false">IFERROR(IF(INDEX('Controle de Entrega'!$I$6:$I$1575,MATCH($A156,'Controle de Entrega'!$K$6:$K$1575,0))=0,"",INDEX('Controle de Entrega'!$I$6:$I$1575,MATCH($A156,'Controle de Entrega'!$K$6:$K$1575,0))),"")</f>
        <v/>
      </c>
    </row>
    <row r="157" customFormat="false" ht="15" hidden="false" customHeight="false" outlineLevel="0" collapsed="false">
      <c r="A157" s="25" t="n">
        <v>61</v>
      </c>
      <c r="B157" s="25" t="str">
        <f aca="false">IFERROR(INDEX('Controle de Entrega'!$A$6:$A$1575,MATCH($A157,'Controle de Entrega'!$K$6:$K$1575,0)),"")</f>
        <v/>
      </c>
      <c r="C157" s="25" t="str">
        <f aca="false">IFERROR(INDEX('Controle de Entrega'!$B$6:$B$1575,MATCH($A157,'Controle de Entrega'!$K$6:$K$1575,0)),"")</f>
        <v/>
      </c>
      <c r="D157" s="26" t="str">
        <f aca="false">IFERROR(INDEX('Controle de Entrega'!$C$6:$C$1575,MATCH($A157,'Controle de Entrega'!$K$6:$K$1575,0)),"")</f>
        <v/>
      </c>
      <c r="E157" s="25" t="str">
        <f aca="false">IFERROR(INDEX('Controle de Entrega'!$D$6:$D$1575,MATCH($A157,'Controle de Entrega'!$K$6:$K$1575,0)),"")</f>
        <v/>
      </c>
      <c r="F157" s="25" t="str">
        <f aca="false">IFERROR(INDEX('Controle de Entrega'!$E$6:$E$1575,MATCH($A157,'Controle de Entrega'!$K$6:$K$1575,0)),"")</f>
        <v/>
      </c>
      <c r="G157" s="25" t="str">
        <f aca="false">IFERROR(INDEX('Controle de Entrega'!$F$6:$F$1575,MATCH($A157,'Controle de Entrega'!$K$6:$K$1575,0)),"")</f>
        <v/>
      </c>
      <c r="H157" s="27" t="str">
        <f aca="false">IFERROR(INDEX('Controle de Entrega'!$G$6:$G$1575,MATCH($A157,'Controle de Entrega'!$K$6:$K$1575,0)),"")</f>
        <v/>
      </c>
      <c r="I157" s="25" t="str">
        <f aca="false">IFERROR(IF(INDEX('Controle de Entrega'!$H$6:$H$1575,MATCH($A157,'Controle de Entrega'!$K$6:$K$1575,0))=0,"",INDEX('Controle de Entrega'!$H$6:$H$1575,MATCH($A157,'Controle de Entrega'!$K$6:$K$1575,0))),"")</f>
        <v/>
      </c>
      <c r="J157" s="26" t="str">
        <f aca="false">IFERROR(IF(INDEX('Controle de Entrega'!$I$6:$I$1575,MATCH($A157,'Controle de Entrega'!$K$6:$K$1575,0))=0,"",INDEX('Controle de Entrega'!$I$6:$I$1575,MATCH($A157,'Controle de Entrega'!$K$6:$K$1575,0))),"")</f>
        <v/>
      </c>
    </row>
    <row r="158" customFormat="false" ht="15" hidden="false" customHeight="false" outlineLevel="0" collapsed="false">
      <c r="A158" s="25" t="n">
        <v>62</v>
      </c>
      <c r="B158" s="25" t="str">
        <f aca="false">IFERROR(INDEX('Controle de Entrega'!$A$6:$A$1575,MATCH($A158,'Controle de Entrega'!$K$6:$K$1575,0)),"")</f>
        <v/>
      </c>
      <c r="C158" s="25" t="str">
        <f aca="false">IFERROR(INDEX('Controle de Entrega'!$B$6:$B$1575,MATCH($A158,'Controle de Entrega'!$K$6:$K$1575,0)),"")</f>
        <v/>
      </c>
      <c r="D158" s="26" t="str">
        <f aca="false">IFERROR(INDEX('Controle de Entrega'!$C$6:$C$1575,MATCH($A158,'Controle de Entrega'!$K$6:$K$1575,0)),"")</f>
        <v/>
      </c>
      <c r="E158" s="25" t="str">
        <f aca="false">IFERROR(INDEX('Controle de Entrega'!$D$6:$D$1575,MATCH($A158,'Controle de Entrega'!$K$6:$K$1575,0)),"")</f>
        <v/>
      </c>
      <c r="F158" s="25" t="str">
        <f aca="false">IFERROR(INDEX('Controle de Entrega'!$E$6:$E$1575,MATCH($A158,'Controle de Entrega'!$K$6:$K$1575,0)),"")</f>
        <v/>
      </c>
      <c r="G158" s="25" t="str">
        <f aca="false">IFERROR(INDEX('Controle de Entrega'!$F$6:$F$1575,MATCH($A158,'Controle de Entrega'!$K$6:$K$1575,0)),"")</f>
        <v/>
      </c>
      <c r="H158" s="27" t="str">
        <f aca="false">IFERROR(INDEX('Controle de Entrega'!$G$6:$G$1575,MATCH($A158,'Controle de Entrega'!$K$6:$K$1575,0)),"")</f>
        <v/>
      </c>
      <c r="I158" s="25" t="str">
        <f aca="false">IFERROR(IF(INDEX('Controle de Entrega'!$H$6:$H$1575,MATCH($A158,'Controle de Entrega'!$K$6:$K$1575,0))=0,"",INDEX('Controle de Entrega'!$H$6:$H$1575,MATCH($A158,'Controle de Entrega'!$K$6:$K$1575,0))),"")</f>
        <v/>
      </c>
      <c r="J158" s="26" t="str">
        <f aca="false">IFERROR(IF(INDEX('Controle de Entrega'!$I$6:$I$1575,MATCH($A158,'Controle de Entrega'!$K$6:$K$1575,0))=0,"",INDEX('Controle de Entrega'!$I$6:$I$1575,MATCH($A158,'Controle de Entrega'!$K$6:$K$1575,0))),"")</f>
        <v/>
      </c>
    </row>
    <row r="159" customFormat="false" ht="15" hidden="false" customHeight="false" outlineLevel="0" collapsed="false">
      <c r="A159" s="25" t="n">
        <v>63</v>
      </c>
      <c r="B159" s="25" t="str">
        <f aca="false">IFERROR(INDEX('Controle de Entrega'!$A$6:$A$1575,MATCH($A159,'Controle de Entrega'!$K$6:$K$1575,0)),"")</f>
        <v/>
      </c>
      <c r="C159" s="25" t="str">
        <f aca="false">IFERROR(INDEX('Controle de Entrega'!$B$6:$B$1575,MATCH($A159,'Controle de Entrega'!$K$6:$K$1575,0)),"")</f>
        <v/>
      </c>
      <c r="D159" s="26" t="str">
        <f aca="false">IFERROR(INDEX('Controle de Entrega'!$C$6:$C$1575,MATCH($A159,'Controle de Entrega'!$K$6:$K$1575,0)),"")</f>
        <v/>
      </c>
      <c r="E159" s="25" t="str">
        <f aca="false">IFERROR(INDEX('Controle de Entrega'!$D$6:$D$1575,MATCH($A159,'Controle de Entrega'!$K$6:$K$1575,0)),"")</f>
        <v/>
      </c>
      <c r="F159" s="25" t="str">
        <f aca="false">IFERROR(INDEX('Controle de Entrega'!$E$6:$E$1575,MATCH($A159,'Controle de Entrega'!$K$6:$K$1575,0)),"")</f>
        <v/>
      </c>
      <c r="G159" s="25" t="str">
        <f aca="false">IFERROR(INDEX('Controle de Entrega'!$F$6:$F$1575,MATCH($A159,'Controle de Entrega'!$K$6:$K$1575,0)),"")</f>
        <v/>
      </c>
      <c r="H159" s="27" t="str">
        <f aca="false">IFERROR(INDEX('Controle de Entrega'!$G$6:$G$1575,MATCH($A159,'Controle de Entrega'!$K$6:$K$1575,0)),"")</f>
        <v/>
      </c>
      <c r="I159" s="25" t="str">
        <f aca="false">IFERROR(IF(INDEX('Controle de Entrega'!$H$6:$H$1575,MATCH($A159,'Controle de Entrega'!$K$6:$K$1575,0))=0,"",INDEX('Controle de Entrega'!$H$6:$H$1575,MATCH($A159,'Controle de Entrega'!$K$6:$K$1575,0))),"")</f>
        <v/>
      </c>
      <c r="J159" s="26" t="str">
        <f aca="false">IFERROR(IF(INDEX('Controle de Entrega'!$I$6:$I$1575,MATCH($A159,'Controle de Entrega'!$K$6:$K$1575,0))=0,"",INDEX('Controle de Entrega'!$I$6:$I$1575,MATCH($A159,'Controle de Entrega'!$K$6:$K$1575,0))),"")</f>
        <v/>
      </c>
    </row>
    <row r="160" customFormat="false" ht="15" hidden="false" customHeight="false" outlineLevel="0" collapsed="false">
      <c r="A160" s="25" t="n">
        <v>64</v>
      </c>
      <c r="B160" s="25" t="str">
        <f aca="false">IFERROR(INDEX('Controle de Entrega'!$A$6:$A$1575,MATCH($A160,'Controle de Entrega'!$K$6:$K$1575,0)),"")</f>
        <v/>
      </c>
      <c r="C160" s="25" t="str">
        <f aca="false">IFERROR(INDEX('Controle de Entrega'!$B$6:$B$1575,MATCH($A160,'Controle de Entrega'!$K$6:$K$1575,0)),"")</f>
        <v/>
      </c>
      <c r="D160" s="26" t="str">
        <f aca="false">IFERROR(INDEX('Controle de Entrega'!$C$6:$C$1575,MATCH($A160,'Controle de Entrega'!$K$6:$K$1575,0)),"")</f>
        <v/>
      </c>
      <c r="E160" s="25" t="str">
        <f aca="false">IFERROR(INDEX('Controle de Entrega'!$D$6:$D$1575,MATCH($A160,'Controle de Entrega'!$K$6:$K$1575,0)),"")</f>
        <v/>
      </c>
      <c r="F160" s="25" t="str">
        <f aca="false">IFERROR(INDEX('Controle de Entrega'!$E$6:$E$1575,MATCH($A160,'Controle de Entrega'!$K$6:$K$1575,0)),"")</f>
        <v/>
      </c>
      <c r="G160" s="25" t="str">
        <f aca="false">IFERROR(INDEX('Controle de Entrega'!$F$6:$F$1575,MATCH($A160,'Controle de Entrega'!$K$6:$K$1575,0)),"")</f>
        <v/>
      </c>
      <c r="H160" s="27" t="str">
        <f aca="false">IFERROR(INDEX('Controle de Entrega'!$G$6:$G$1575,MATCH($A160,'Controle de Entrega'!$K$6:$K$1575,0)),"")</f>
        <v/>
      </c>
      <c r="I160" s="25" t="str">
        <f aca="false">IFERROR(IF(INDEX('Controle de Entrega'!$H$6:$H$1575,MATCH($A160,'Controle de Entrega'!$K$6:$K$1575,0))=0,"",INDEX('Controle de Entrega'!$H$6:$H$1575,MATCH($A160,'Controle de Entrega'!$K$6:$K$1575,0))),"")</f>
        <v/>
      </c>
      <c r="J160" s="26" t="str">
        <f aca="false">IFERROR(IF(INDEX('Controle de Entrega'!$I$6:$I$1575,MATCH($A160,'Controle de Entrega'!$K$6:$K$1575,0))=0,"",INDEX('Controle de Entrega'!$I$6:$I$1575,MATCH($A160,'Controle de Entrega'!$K$6:$K$1575,0))),"")</f>
        <v/>
      </c>
    </row>
    <row r="161" customFormat="false" ht="15" hidden="false" customHeight="false" outlineLevel="0" collapsed="false">
      <c r="A161" s="25" t="n">
        <v>65</v>
      </c>
      <c r="B161" s="25" t="str">
        <f aca="false">IFERROR(INDEX('Controle de Entrega'!$A$6:$A$1575,MATCH($A161,'Controle de Entrega'!$K$6:$K$1575,0)),"")</f>
        <v/>
      </c>
      <c r="C161" s="25" t="str">
        <f aca="false">IFERROR(INDEX('Controle de Entrega'!$B$6:$B$1575,MATCH($A161,'Controle de Entrega'!$K$6:$K$1575,0)),"")</f>
        <v/>
      </c>
      <c r="D161" s="26" t="str">
        <f aca="false">IFERROR(INDEX('Controle de Entrega'!$C$6:$C$1575,MATCH($A161,'Controle de Entrega'!$K$6:$K$1575,0)),"")</f>
        <v/>
      </c>
      <c r="E161" s="25" t="str">
        <f aca="false">IFERROR(INDEX('Controle de Entrega'!$D$6:$D$1575,MATCH($A161,'Controle de Entrega'!$K$6:$K$1575,0)),"")</f>
        <v/>
      </c>
      <c r="F161" s="25" t="str">
        <f aca="false">IFERROR(INDEX('Controle de Entrega'!$E$6:$E$1575,MATCH($A161,'Controle de Entrega'!$K$6:$K$1575,0)),"")</f>
        <v/>
      </c>
      <c r="G161" s="25" t="str">
        <f aca="false">IFERROR(INDEX('Controle de Entrega'!$F$6:$F$1575,MATCH($A161,'Controle de Entrega'!$K$6:$K$1575,0)),"")</f>
        <v/>
      </c>
      <c r="H161" s="27" t="str">
        <f aca="false">IFERROR(INDEX('Controle de Entrega'!$G$6:$G$1575,MATCH($A161,'Controle de Entrega'!$K$6:$K$1575,0)),"")</f>
        <v/>
      </c>
      <c r="I161" s="25" t="str">
        <f aca="false">IFERROR(IF(INDEX('Controle de Entrega'!$H$6:$H$1575,MATCH($A161,'Controle de Entrega'!$K$6:$K$1575,0))=0,"",INDEX('Controle de Entrega'!$H$6:$H$1575,MATCH($A161,'Controle de Entrega'!$K$6:$K$1575,0))),"")</f>
        <v/>
      </c>
      <c r="J161" s="26" t="str">
        <f aca="false">IFERROR(IF(INDEX('Controle de Entrega'!$I$6:$I$1575,MATCH($A161,'Controle de Entrega'!$K$6:$K$1575,0))=0,"",INDEX('Controle de Entrega'!$I$6:$I$1575,MATCH($A161,'Controle de Entrega'!$K$6:$K$1575,0))),"")</f>
        <v/>
      </c>
    </row>
    <row r="162" customFormat="false" ht="15" hidden="false" customHeight="false" outlineLevel="0" collapsed="false">
      <c r="A162" s="25" t="n">
        <v>66</v>
      </c>
      <c r="B162" s="25" t="str">
        <f aca="false">IFERROR(INDEX('Controle de Entrega'!$A$6:$A$1575,MATCH($A162,'Controle de Entrega'!$K$6:$K$1575,0)),"")</f>
        <v/>
      </c>
      <c r="C162" s="25" t="str">
        <f aca="false">IFERROR(INDEX('Controle de Entrega'!$B$6:$B$1575,MATCH($A162,'Controle de Entrega'!$K$6:$K$1575,0)),"")</f>
        <v/>
      </c>
      <c r="D162" s="26" t="str">
        <f aca="false">IFERROR(INDEX('Controle de Entrega'!$C$6:$C$1575,MATCH($A162,'Controle de Entrega'!$K$6:$K$1575,0)),"")</f>
        <v/>
      </c>
      <c r="E162" s="25" t="str">
        <f aca="false">IFERROR(INDEX('Controle de Entrega'!$D$6:$D$1575,MATCH($A162,'Controle de Entrega'!$K$6:$K$1575,0)),"")</f>
        <v/>
      </c>
      <c r="F162" s="25" t="str">
        <f aca="false">IFERROR(INDEX('Controle de Entrega'!$E$6:$E$1575,MATCH($A162,'Controle de Entrega'!$K$6:$K$1575,0)),"")</f>
        <v/>
      </c>
      <c r="G162" s="25" t="str">
        <f aca="false">IFERROR(INDEX('Controle de Entrega'!$F$6:$F$1575,MATCH($A162,'Controle de Entrega'!$K$6:$K$1575,0)),"")</f>
        <v/>
      </c>
      <c r="H162" s="27" t="str">
        <f aca="false">IFERROR(INDEX('Controle de Entrega'!$G$6:$G$1575,MATCH($A162,'Controle de Entrega'!$K$6:$K$1575,0)),"")</f>
        <v/>
      </c>
      <c r="I162" s="25" t="str">
        <f aca="false">IFERROR(IF(INDEX('Controle de Entrega'!$H$6:$H$1575,MATCH($A162,'Controle de Entrega'!$K$6:$K$1575,0))=0,"",INDEX('Controle de Entrega'!$H$6:$H$1575,MATCH($A162,'Controle de Entrega'!$K$6:$K$1575,0))),"")</f>
        <v/>
      </c>
      <c r="J162" s="26" t="str">
        <f aca="false">IFERROR(IF(INDEX('Controle de Entrega'!$I$6:$I$1575,MATCH($A162,'Controle de Entrega'!$K$6:$K$1575,0))=0,"",INDEX('Controle de Entrega'!$I$6:$I$1575,MATCH($A162,'Controle de Entrega'!$K$6:$K$1575,0))),"")</f>
        <v/>
      </c>
    </row>
    <row r="163" customFormat="false" ht="15" hidden="false" customHeight="false" outlineLevel="0" collapsed="false">
      <c r="A163" s="25" t="n">
        <v>67</v>
      </c>
      <c r="B163" s="25" t="str">
        <f aca="false">IFERROR(INDEX('Controle de Entrega'!$A$6:$A$1575,MATCH($A163,'Controle de Entrega'!$K$6:$K$1575,0)),"")</f>
        <v/>
      </c>
      <c r="C163" s="25" t="str">
        <f aca="false">IFERROR(INDEX('Controle de Entrega'!$B$6:$B$1575,MATCH($A163,'Controle de Entrega'!$K$6:$K$1575,0)),"")</f>
        <v/>
      </c>
      <c r="D163" s="26" t="str">
        <f aca="false">IFERROR(INDEX('Controle de Entrega'!$C$6:$C$1575,MATCH($A163,'Controle de Entrega'!$K$6:$K$1575,0)),"")</f>
        <v/>
      </c>
      <c r="E163" s="25" t="str">
        <f aca="false">IFERROR(INDEX('Controle de Entrega'!$D$6:$D$1575,MATCH($A163,'Controle de Entrega'!$K$6:$K$1575,0)),"")</f>
        <v/>
      </c>
      <c r="F163" s="25" t="str">
        <f aca="false">IFERROR(INDEX('Controle de Entrega'!$E$6:$E$1575,MATCH($A163,'Controle de Entrega'!$K$6:$K$1575,0)),"")</f>
        <v/>
      </c>
      <c r="G163" s="25" t="str">
        <f aca="false">IFERROR(INDEX('Controle de Entrega'!$F$6:$F$1575,MATCH($A163,'Controle de Entrega'!$K$6:$K$1575,0)),"")</f>
        <v/>
      </c>
      <c r="H163" s="27" t="str">
        <f aca="false">IFERROR(INDEX('Controle de Entrega'!$G$6:$G$1575,MATCH($A163,'Controle de Entrega'!$K$6:$K$1575,0)),"")</f>
        <v/>
      </c>
      <c r="I163" s="25" t="str">
        <f aca="false">IFERROR(IF(INDEX('Controle de Entrega'!$H$6:$H$1575,MATCH($A163,'Controle de Entrega'!$K$6:$K$1575,0))=0,"",INDEX('Controle de Entrega'!$H$6:$H$1575,MATCH($A163,'Controle de Entrega'!$K$6:$K$1575,0))),"")</f>
        <v/>
      </c>
      <c r="J163" s="26" t="str">
        <f aca="false">IFERROR(IF(INDEX('Controle de Entrega'!$I$6:$I$1575,MATCH($A163,'Controle de Entrega'!$K$6:$K$1575,0))=0,"",INDEX('Controle de Entrega'!$I$6:$I$1575,MATCH($A163,'Controle de Entrega'!$K$6:$K$1575,0))),"")</f>
        <v/>
      </c>
    </row>
    <row r="164" customFormat="false" ht="15" hidden="false" customHeight="false" outlineLevel="0" collapsed="false">
      <c r="A164" s="25" t="n">
        <v>68</v>
      </c>
      <c r="B164" s="25" t="str">
        <f aca="false">IFERROR(INDEX('Controle de Entrega'!$A$6:$A$1575,MATCH($A164,'Controle de Entrega'!$K$6:$K$1575,0)),"")</f>
        <v/>
      </c>
      <c r="C164" s="25" t="str">
        <f aca="false">IFERROR(INDEX('Controle de Entrega'!$B$6:$B$1575,MATCH($A164,'Controle de Entrega'!$K$6:$K$1575,0)),"")</f>
        <v/>
      </c>
      <c r="D164" s="26" t="str">
        <f aca="false">IFERROR(INDEX('Controle de Entrega'!$C$6:$C$1575,MATCH($A164,'Controle de Entrega'!$K$6:$K$1575,0)),"")</f>
        <v/>
      </c>
      <c r="E164" s="25" t="str">
        <f aca="false">IFERROR(INDEX('Controle de Entrega'!$D$6:$D$1575,MATCH($A164,'Controle de Entrega'!$K$6:$K$1575,0)),"")</f>
        <v/>
      </c>
      <c r="F164" s="25" t="str">
        <f aca="false">IFERROR(INDEX('Controle de Entrega'!$E$6:$E$1575,MATCH($A164,'Controle de Entrega'!$K$6:$K$1575,0)),"")</f>
        <v/>
      </c>
      <c r="G164" s="25" t="str">
        <f aca="false">IFERROR(INDEX('Controle de Entrega'!$F$6:$F$1575,MATCH($A164,'Controle de Entrega'!$K$6:$K$1575,0)),"")</f>
        <v/>
      </c>
      <c r="H164" s="27" t="str">
        <f aca="false">IFERROR(INDEX('Controle de Entrega'!$G$6:$G$1575,MATCH($A164,'Controle de Entrega'!$K$6:$K$1575,0)),"")</f>
        <v/>
      </c>
      <c r="I164" s="25" t="str">
        <f aca="false">IFERROR(IF(INDEX('Controle de Entrega'!$H$6:$H$1575,MATCH($A164,'Controle de Entrega'!$K$6:$K$1575,0))=0,"",INDEX('Controle de Entrega'!$H$6:$H$1575,MATCH($A164,'Controle de Entrega'!$K$6:$K$1575,0))),"")</f>
        <v/>
      </c>
      <c r="J164" s="26" t="str">
        <f aca="false">IFERROR(IF(INDEX('Controle de Entrega'!$I$6:$I$1575,MATCH($A164,'Controle de Entrega'!$K$6:$K$1575,0))=0,"",INDEX('Controle de Entrega'!$I$6:$I$1575,MATCH($A164,'Controle de Entrega'!$K$6:$K$1575,0))),"")</f>
        <v/>
      </c>
    </row>
    <row r="165" customFormat="false" ht="15" hidden="false" customHeight="false" outlineLevel="0" collapsed="false">
      <c r="A165" s="25" t="n">
        <v>69</v>
      </c>
      <c r="B165" s="25" t="str">
        <f aca="false">IFERROR(INDEX('Controle de Entrega'!$A$6:$A$1575,MATCH($A165,'Controle de Entrega'!$K$6:$K$1575,0)),"")</f>
        <v/>
      </c>
      <c r="C165" s="25" t="str">
        <f aca="false">IFERROR(INDEX('Controle de Entrega'!$B$6:$B$1575,MATCH($A165,'Controle de Entrega'!$K$6:$K$1575,0)),"")</f>
        <v/>
      </c>
      <c r="D165" s="26" t="str">
        <f aca="false">IFERROR(INDEX('Controle de Entrega'!$C$6:$C$1575,MATCH($A165,'Controle de Entrega'!$K$6:$K$1575,0)),"")</f>
        <v/>
      </c>
      <c r="E165" s="25" t="str">
        <f aca="false">IFERROR(INDEX('Controle de Entrega'!$D$6:$D$1575,MATCH($A165,'Controle de Entrega'!$K$6:$K$1575,0)),"")</f>
        <v/>
      </c>
      <c r="F165" s="25" t="str">
        <f aca="false">IFERROR(INDEX('Controle de Entrega'!$E$6:$E$1575,MATCH($A165,'Controle de Entrega'!$K$6:$K$1575,0)),"")</f>
        <v/>
      </c>
      <c r="G165" s="25" t="str">
        <f aca="false">IFERROR(INDEX('Controle de Entrega'!$F$6:$F$1575,MATCH($A165,'Controle de Entrega'!$K$6:$K$1575,0)),"")</f>
        <v/>
      </c>
      <c r="H165" s="27" t="str">
        <f aca="false">IFERROR(INDEX('Controle de Entrega'!$G$6:$G$1575,MATCH($A165,'Controle de Entrega'!$K$6:$K$1575,0)),"")</f>
        <v/>
      </c>
      <c r="I165" s="25" t="str">
        <f aca="false">IFERROR(IF(INDEX('Controle de Entrega'!$H$6:$H$1575,MATCH($A165,'Controle de Entrega'!$K$6:$K$1575,0))=0,"",INDEX('Controle de Entrega'!$H$6:$H$1575,MATCH($A165,'Controle de Entrega'!$K$6:$K$1575,0))),"")</f>
        <v/>
      </c>
      <c r="J165" s="26" t="str">
        <f aca="false">IFERROR(IF(INDEX('Controle de Entrega'!$I$6:$I$1575,MATCH($A165,'Controle de Entrega'!$K$6:$K$1575,0))=0,"",INDEX('Controle de Entrega'!$I$6:$I$1575,MATCH($A165,'Controle de Entrega'!$K$6:$K$1575,0))),"")</f>
        <v/>
      </c>
    </row>
    <row r="166" customFormat="false" ht="15" hidden="false" customHeight="false" outlineLevel="0" collapsed="false">
      <c r="A166" s="25" t="n">
        <v>70</v>
      </c>
      <c r="B166" s="25" t="str">
        <f aca="false">IFERROR(INDEX('Controle de Entrega'!$A$6:$A$1575,MATCH($A166,'Controle de Entrega'!$K$6:$K$1575,0)),"")</f>
        <v/>
      </c>
      <c r="C166" s="25" t="str">
        <f aca="false">IFERROR(INDEX('Controle de Entrega'!$B$6:$B$1575,MATCH($A166,'Controle de Entrega'!$K$6:$K$1575,0)),"")</f>
        <v/>
      </c>
      <c r="D166" s="26" t="str">
        <f aca="false">IFERROR(INDEX('Controle de Entrega'!$C$6:$C$1575,MATCH($A166,'Controle de Entrega'!$K$6:$K$1575,0)),"")</f>
        <v/>
      </c>
      <c r="E166" s="25" t="str">
        <f aca="false">IFERROR(INDEX('Controle de Entrega'!$D$6:$D$1575,MATCH($A166,'Controle de Entrega'!$K$6:$K$1575,0)),"")</f>
        <v/>
      </c>
      <c r="F166" s="25" t="str">
        <f aca="false">IFERROR(INDEX('Controle de Entrega'!$E$6:$E$1575,MATCH($A166,'Controle de Entrega'!$K$6:$K$1575,0)),"")</f>
        <v/>
      </c>
      <c r="G166" s="25" t="str">
        <f aca="false">IFERROR(INDEX('Controle de Entrega'!$F$6:$F$1575,MATCH($A166,'Controle de Entrega'!$K$6:$K$1575,0)),"")</f>
        <v/>
      </c>
      <c r="H166" s="27" t="str">
        <f aca="false">IFERROR(INDEX('Controle de Entrega'!$G$6:$G$1575,MATCH($A166,'Controle de Entrega'!$K$6:$K$1575,0)),"")</f>
        <v/>
      </c>
      <c r="I166" s="25" t="str">
        <f aca="false">IFERROR(IF(INDEX('Controle de Entrega'!$H$6:$H$1575,MATCH($A166,'Controle de Entrega'!$K$6:$K$1575,0))=0,"",INDEX('Controle de Entrega'!$H$6:$H$1575,MATCH($A166,'Controle de Entrega'!$K$6:$K$1575,0))),"")</f>
        <v/>
      </c>
      <c r="J166" s="26" t="str">
        <f aca="false">IFERROR(IF(INDEX('Controle de Entrega'!$I$6:$I$1575,MATCH($A166,'Controle de Entrega'!$K$6:$K$1575,0))=0,"",INDEX('Controle de Entrega'!$I$6:$I$1575,MATCH($A166,'Controle de Entrega'!$K$6:$K$1575,0))),"")</f>
        <v/>
      </c>
    </row>
    <row r="167" customFormat="false" ht="15" hidden="false" customHeight="false" outlineLevel="0" collapsed="false">
      <c r="A167" s="25" t="n">
        <v>71</v>
      </c>
      <c r="B167" s="25" t="str">
        <f aca="false">IFERROR(INDEX('Controle de Entrega'!$A$6:$A$1575,MATCH($A167,'Controle de Entrega'!$K$6:$K$1575,0)),"")</f>
        <v/>
      </c>
      <c r="C167" s="25" t="str">
        <f aca="false">IFERROR(INDEX('Controle de Entrega'!$B$6:$B$1575,MATCH($A167,'Controle de Entrega'!$K$6:$K$1575,0)),"")</f>
        <v/>
      </c>
      <c r="D167" s="26" t="str">
        <f aca="false">IFERROR(INDEX('Controle de Entrega'!$C$6:$C$1575,MATCH($A167,'Controle de Entrega'!$K$6:$K$1575,0)),"")</f>
        <v/>
      </c>
      <c r="E167" s="25" t="str">
        <f aca="false">IFERROR(INDEX('Controle de Entrega'!$D$6:$D$1575,MATCH($A167,'Controle de Entrega'!$K$6:$K$1575,0)),"")</f>
        <v/>
      </c>
      <c r="F167" s="25" t="str">
        <f aca="false">IFERROR(INDEX('Controle de Entrega'!$E$6:$E$1575,MATCH($A167,'Controle de Entrega'!$K$6:$K$1575,0)),"")</f>
        <v/>
      </c>
      <c r="G167" s="25" t="str">
        <f aca="false">IFERROR(INDEX('Controle de Entrega'!$F$6:$F$1575,MATCH($A167,'Controle de Entrega'!$K$6:$K$1575,0)),"")</f>
        <v/>
      </c>
      <c r="H167" s="27" t="str">
        <f aca="false">IFERROR(INDEX('Controle de Entrega'!$G$6:$G$1575,MATCH($A167,'Controle de Entrega'!$K$6:$K$1575,0)),"")</f>
        <v/>
      </c>
      <c r="I167" s="25" t="str">
        <f aca="false">IFERROR(IF(INDEX('Controle de Entrega'!$H$6:$H$1575,MATCH($A167,'Controle de Entrega'!$K$6:$K$1575,0))=0,"",INDEX('Controle de Entrega'!$H$6:$H$1575,MATCH($A167,'Controle de Entrega'!$K$6:$K$1575,0))),"")</f>
        <v/>
      </c>
      <c r="J167" s="26" t="str">
        <f aca="false">IFERROR(IF(INDEX('Controle de Entrega'!$I$6:$I$1575,MATCH($A167,'Controle de Entrega'!$K$6:$K$1575,0))=0,"",INDEX('Controle de Entrega'!$I$6:$I$1575,MATCH($A167,'Controle de Entrega'!$K$6:$K$1575,0))),"")</f>
        <v/>
      </c>
    </row>
    <row r="168" customFormat="false" ht="15" hidden="false" customHeight="false" outlineLevel="0" collapsed="false">
      <c r="A168" s="25" t="n">
        <v>72</v>
      </c>
      <c r="B168" s="25" t="str">
        <f aca="false">IFERROR(INDEX('Controle de Entrega'!$A$6:$A$1575,MATCH($A168,'Controle de Entrega'!$K$6:$K$1575,0)),"")</f>
        <v/>
      </c>
      <c r="C168" s="25" t="str">
        <f aca="false">IFERROR(INDEX('Controle de Entrega'!$B$6:$B$1575,MATCH($A168,'Controle de Entrega'!$K$6:$K$1575,0)),"")</f>
        <v/>
      </c>
      <c r="D168" s="26" t="str">
        <f aca="false">IFERROR(INDEX('Controle de Entrega'!$C$6:$C$1575,MATCH($A168,'Controle de Entrega'!$K$6:$K$1575,0)),"")</f>
        <v/>
      </c>
      <c r="E168" s="25" t="str">
        <f aca="false">IFERROR(INDEX('Controle de Entrega'!$D$6:$D$1575,MATCH($A168,'Controle de Entrega'!$K$6:$K$1575,0)),"")</f>
        <v/>
      </c>
      <c r="F168" s="25" t="str">
        <f aca="false">IFERROR(INDEX('Controle de Entrega'!$E$6:$E$1575,MATCH($A168,'Controle de Entrega'!$K$6:$K$1575,0)),"")</f>
        <v/>
      </c>
      <c r="G168" s="25" t="str">
        <f aca="false">IFERROR(INDEX('Controle de Entrega'!$F$6:$F$1575,MATCH($A168,'Controle de Entrega'!$K$6:$K$1575,0)),"")</f>
        <v/>
      </c>
      <c r="H168" s="27" t="str">
        <f aca="false">IFERROR(INDEX('Controle de Entrega'!$G$6:$G$1575,MATCH($A168,'Controle de Entrega'!$K$6:$K$1575,0)),"")</f>
        <v/>
      </c>
      <c r="I168" s="25" t="str">
        <f aca="false">IFERROR(IF(INDEX('Controle de Entrega'!$H$6:$H$1575,MATCH($A168,'Controle de Entrega'!$K$6:$K$1575,0))=0,"",INDEX('Controle de Entrega'!$H$6:$H$1575,MATCH($A168,'Controle de Entrega'!$K$6:$K$1575,0))),"")</f>
        <v/>
      </c>
      <c r="J168" s="26" t="str">
        <f aca="false">IFERROR(IF(INDEX('Controle de Entrega'!$I$6:$I$1575,MATCH($A168,'Controle de Entrega'!$K$6:$K$1575,0))=0,"",INDEX('Controle de Entrega'!$I$6:$I$1575,MATCH($A168,'Controle de Entrega'!$K$6:$K$1575,0))),"")</f>
        <v/>
      </c>
    </row>
    <row r="169" customFormat="false" ht="15" hidden="false" customHeight="false" outlineLevel="0" collapsed="false">
      <c r="A169" s="25" t="n">
        <v>73</v>
      </c>
      <c r="B169" s="25" t="str">
        <f aca="false">IFERROR(INDEX('Controle de Entrega'!$A$6:$A$1575,MATCH($A169,'Controle de Entrega'!$K$6:$K$1575,0)),"")</f>
        <v/>
      </c>
      <c r="C169" s="25" t="str">
        <f aca="false">IFERROR(INDEX('Controle de Entrega'!$B$6:$B$1575,MATCH($A169,'Controle de Entrega'!$K$6:$K$1575,0)),"")</f>
        <v/>
      </c>
      <c r="D169" s="26" t="str">
        <f aca="false">IFERROR(INDEX('Controle de Entrega'!$C$6:$C$1575,MATCH($A169,'Controle de Entrega'!$K$6:$K$1575,0)),"")</f>
        <v/>
      </c>
      <c r="E169" s="25" t="str">
        <f aca="false">IFERROR(INDEX('Controle de Entrega'!$D$6:$D$1575,MATCH($A169,'Controle de Entrega'!$K$6:$K$1575,0)),"")</f>
        <v/>
      </c>
      <c r="F169" s="25" t="str">
        <f aca="false">IFERROR(INDEX('Controle de Entrega'!$E$6:$E$1575,MATCH($A169,'Controle de Entrega'!$K$6:$K$1575,0)),"")</f>
        <v/>
      </c>
      <c r="G169" s="25" t="str">
        <f aca="false">IFERROR(INDEX('Controle de Entrega'!$F$6:$F$1575,MATCH($A169,'Controle de Entrega'!$K$6:$K$1575,0)),"")</f>
        <v/>
      </c>
      <c r="H169" s="27" t="str">
        <f aca="false">IFERROR(INDEX('Controle de Entrega'!$G$6:$G$1575,MATCH($A169,'Controle de Entrega'!$K$6:$K$1575,0)),"")</f>
        <v/>
      </c>
      <c r="I169" s="25" t="str">
        <f aca="false">IFERROR(IF(INDEX('Controle de Entrega'!$H$6:$H$1575,MATCH($A169,'Controle de Entrega'!$K$6:$K$1575,0))=0,"",INDEX('Controle de Entrega'!$H$6:$H$1575,MATCH($A169,'Controle de Entrega'!$K$6:$K$1575,0))),"")</f>
        <v/>
      </c>
      <c r="J169" s="26" t="str">
        <f aca="false">IFERROR(IF(INDEX('Controle de Entrega'!$I$6:$I$1575,MATCH($A169,'Controle de Entrega'!$K$6:$K$1575,0))=0,"",INDEX('Controle de Entrega'!$I$6:$I$1575,MATCH($A169,'Controle de Entrega'!$K$6:$K$1575,0))),"")</f>
        <v/>
      </c>
    </row>
    <row r="170" customFormat="false" ht="15" hidden="false" customHeight="false" outlineLevel="0" collapsed="false">
      <c r="A170" s="25" t="n">
        <v>74</v>
      </c>
      <c r="B170" s="25" t="str">
        <f aca="false">IFERROR(INDEX('Controle de Entrega'!$A$6:$A$1575,MATCH($A170,'Controle de Entrega'!$K$6:$K$1575,0)),"")</f>
        <v/>
      </c>
      <c r="C170" s="25" t="str">
        <f aca="false">IFERROR(INDEX('Controle de Entrega'!$B$6:$B$1575,MATCH($A170,'Controle de Entrega'!$K$6:$K$1575,0)),"")</f>
        <v/>
      </c>
      <c r="D170" s="26" t="str">
        <f aca="false">IFERROR(INDEX('Controle de Entrega'!$C$6:$C$1575,MATCH($A170,'Controle de Entrega'!$K$6:$K$1575,0)),"")</f>
        <v/>
      </c>
      <c r="E170" s="25" t="str">
        <f aca="false">IFERROR(INDEX('Controle de Entrega'!$D$6:$D$1575,MATCH($A170,'Controle de Entrega'!$K$6:$K$1575,0)),"")</f>
        <v/>
      </c>
      <c r="F170" s="25" t="str">
        <f aca="false">IFERROR(INDEX('Controle de Entrega'!$E$6:$E$1575,MATCH($A170,'Controle de Entrega'!$K$6:$K$1575,0)),"")</f>
        <v/>
      </c>
      <c r="G170" s="25" t="str">
        <f aca="false">IFERROR(INDEX('Controle de Entrega'!$F$6:$F$1575,MATCH($A170,'Controle de Entrega'!$K$6:$K$1575,0)),"")</f>
        <v/>
      </c>
      <c r="H170" s="27" t="str">
        <f aca="false">IFERROR(INDEX('Controle de Entrega'!$G$6:$G$1575,MATCH($A170,'Controle de Entrega'!$K$6:$K$1575,0)),"")</f>
        <v/>
      </c>
      <c r="I170" s="25" t="str">
        <f aca="false">IFERROR(IF(INDEX('Controle de Entrega'!$H$6:$H$1575,MATCH($A170,'Controle de Entrega'!$K$6:$K$1575,0))=0,"",INDEX('Controle de Entrega'!$H$6:$H$1575,MATCH($A170,'Controle de Entrega'!$K$6:$K$1575,0))),"")</f>
        <v/>
      </c>
      <c r="J170" s="26" t="str">
        <f aca="false">IFERROR(IF(INDEX('Controle de Entrega'!$I$6:$I$1575,MATCH($A170,'Controle de Entrega'!$K$6:$K$1575,0))=0,"",INDEX('Controle de Entrega'!$I$6:$I$1575,MATCH($A170,'Controle de Entrega'!$K$6:$K$1575,0))),"")</f>
        <v/>
      </c>
    </row>
    <row r="171" customFormat="false" ht="15" hidden="false" customHeight="false" outlineLevel="0" collapsed="false">
      <c r="A171" s="25" t="n">
        <v>75</v>
      </c>
      <c r="B171" s="25" t="str">
        <f aca="false">IFERROR(INDEX('Controle de Entrega'!$A$6:$A$1575,MATCH($A171,'Controle de Entrega'!$K$6:$K$1575,0)),"")</f>
        <v/>
      </c>
      <c r="C171" s="25" t="str">
        <f aca="false">IFERROR(INDEX('Controle de Entrega'!$B$6:$B$1575,MATCH($A171,'Controle de Entrega'!$K$6:$K$1575,0)),"")</f>
        <v/>
      </c>
      <c r="D171" s="26" t="str">
        <f aca="false">IFERROR(INDEX('Controle de Entrega'!$C$6:$C$1575,MATCH($A171,'Controle de Entrega'!$K$6:$K$1575,0)),"")</f>
        <v/>
      </c>
      <c r="E171" s="25" t="str">
        <f aca="false">IFERROR(INDEX('Controle de Entrega'!$D$6:$D$1575,MATCH($A171,'Controle de Entrega'!$K$6:$K$1575,0)),"")</f>
        <v/>
      </c>
      <c r="F171" s="25" t="str">
        <f aca="false">IFERROR(INDEX('Controle de Entrega'!$E$6:$E$1575,MATCH($A171,'Controle de Entrega'!$K$6:$K$1575,0)),"")</f>
        <v/>
      </c>
      <c r="G171" s="25" t="str">
        <f aca="false">IFERROR(INDEX('Controle de Entrega'!$F$6:$F$1575,MATCH($A171,'Controle de Entrega'!$K$6:$K$1575,0)),"")</f>
        <v/>
      </c>
      <c r="H171" s="27" t="str">
        <f aca="false">IFERROR(INDEX('Controle de Entrega'!$G$6:$G$1575,MATCH($A171,'Controle de Entrega'!$K$6:$K$1575,0)),"")</f>
        <v/>
      </c>
      <c r="I171" s="25" t="str">
        <f aca="false">IFERROR(IF(INDEX('Controle de Entrega'!$H$6:$H$1575,MATCH($A171,'Controle de Entrega'!$K$6:$K$1575,0))=0,"",INDEX('Controle de Entrega'!$H$6:$H$1575,MATCH($A171,'Controle de Entrega'!$K$6:$K$1575,0))),"")</f>
        <v/>
      </c>
      <c r="J171" s="26" t="str">
        <f aca="false">IFERROR(IF(INDEX('Controle de Entrega'!$I$6:$I$1575,MATCH($A171,'Controle de Entrega'!$K$6:$K$1575,0))=0,"",INDEX('Controle de Entrega'!$I$6:$I$1575,MATCH($A171,'Controle de Entrega'!$K$6:$K$1575,0))),"")</f>
        <v/>
      </c>
    </row>
    <row r="172" customFormat="false" ht="15" hidden="false" customHeight="false" outlineLevel="0" collapsed="false">
      <c r="A172" s="25" t="n">
        <v>76</v>
      </c>
      <c r="B172" s="25" t="str">
        <f aca="false">IFERROR(INDEX('Controle de Entrega'!$A$6:$A$1575,MATCH($A172,'Controle de Entrega'!$K$6:$K$1575,0)),"")</f>
        <v/>
      </c>
      <c r="C172" s="25" t="str">
        <f aca="false">IFERROR(INDEX('Controle de Entrega'!$B$6:$B$1575,MATCH($A172,'Controle de Entrega'!$K$6:$K$1575,0)),"")</f>
        <v/>
      </c>
      <c r="D172" s="26" t="str">
        <f aca="false">IFERROR(INDEX('Controle de Entrega'!$C$6:$C$1575,MATCH($A172,'Controle de Entrega'!$K$6:$K$1575,0)),"")</f>
        <v/>
      </c>
      <c r="E172" s="25" t="str">
        <f aca="false">IFERROR(INDEX('Controle de Entrega'!$D$6:$D$1575,MATCH($A172,'Controle de Entrega'!$K$6:$K$1575,0)),"")</f>
        <v/>
      </c>
      <c r="F172" s="25" t="str">
        <f aca="false">IFERROR(INDEX('Controle de Entrega'!$E$6:$E$1575,MATCH($A172,'Controle de Entrega'!$K$6:$K$1575,0)),"")</f>
        <v/>
      </c>
      <c r="G172" s="25" t="str">
        <f aca="false">IFERROR(INDEX('Controle de Entrega'!$F$6:$F$1575,MATCH($A172,'Controle de Entrega'!$K$6:$K$1575,0)),"")</f>
        <v/>
      </c>
      <c r="H172" s="27" t="str">
        <f aca="false">IFERROR(INDEX('Controle de Entrega'!$G$6:$G$1575,MATCH($A172,'Controle de Entrega'!$K$6:$K$1575,0)),"")</f>
        <v/>
      </c>
      <c r="I172" s="25" t="str">
        <f aca="false">IFERROR(IF(INDEX('Controle de Entrega'!$H$6:$H$1575,MATCH($A172,'Controle de Entrega'!$K$6:$K$1575,0))=0,"",INDEX('Controle de Entrega'!$H$6:$H$1575,MATCH($A172,'Controle de Entrega'!$K$6:$K$1575,0))),"")</f>
        <v/>
      </c>
      <c r="J172" s="26" t="str">
        <f aca="false">IFERROR(IF(INDEX('Controle de Entrega'!$I$6:$I$1575,MATCH($A172,'Controle de Entrega'!$K$6:$K$1575,0))=0,"",INDEX('Controle de Entrega'!$I$6:$I$1575,MATCH($A172,'Controle de Entrega'!$K$6:$K$1575,0))),"")</f>
        <v/>
      </c>
    </row>
    <row r="173" customFormat="false" ht="15" hidden="false" customHeight="false" outlineLevel="0" collapsed="false">
      <c r="A173" s="25" t="n">
        <v>77</v>
      </c>
      <c r="B173" s="25" t="str">
        <f aca="false">IFERROR(INDEX('Controle de Entrega'!$A$6:$A$1575,MATCH($A173,'Controle de Entrega'!$K$6:$K$1575,0)),"")</f>
        <v/>
      </c>
      <c r="C173" s="25" t="str">
        <f aca="false">IFERROR(INDEX('Controle de Entrega'!$B$6:$B$1575,MATCH($A173,'Controle de Entrega'!$K$6:$K$1575,0)),"")</f>
        <v/>
      </c>
      <c r="D173" s="26" t="str">
        <f aca="false">IFERROR(INDEX('Controle de Entrega'!$C$6:$C$1575,MATCH($A173,'Controle de Entrega'!$K$6:$K$1575,0)),"")</f>
        <v/>
      </c>
      <c r="E173" s="25" t="str">
        <f aca="false">IFERROR(INDEX('Controle de Entrega'!$D$6:$D$1575,MATCH($A173,'Controle de Entrega'!$K$6:$K$1575,0)),"")</f>
        <v/>
      </c>
      <c r="F173" s="25" t="str">
        <f aca="false">IFERROR(INDEX('Controle de Entrega'!$E$6:$E$1575,MATCH($A173,'Controle de Entrega'!$K$6:$K$1575,0)),"")</f>
        <v/>
      </c>
      <c r="G173" s="25" t="str">
        <f aca="false">IFERROR(INDEX('Controle de Entrega'!$F$6:$F$1575,MATCH($A173,'Controle de Entrega'!$K$6:$K$1575,0)),"")</f>
        <v/>
      </c>
      <c r="H173" s="27" t="str">
        <f aca="false">IFERROR(INDEX('Controle de Entrega'!$G$6:$G$1575,MATCH($A173,'Controle de Entrega'!$K$6:$K$1575,0)),"")</f>
        <v/>
      </c>
      <c r="I173" s="25" t="str">
        <f aca="false">IFERROR(IF(INDEX('Controle de Entrega'!$H$6:$H$1575,MATCH($A173,'Controle de Entrega'!$K$6:$K$1575,0))=0,"",INDEX('Controle de Entrega'!$H$6:$H$1575,MATCH($A173,'Controle de Entrega'!$K$6:$K$1575,0))),"")</f>
        <v/>
      </c>
      <c r="J173" s="26" t="str">
        <f aca="false">IFERROR(IF(INDEX('Controle de Entrega'!$I$6:$I$1575,MATCH($A173,'Controle de Entrega'!$K$6:$K$1575,0))=0,"",INDEX('Controle de Entrega'!$I$6:$I$1575,MATCH($A173,'Controle de Entrega'!$K$6:$K$1575,0))),"")</f>
        <v/>
      </c>
    </row>
    <row r="174" customFormat="false" ht="15" hidden="false" customHeight="false" outlineLevel="0" collapsed="false">
      <c r="A174" s="25" t="n">
        <v>78</v>
      </c>
      <c r="B174" s="25" t="str">
        <f aca="false">IFERROR(INDEX('Controle de Entrega'!$A$6:$A$1575,MATCH($A174,'Controle de Entrega'!$K$6:$K$1575,0)),"")</f>
        <v/>
      </c>
      <c r="C174" s="25" t="str">
        <f aca="false">IFERROR(INDEX('Controle de Entrega'!$B$6:$B$1575,MATCH($A174,'Controle de Entrega'!$K$6:$K$1575,0)),"")</f>
        <v/>
      </c>
      <c r="D174" s="26" t="str">
        <f aca="false">IFERROR(INDEX('Controle de Entrega'!$C$6:$C$1575,MATCH($A174,'Controle de Entrega'!$K$6:$K$1575,0)),"")</f>
        <v/>
      </c>
      <c r="E174" s="25" t="str">
        <f aca="false">IFERROR(INDEX('Controle de Entrega'!$D$6:$D$1575,MATCH($A174,'Controle de Entrega'!$K$6:$K$1575,0)),"")</f>
        <v/>
      </c>
      <c r="F174" s="25" t="str">
        <f aca="false">IFERROR(INDEX('Controle de Entrega'!$E$6:$E$1575,MATCH($A174,'Controle de Entrega'!$K$6:$K$1575,0)),"")</f>
        <v/>
      </c>
      <c r="G174" s="25" t="str">
        <f aca="false">IFERROR(INDEX('Controle de Entrega'!$F$6:$F$1575,MATCH($A174,'Controle de Entrega'!$K$6:$K$1575,0)),"")</f>
        <v/>
      </c>
      <c r="H174" s="27" t="str">
        <f aca="false">IFERROR(INDEX('Controle de Entrega'!$G$6:$G$1575,MATCH($A174,'Controle de Entrega'!$K$6:$K$1575,0)),"")</f>
        <v/>
      </c>
      <c r="I174" s="25" t="str">
        <f aca="false">IFERROR(IF(INDEX('Controle de Entrega'!$H$6:$H$1575,MATCH($A174,'Controle de Entrega'!$K$6:$K$1575,0))=0,"",INDEX('Controle de Entrega'!$H$6:$H$1575,MATCH($A174,'Controle de Entrega'!$K$6:$K$1575,0))),"")</f>
        <v/>
      </c>
      <c r="J174" s="26" t="str">
        <f aca="false">IFERROR(IF(INDEX('Controle de Entrega'!$I$6:$I$1575,MATCH($A174,'Controle de Entrega'!$K$6:$K$1575,0))=0,"",INDEX('Controle de Entrega'!$I$6:$I$1575,MATCH($A174,'Controle de Entrega'!$K$6:$K$1575,0))),"")</f>
        <v/>
      </c>
    </row>
    <row r="175" customFormat="false" ht="15" hidden="false" customHeight="false" outlineLevel="0" collapsed="false">
      <c r="A175" s="25" t="n">
        <v>79</v>
      </c>
      <c r="B175" s="25" t="str">
        <f aca="false">IFERROR(INDEX('Controle de Entrega'!$A$6:$A$1575,MATCH($A175,'Controle de Entrega'!$K$6:$K$1575,0)),"")</f>
        <v/>
      </c>
      <c r="C175" s="25" t="str">
        <f aca="false">IFERROR(INDEX('Controle de Entrega'!$B$6:$B$1575,MATCH($A175,'Controle de Entrega'!$K$6:$K$1575,0)),"")</f>
        <v/>
      </c>
      <c r="D175" s="26" t="str">
        <f aca="false">IFERROR(INDEX('Controle de Entrega'!$C$6:$C$1575,MATCH($A175,'Controle de Entrega'!$K$6:$K$1575,0)),"")</f>
        <v/>
      </c>
      <c r="E175" s="25" t="str">
        <f aca="false">IFERROR(INDEX('Controle de Entrega'!$D$6:$D$1575,MATCH($A175,'Controle de Entrega'!$K$6:$K$1575,0)),"")</f>
        <v/>
      </c>
      <c r="F175" s="25" t="str">
        <f aca="false">IFERROR(INDEX('Controle de Entrega'!$E$6:$E$1575,MATCH($A175,'Controle de Entrega'!$K$6:$K$1575,0)),"")</f>
        <v/>
      </c>
      <c r="G175" s="25" t="str">
        <f aca="false">IFERROR(INDEX('Controle de Entrega'!$F$6:$F$1575,MATCH($A175,'Controle de Entrega'!$K$6:$K$1575,0)),"")</f>
        <v/>
      </c>
      <c r="H175" s="27" t="str">
        <f aca="false">IFERROR(INDEX('Controle de Entrega'!$G$6:$G$1575,MATCH($A175,'Controle de Entrega'!$K$6:$K$1575,0)),"")</f>
        <v/>
      </c>
      <c r="I175" s="25" t="str">
        <f aca="false">IFERROR(IF(INDEX('Controle de Entrega'!$H$6:$H$1575,MATCH($A175,'Controle de Entrega'!$K$6:$K$1575,0))=0,"",INDEX('Controle de Entrega'!$H$6:$H$1575,MATCH($A175,'Controle de Entrega'!$K$6:$K$1575,0))),"")</f>
        <v/>
      </c>
      <c r="J175" s="26" t="str">
        <f aca="false">IFERROR(IF(INDEX('Controle de Entrega'!$I$6:$I$1575,MATCH($A175,'Controle de Entrega'!$K$6:$K$1575,0))=0,"",INDEX('Controle de Entrega'!$I$6:$I$1575,MATCH($A175,'Controle de Entrega'!$K$6:$K$1575,0))),"")</f>
        <v/>
      </c>
    </row>
    <row r="176" customFormat="false" ht="15" hidden="false" customHeight="false" outlineLevel="0" collapsed="false">
      <c r="A176" s="25" t="n">
        <v>80</v>
      </c>
      <c r="B176" s="25" t="str">
        <f aca="false">IFERROR(INDEX('Controle de Entrega'!$A$6:$A$1575,MATCH($A176,'Controle de Entrega'!$K$6:$K$1575,0)),"")</f>
        <v/>
      </c>
      <c r="C176" s="25" t="str">
        <f aca="false">IFERROR(INDEX('Controle de Entrega'!$B$6:$B$1575,MATCH($A176,'Controle de Entrega'!$K$6:$K$1575,0)),"")</f>
        <v/>
      </c>
      <c r="D176" s="26" t="str">
        <f aca="false">IFERROR(INDEX('Controle de Entrega'!$C$6:$C$1575,MATCH($A176,'Controle de Entrega'!$K$6:$K$1575,0)),"")</f>
        <v/>
      </c>
      <c r="E176" s="25" t="str">
        <f aca="false">IFERROR(INDEX('Controle de Entrega'!$D$6:$D$1575,MATCH($A176,'Controle de Entrega'!$K$6:$K$1575,0)),"")</f>
        <v/>
      </c>
      <c r="F176" s="25" t="str">
        <f aca="false">IFERROR(INDEX('Controle de Entrega'!$E$6:$E$1575,MATCH($A176,'Controle de Entrega'!$K$6:$K$1575,0)),"")</f>
        <v/>
      </c>
      <c r="G176" s="25" t="str">
        <f aca="false">IFERROR(INDEX('Controle de Entrega'!$F$6:$F$1575,MATCH($A176,'Controle de Entrega'!$K$6:$K$1575,0)),"")</f>
        <v/>
      </c>
      <c r="H176" s="27" t="str">
        <f aca="false">IFERROR(INDEX('Controle de Entrega'!$G$6:$G$1575,MATCH($A176,'Controle de Entrega'!$K$6:$K$1575,0)),"")</f>
        <v/>
      </c>
      <c r="I176" s="25" t="str">
        <f aca="false">IFERROR(IF(INDEX('Controle de Entrega'!$H$6:$H$1575,MATCH($A176,'Controle de Entrega'!$K$6:$K$1575,0))=0,"",INDEX('Controle de Entrega'!$H$6:$H$1575,MATCH($A176,'Controle de Entrega'!$K$6:$K$1575,0))),"")</f>
        <v/>
      </c>
      <c r="J176" s="26" t="str">
        <f aca="false">IFERROR(IF(INDEX('Controle de Entrega'!$I$6:$I$1575,MATCH($A176,'Controle de Entrega'!$K$6:$K$1575,0))=0,"",INDEX('Controle de Entrega'!$I$6:$I$1575,MATCH($A176,'Controle de Entrega'!$K$6:$K$1575,0))),"")</f>
        <v/>
      </c>
    </row>
    <row r="177" customFormat="false" ht="15" hidden="false" customHeight="false" outlineLevel="0" collapsed="false">
      <c r="A177" s="25" t="n">
        <v>81</v>
      </c>
      <c r="B177" s="25" t="str">
        <f aca="false">IFERROR(INDEX('Controle de Entrega'!$A$6:$A$1575,MATCH($A177,'Controle de Entrega'!$K$6:$K$1575,0)),"")</f>
        <v/>
      </c>
      <c r="C177" s="25" t="str">
        <f aca="false">IFERROR(INDEX('Controle de Entrega'!$B$6:$B$1575,MATCH($A177,'Controle de Entrega'!$K$6:$K$1575,0)),"")</f>
        <v/>
      </c>
      <c r="D177" s="26" t="str">
        <f aca="false">IFERROR(INDEX('Controle de Entrega'!$C$6:$C$1575,MATCH($A177,'Controle de Entrega'!$K$6:$K$1575,0)),"")</f>
        <v/>
      </c>
      <c r="E177" s="25" t="str">
        <f aca="false">IFERROR(INDEX('Controle de Entrega'!$D$6:$D$1575,MATCH($A177,'Controle de Entrega'!$K$6:$K$1575,0)),"")</f>
        <v/>
      </c>
      <c r="F177" s="25" t="str">
        <f aca="false">IFERROR(INDEX('Controle de Entrega'!$E$6:$E$1575,MATCH($A177,'Controle de Entrega'!$K$6:$K$1575,0)),"")</f>
        <v/>
      </c>
      <c r="G177" s="25" t="str">
        <f aca="false">IFERROR(INDEX('Controle de Entrega'!$F$6:$F$1575,MATCH($A177,'Controle de Entrega'!$K$6:$K$1575,0)),"")</f>
        <v/>
      </c>
      <c r="H177" s="27" t="str">
        <f aca="false">IFERROR(INDEX('Controle de Entrega'!$G$6:$G$1575,MATCH($A177,'Controle de Entrega'!$K$6:$K$1575,0)),"")</f>
        <v/>
      </c>
      <c r="I177" s="25" t="str">
        <f aca="false">IFERROR(IF(INDEX('Controle de Entrega'!$H$6:$H$1575,MATCH($A177,'Controle de Entrega'!$K$6:$K$1575,0))=0,"",INDEX('Controle de Entrega'!$H$6:$H$1575,MATCH($A177,'Controle de Entrega'!$K$6:$K$1575,0))),"")</f>
        <v/>
      </c>
      <c r="J177" s="26" t="str">
        <f aca="false">IFERROR(IF(INDEX('Controle de Entrega'!$I$6:$I$1575,MATCH($A177,'Controle de Entrega'!$K$6:$K$1575,0))=0,"",INDEX('Controle de Entrega'!$I$6:$I$1575,MATCH($A177,'Controle de Entrega'!$K$6:$K$1575,0))),"")</f>
        <v/>
      </c>
    </row>
    <row r="178" customFormat="false" ht="15" hidden="false" customHeight="false" outlineLevel="0" collapsed="false">
      <c r="A178" s="25" t="n">
        <v>82</v>
      </c>
      <c r="B178" s="25" t="str">
        <f aca="false">IFERROR(INDEX('Controle de Entrega'!$A$6:$A$1575,MATCH($A178,'Controle de Entrega'!$K$6:$K$1575,0)),"")</f>
        <v/>
      </c>
      <c r="C178" s="25" t="str">
        <f aca="false">IFERROR(INDEX('Controle de Entrega'!$B$6:$B$1575,MATCH($A178,'Controle de Entrega'!$K$6:$K$1575,0)),"")</f>
        <v/>
      </c>
      <c r="D178" s="26" t="str">
        <f aca="false">IFERROR(INDEX('Controle de Entrega'!$C$6:$C$1575,MATCH($A178,'Controle de Entrega'!$K$6:$K$1575,0)),"")</f>
        <v/>
      </c>
      <c r="E178" s="25" t="str">
        <f aca="false">IFERROR(INDEX('Controle de Entrega'!$D$6:$D$1575,MATCH($A178,'Controle de Entrega'!$K$6:$K$1575,0)),"")</f>
        <v/>
      </c>
      <c r="F178" s="25" t="str">
        <f aca="false">IFERROR(INDEX('Controle de Entrega'!$E$6:$E$1575,MATCH($A178,'Controle de Entrega'!$K$6:$K$1575,0)),"")</f>
        <v/>
      </c>
      <c r="G178" s="25" t="str">
        <f aca="false">IFERROR(INDEX('Controle de Entrega'!$F$6:$F$1575,MATCH($A178,'Controle de Entrega'!$K$6:$K$1575,0)),"")</f>
        <v/>
      </c>
      <c r="H178" s="27" t="str">
        <f aca="false">IFERROR(INDEX('Controle de Entrega'!$G$6:$G$1575,MATCH($A178,'Controle de Entrega'!$K$6:$K$1575,0)),"")</f>
        <v/>
      </c>
      <c r="I178" s="25" t="str">
        <f aca="false">IFERROR(IF(INDEX('Controle de Entrega'!$H$6:$H$1575,MATCH($A178,'Controle de Entrega'!$K$6:$K$1575,0))=0,"",INDEX('Controle de Entrega'!$H$6:$H$1575,MATCH($A178,'Controle de Entrega'!$K$6:$K$1575,0))),"")</f>
        <v/>
      </c>
      <c r="J178" s="26" t="str">
        <f aca="false">IFERROR(IF(INDEX('Controle de Entrega'!$I$6:$I$1575,MATCH($A178,'Controle de Entrega'!$K$6:$K$1575,0))=0,"",INDEX('Controle de Entrega'!$I$6:$I$1575,MATCH($A178,'Controle de Entrega'!$K$6:$K$1575,0))),"")</f>
        <v/>
      </c>
    </row>
    <row r="179" customFormat="false" ht="15" hidden="false" customHeight="false" outlineLevel="0" collapsed="false">
      <c r="A179" s="25" t="n">
        <v>83</v>
      </c>
      <c r="B179" s="25" t="str">
        <f aca="false">IFERROR(INDEX('Controle de Entrega'!$A$6:$A$1575,MATCH($A179,'Controle de Entrega'!$K$6:$K$1575,0)),"")</f>
        <v/>
      </c>
      <c r="C179" s="25" t="str">
        <f aca="false">IFERROR(INDEX('Controle de Entrega'!$B$6:$B$1575,MATCH($A179,'Controle de Entrega'!$K$6:$K$1575,0)),"")</f>
        <v/>
      </c>
      <c r="D179" s="26" t="str">
        <f aca="false">IFERROR(INDEX('Controle de Entrega'!$C$6:$C$1575,MATCH($A179,'Controle de Entrega'!$K$6:$K$1575,0)),"")</f>
        <v/>
      </c>
      <c r="E179" s="25" t="str">
        <f aca="false">IFERROR(INDEX('Controle de Entrega'!$D$6:$D$1575,MATCH($A179,'Controle de Entrega'!$K$6:$K$1575,0)),"")</f>
        <v/>
      </c>
      <c r="F179" s="25" t="str">
        <f aca="false">IFERROR(INDEX('Controle de Entrega'!$E$6:$E$1575,MATCH($A179,'Controle de Entrega'!$K$6:$K$1575,0)),"")</f>
        <v/>
      </c>
      <c r="G179" s="25" t="str">
        <f aca="false">IFERROR(INDEX('Controle de Entrega'!$F$6:$F$1575,MATCH($A179,'Controle de Entrega'!$K$6:$K$1575,0)),"")</f>
        <v/>
      </c>
      <c r="H179" s="27" t="str">
        <f aca="false">IFERROR(INDEX('Controle de Entrega'!$G$6:$G$1575,MATCH($A179,'Controle de Entrega'!$K$6:$K$1575,0)),"")</f>
        <v/>
      </c>
      <c r="I179" s="25" t="str">
        <f aca="false">IFERROR(IF(INDEX('Controle de Entrega'!$H$6:$H$1575,MATCH($A179,'Controle de Entrega'!$K$6:$K$1575,0))=0,"",INDEX('Controle de Entrega'!$H$6:$H$1575,MATCH($A179,'Controle de Entrega'!$K$6:$K$1575,0))),"")</f>
        <v/>
      </c>
      <c r="J179" s="26" t="str">
        <f aca="false">IFERROR(IF(INDEX('Controle de Entrega'!$I$6:$I$1575,MATCH($A179,'Controle de Entrega'!$K$6:$K$1575,0))=0,"",INDEX('Controle de Entrega'!$I$6:$I$1575,MATCH($A179,'Controle de Entrega'!$K$6:$K$1575,0))),"")</f>
        <v/>
      </c>
    </row>
    <row r="180" customFormat="false" ht="15" hidden="false" customHeight="false" outlineLevel="0" collapsed="false">
      <c r="A180" s="25" t="n">
        <v>84</v>
      </c>
      <c r="B180" s="25" t="str">
        <f aca="false">IFERROR(INDEX('Controle de Entrega'!$A$6:$A$1575,MATCH($A180,'Controle de Entrega'!$K$6:$K$1575,0)),"")</f>
        <v/>
      </c>
      <c r="C180" s="25" t="str">
        <f aca="false">IFERROR(INDEX('Controle de Entrega'!$B$6:$B$1575,MATCH($A180,'Controle de Entrega'!$K$6:$K$1575,0)),"")</f>
        <v/>
      </c>
      <c r="D180" s="26" t="str">
        <f aca="false">IFERROR(INDEX('Controle de Entrega'!$C$6:$C$1575,MATCH($A180,'Controle de Entrega'!$K$6:$K$1575,0)),"")</f>
        <v/>
      </c>
      <c r="E180" s="25" t="str">
        <f aca="false">IFERROR(INDEX('Controle de Entrega'!$D$6:$D$1575,MATCH($A180,'Controle de Entrega'!$K$6:$K$1575,0)),"")</f>
        <v/>
      </c>
      <c r="F180" s="25" t="str">
        <f aca="false">IFERROR(INDEX('Controle de Entrega'!$E$6:$E$1575,MATCH($A180,'Controle de Entrega'!$K$6:$K$1575,0)),"")</f>
        <v/>
      </c>
      <c r="G180" s="25" t="str">
        <f aca="false">IFERROR(INDEX('Controle de Entrega'!$F$6:$F$1575,MATCH($A180,'Controle de Entrega'!$K$6:$K$1575,0)),"")</f>
        <v/>
      </c>
      <c r="H180" s="27" t="str">
        <f aca="false">IFERROR(INDEX('Controle de Entrega'!$G$6:$G$1575,MATCH($A180,'Controle de Entrega'!$K$6:$K$1575,0)),"")</f>
        <v/>
      </c>
      <c r="I180" s="25" t="str">
        <f aca="false">IFERROR(IF(INDEX('Controle de Entrega'!$H$6:$H$1575,MATCH($A180,'Controle de Entrega'!$K$6:$K$1575,0))=0,"",INDEX('Controle de Entrega'!$H$6:$H$1575,MATCH($A180,'Controle de Entrega'!$K$6:$K$1575,0))),"")</f>
        <v/>
      </c>
      <c r="J180" s="26" t="str">
        <f aca="false">IFERROR(IF(INDEX('Controle de Entrega'!$I$6:$I$1575,MATCH($A180,'Controle de Entrega'!$K$6:$K$1575,0))=0,"",INDEX('Controle de Entrega'!$I$6:$I$1575,MATCH($A180,'Controle de Entrega'!$K$6:$K$1575,0))),"")</f>
        <v/>
      </c>
    </row>
    <row r="181" customFormat="false" ht="15" hidden="false" customHeight="false" outlineLevel="0" collapsed="false">
      <c r="A181" s="25" t="n">
        <v>85</v>
      </c>
      <c r="B181" s="25" t="str">
        <f aca="false">IFERROR(INDEX('Controle de Entrega'!$A$6:$A$1575,MATCH($A181,'Controle de Entrega'!$K$6:$K$1575,0)),"")</f>
        <v/>
      </c>
      <c r="C181" s="25" t="str">
        <f aca="false">IFERROR(INDEX('Controle de Entrega'!$B$6:$B$1575,MATCH($A181,'Controle de Entrega'!$K$6:$K$1575,0)),"")</f>
        <v/>
      </c>
      <c r="D181" s="26" t="str">
        <f aca="false">IFERROR(INDEX('Controle de Entrega'!$C$6:$C$1575,MATCH($A181,'Controle de Entrega'!$K$6:$K$1575,0)),"")</f>
        <v/>
      </c>
      <c r="E181" s="25" t="str">
        <f aca="false">IFERROR(INDEX('Controle de Entrega'!$D$6:$D$1575,MATCH($A181,'Controle de Entrega'!$K$6:$K$1575,0)),"")</f>
        <v/>
      </c>
      <c r="F181" s="25" t="str">
        <f aca="false">IFERROR(INDEX('Controle de Entrega'!$E$6:$E$1575,MATCH($A181,'Controle de Entrega'!$K$6:$K$1575,0)),"")</f>
        <v/>
      </c>
      <c r="G181" s="25" t="str">
        <f aca="false">IFERROR(INDEX('Controle de Entrega'!$F$6:$F$1575,MATCH($A181,'Controle de Entrega'!$K$6:$K$1575,0)),"")</f>
        <v/>
      </c>
      <c r="H181" s="27" t="str">
        <f aca="false">IFERROR(INDEX('Controle de Entrega'!$G$6:$G$1575,MATCH($A181,'Controle de Entrega'!$K$6:$K$1575,0)),"")</f>
        <v/>
      </c>
      <c r="I181" s="25" t="str">
        <f aca="false">IFERROR(IF(INDEX('Controle de Entrega'!$H$6:$H$1575,MATCH($A181,'Controle de Entrega'!$K$6:$K$1575,0))=0,"",INDEX('Controle de Entrega'!$H$6:$H$1575,MATCH($A181,'Controle de Entrega'!$K$6:$K$1575,0))),"")</f>
        <v/>
      </c>
      <c r="J181" s="26" t="str">
        <f aca="false">IFERROR(IF(INDEX('Controle de Entrega'!$I$6:$I$1575,MATCH($A181,'Controle de Entrega'!$K$6:$K$1575,0))=0,"",INDEX('Controle de Entrega'!$I$6:$I$1575,MATCH($A181,'Controle de Entrega'!$K$6:$K$1575,0))),"")</f>
        <v/>
      </c>
    </row>
    <row r="182" customFormat="false" ht="15" hidden="false" customHeight="false" outlineLevel="0" collapsed="false">
      <c r="A182" s="25" t="n">
        <v>86</v>
      </c>
      <c r="B182" s="25" t="str">
        <f aca="false">IFERROR(INDEX('Controle de Entrega'!$A$6:$A$1575,MATCH($A182,'Controle de Entrega'!$K$6:$K$1575,0)),"")</f>
        <v/>
      </c>
      <c r="C182" s="25" t="str">
        <f aca="false">IFERROR(INDEX('Controle de Entrega'!$B$6:$B$1575,MATCH($A182,'Controle de Entrega'!$K$6:$K$1575,0)),"")</f>
        <v/>
      </c>
      <c r="D182" s="26" t="str">
        <f aca="false">IFERROR(INDEX('Controle de Entrega'!$C$6:$C$1575,MATCH($A182,'Controle de Entrega'!$K$6:$K$1575,0)),"")</f>
        <v/>
      </c>
      <c r="E182" s="25" t="str">
        <f aca="false">IFERROR(INDEX('Controle de Entrega'!$D$6:$D$1575,MATCH($A182,'Controle de Entrega'!$K$6:$K$1575,0)),"")</f>
        <v/>
      </c>
      <c r="F182" s="25" t="str">
        <f aca="false">IFERROR(INDEX('Controle de Entrega'!$E$6:$E$1575,MATCH($A182,'Controle de Entrega'!$K$6:$K$1575,0)),"")</f>
        <v/>
      </c>
      <c r="G182" s="25" t="str">
        <f aca="false">IFERROR(INDEX('Controle de Entrega'!$F$6:$F$1575,MATCH($A182,'Controle de Entrega'!$K$6:$K$1575,0)),"")</f>
        <v/>
      </c>
      <c r="H182" s="27" t="str">
        <f aca="false">IFERROR(INDEX('Controle de Entrega'!$G$6:$G$1575,MATCH($A182,'Controle de Entrega'!$K$6:$K$1575,0)),"")</f>
        <v/>
      </c>
      <c r="I182" s="25" t="str">
        <f aca="false">IFERROR(IF(INDEX('Controle de Entrega'!$H$6:$H$1575,MATCH($A182,'Controle de Entrega'!$K$6:$K$1575,0))=0,"",INDEX('Controle de Entrega'!$H$6:$H$1575,MATCH($A182,'Controle de Entrega'!$K$6:$K$1575,0))),"")</f>
        <v/>
      </c>
      <c r="J182" s="26" t="str">
        <f aca="false">IFERROR(IF(INDEX('Controle de Entrega'!$I$6:$I$1575,MATCH($A182,'Controle de Entrega'!$K$6:$K$1575,0))=0,"",INDEX('Controle de Entrega'!$I$6:$I$1575,MATCH($A182,'Controle de Entrega'!$K$6:$K$1575,0))),"")</f>
        <v/>
      </c>
    </row>
    <row r="183" customFormat="false" ht="15" hidden="false" customHeight="false" outlineLevel="0" collapsed="false">
      <c r="A183" s="25" t="n">
        <v>87</v>
      </c>
      <c r="B183" s="25" t="str">
        <f aca="false">IFERROR(INDEX('Controle de Entrega'!$A$6:$A$1575,MATCH($A183,'Controle de Entrega'!$K$6:$K$1575,0)),"")</f>
        <v/>
      </c>
      <c r="C183" s="25" t="str">
        <f aca="false">IFERROR(INDEX('Controle de Entrega'!$B$6:$B$1575,MATCH($A183,'Controle de Entrega'!$K$6:$K$1575,0)),"")</f>
        <v/>
      </c>
      <c r="D183" s="26" t="str">
        <f aca="false">IFERROR(INDEX('Controle de Entrega'!$C$6:$C$1575,MATCH($A183,'Controle de Entrega'!$K$6:$K$1575,0)),"")</f>
        <v/>
      </c>
      <c r="E183" s="25" t="str">
        <f aca="false">IFERROR(INDEX('Controle de Entrega'!$D$6:$D$1575,MATCH($A183,'Controle de Entrega'!$K$6:$K$1575,0)),"")</f>
        <v/>
      </c>
      <c r="F183" s="25" t="str">
        <f aca="false">IFERROR(INDEX('Controle de Entrega'!$E$6:$E$1575,MATCH($A183,'Controle de Entrega'!$K$6:$K$1575,0)),"")</f>
        <v/>
      </c>
      <c r="G183" s="25" t="str">
        <f aca="false">IFERROR(INDEX('Controle de Entrega'!$F$6:$F$1575,MATCH($A183,'Controle de Entrega'!$K$6:$K$1575,0)),"")</f>
        <v/>
      </c>
      <c r="H183" s="27" t="str">
        <f aca="false">IFERROR(INDEX('Controle de Entrega'!$G$6:$G$1575,MATCH($A183,'Controle de Entrega'!$K$6:$K$1575,0)),"")</f>
        <v/>
      </c>
      <c r="I183" s="25" t="str">
        <f aca="false">IFERROR(IF(INDEX('Controle de Entrega'!$H$6:$H$1575,MATCH($A183,'Controle de Entrega'!$K$6:$K$1575,0))=0,"",INDEX('Controle de Entrega'!$H$6:$H$1575,MATCH($A183,'Controle de Entrega'!$K$6:$K$1575,0))),"")</f>
        <v/>
      </c>
      <c r="J183" s="26" t="str">
        <f aca="false">IFERROR(IF(INDEX('Controle de Entrega'!$I$6:$I$1575,MATCH($A183,'Controle de Entrega'!$K$6:$K$1575,0))=0,"",INDEX('Controle de Entrega'!$I$6:$I$1575,MATCH($A183,'Controle de Entrega'!$K$6:$K$1575,0))),"")</f>
        <v/>
      </c>
    </row>
    <row r="184" customFormat="false" ht="15" hidden="false" customHeight="false" outlineLevel="0" collapsed="false">
      <c r="A184" s="25" t="n">
        <v>88</v>
      </c>
      <c r="B184" s="25" t="str">
        <f aca="false">IFERROR(INDEX('Controle de Entrega'!$A$6:$A$1575,MATCH($A184,'Controle de Entrega'!$K$6:$K$1575,0)),"")</f>
        <v/>
      </c>
      <c r="C184" s="25" t="str">
        <f aca="false">IFERROR(INDEX('Controle de Entrega'!$B$6:$B$1575,MATCH($A184,'Controle de Entrega'!$K$6:$K$1575,0)),"")</f>
        <v/>
      </c>
      <c r="D184" s="26" t="str">
        <f aca="false">IFERROR(INDEX('Controle de Entrega'!$C$6:$C$1575,MATCH($A184,'Controle de Entrega'!$K$6:$K$1575,0)),"")</f>
        <v/>
      </c>
      <c r="E184" s="25" t="str">
        <f aca="false">IFERROR(INDEX('Controle de Entrega'!$D$6:$D$1575,MATCH($A184,'Controle de Entrega'!$K$6:$K$1575,0)),"")</f>
        <v/>
      </c>
      <c r="F184" s="25" t="str">
        <f aca="false">IFERROR(INDEX('Controle de Entrega'!$E$6:$E$1575,MATCH($A184,'Controle de Entrega'!$K$6:$K$1575,0)),"")</f>
        <v/>
      </c>
      <c r="G184" s="25" t="str">
        <f aca="false">IFERROR(INDEX('Controle de Entrega'!$F$6:$F$1575,MATCH($A184,'Controle de Entrega'!$K$6:$K$1575,0)),"")</f>
        <v/>
      </c>
      <c r="H184" s="27" t="str">
        <f aca="false">IFERROR(INDEX('Controle de Entrega'!$G$6:$G$1575,MATCH($A184,'Controle de Entrega'!$K$6:$K$1575,0)),"")</f>
        <v/>
      </c>
      <c r="I184" s="25" t="str">
        <f aca="false">IFERROR(IF(INDEX('Controle de Entrega'!$H$6:$H$1575,MATCH($A184,'Controle de Entrega'!$K$6:$K$1575,0))=0,"",INDEX('Controle de Entrega'!$H$6:$H$1575,MATCH($A184,'Controle de Entrega'!$K$6:$K$1575,0))),"")</f>
        <v/>
      </c>
      <c r="J184" s="26" t="str">
        <f aca="false">IFERROR(IF(INDEX('Controle de Entrega'!$I$6:$I$1575,MATCH($A184,'Controle de Entrega'!$K$6:$K$1575,0))=0,"",INDEX('Controle de Entrega'!$I$6:$I$1575,MATCH($A184,'Controle de Entrega'!$K$6:$K$1575,0))),"")</f>
        <v/>
      </c>
    </row>
    <row r="185" customFormat="false" ht="15" hidden="false" customHeight="false" outlineLevel="0" collapsed="false">
      <c r="A185" s="25" t="n">
        <v>89</v>
      </c>
      <c r="B185" s="25" t="str">
        <f aca="false">IFERROR(INDEX('Controle de Entrega'!$A$6:$A$1575,MATCH($A185,'Controle de Entrega'!$K$6:$K$1575,0)),"")</f>
        <v/>
      </c>
      <c r="C185" s="25" t="str">
        <f aca="false">IFERROR(INDEX('Controle de Entrega'!$B$6:$B$1575,MATCH($A185,'Controle de Entrega'!$K$6:$K$1575,0)),"")</f>
        <v/>
      </c>
      <c r="D185" s="26" t="str">
        <f aca="false">IFERROR(INDEX('Controle de Entrega'!$C$6:$C$1575,MATCH($A185,'Controle de Entrega'!$K$6:$K$1575,0)),"")</f>
        <v/>
      </c>
      <c r="E185" s="25" t="str">
        <f aca="false">IFERROR(INDEX('Controle de Entrega'!$D$6:$D$1575,MATCH($A185,'Controle de Entrega'!$K$6:$K$1575,0)),"")</f>
        <v/>
      </c>
      <c r="F185" s="25" t="str">
        <f aca="false">IFERROR(INDEX('Controle de Entrega'!$E$6:$E$1575,MATCH($A185,'Controle de Entrega'!$K$6:$K$1575,0)),"")</f>
        <v/>
      </c>
      <c r="G185" s="25" t="str">
        <f aca="false">IFERROR(INDEX('Controle de Entrega'!$F$6:$F$1575,MATCH($A185,'Controle de Entrega'!$K$6:$K$1575,0)),"")</f>
        <v/>
      </c>
      <c r="H185" s="27" t="str">
        <f aca="false">IFERROR(INDEX('Controle de Entrega'!$G$6:$G$1575,MATCH($A185,'Controle de Entrega'!$K$6:$K$1575,0)),"")</f>
        <v/>
      </c>
      <c r="I185" s="25" t="str">
        <f aca="false">IFERROR(IF(INDEX('Controle de Entrega'!$H$6:$H$1575,MATCH($A185,'Controle de Entrega'!$K$6:$K$1575,0))=0,"",INDEX('Controle de Entrega'!$H$6:$H$1575,MATCH($A185,'Controle de Entrega'!$K$6:$K$1575,0))),"")</f>
        <v/>
      </c>
      <c r="J185" s="26" t="str">
        <f aca="false">IFERROR(IF(INDEX('Controle de Entrega'!$I$6:$I$1575,MATCH($A185,'Controle de Entrega'!$K$6:$K$1575,0))=0,"",INDEX('Controle de Entrega'!$I$6:$I$1575,MATCH($A185,'Controle de Entrega'!$K$6:$K$1575,0))),"")</f>
        <v/>
      </c>
    </row>
    <row r="186" customFormat="false" ht="15" hidden="false" customHeight="false" outlineLevel="0" collapsed="false">
      <c r="A186" s="25" t="n">
        <v>90</v>
      </c>
      <c r="B186" s="25" t="str">
        <f aca="false">IFERROR(INDEX('Controle de Entrega'!$A$6:$A$1575,MATCH($A186,'Controle de Entrega'!$K$6:$K$1575,0)),"")</f>
        <v/>
      </c>
      <c r="C186" s="25" t="str">
        <f aca="false">IFERROR(INDEX('Controle de Entrega'!$B$6:$B$1575,MATCH($A186,'Controle de Entrega'!$K$6:$K$1575,0)),"")</f>
        <v/>
      </c>
      <c r="D186" s="26" t="str">
        <f aca="false">IFERROR(INDEX('Controle de Entrega'!$C$6:$C$1575,MATCH($A186,'Controle de Entrega'!$K$6:$K$1575,0)),"")</f>
        <v/>
      </c>
      <c r="E186" s="25" t="str">
        <f aca="false">IFERROR(INDEX('Controle de Entrega'!$D$6:$D$1575,MATCH($A186,'Controle de Entrega'!$K$6:$K$1575,0)),"")</f>
        <v/>
      </c>
      <c r="F186" s="25" t="str">
        <f aca="false">IFERROR(INDEX('Controle de Entrega'!$E$6:$E$1575,MATCH($A186,'Controle de Entrega'!$K$6:$K$1575,0)),"")</f>
        <v/>
      </c>
      <c r="G186" s="25" t="str">
        <f aca="false">IFERROR(INDEX('Controle de Entrega'!$F$6:$F$1575,MATCH($A186,'Controle de Entrega'!$K$6:$K$1575,0)),"")</f>
        <v/>
      </c>
      <c r="H186" s="27" t="str">
        <f aca="false">IFERROR(INDEX('Controle de Entrega'!$G$6:$G$1575,MATCH($A186,'Controle de Entrega'!$K$6:$K$1575,0)),"")</f>
        <v/>
      </c>
      <c r="I186" s="25" t="str">
        <f aca="false">IFERROR(IF(INDEX('Controle de Entrega'!$H$6:$H$1575,MATCH($A186,'Controle de Entrega'!$K$6:$K$1575,0))=0,"",INDEX('Controle de Entrega'!$H$6:$H$1575,MATCH($A186,'Controle de Entrega'!$K$6:$K$1575,0))),"")</f>
        <v/>
      </c>
      <c r="J186" s="26" t="str">
        <f aca="false">IFERROR(IF(INDEX('Controle de Entrega'!$I$6:$I$1575,MATCH($A186,'Controle de Entrega'!$K$6:$K$1575,0))=0,"",INDEX('Controle de Entrega'!$I$6:$I$1575,MATCH($A186,'Controle de Entrega'!$K$6:$K$1575,0))),"")</f>
        <v/>
      </c>
    </row>
    <row r="187" customFormat="false" ht="15" hidden="false" customHeight="false" outlineLevel="0" collapsed="false">
      <c r="A187" s="25" t="n">
        <v>91</v>
      </c>
      <c r="B187" s="25" t="str">
        <f aca="false">IFERROR(INDEX('Controle de Entrega'!$A$6:$A$1575,MATCH($A187,'Controle de Entrega'!$K$6:$K$1575,0)),"")</f>
        <v/>
      </c>
      <c r="C187" s="25" t="str">
        <f aca="false">IFERROR(INDEX('Controle de Entrega'!$B$6:$B$1575,MATCH($A187,'Controle de Entrega'!$K$6:$K$1575,0)),"")</f>
        <v/>
      </c>
      <c r="D187" s="26" t="str">
        <f aca="false">IFERROR(INDEX('Controle de Entrega'!$C$6:$C$1575,MATCH($A187,'Controle de Entrega'!$K$6:$K$1575,0)),"")</f>
        <v/>
      </c>
      <c r="E187" s="25" t="str">
        <f aca="false">IFERROR(INDEX('Controle de Entrega'!$D$6:$D$1575,MATCH($A187,'Controle de Entrega'!$K$6:$K$1575,0)),"")</f>
        <v/>
      </c>
      <c r="F187" s="25" t="str">
        <f aca="false">IFERROR(INDEX('Controle de Entrega'!$E$6:$E$1575,MATCH($A187,'Controle de Entrega'!$K$6:$K$1575,0)),"")</f>
        <v/>
      </c>
      <c r="G187" s="25" t="str">
        <f aca="false">IFERROR(INDEX('Controle de Entrega'!$F$6:$F$1575,MATCH($A187,'Controle de Entrega'!$K$6:$K$1575,0)),"")</f>
        <v/>
      </c>
      <c r="H187" s="27" t="str">
        <f aca="false">IFERROR(INDEX('Controle de Entrega'!$G$6:$G$1575,MATCH($A187,'Controle de Entrega'!$K$6:$K$1575,0)),"")</f>
        <v/>
      </c>
      <c r="I187" s="25" t="str">
        <f aca="false">IFERROR(IF(INDEX('Controle de Entrega'!$H$6:$H$1575,MATCH($A187,'Controle de Entrega'!$K$6:$K$1575,0))=0,"",INDEX('Controle de Entrega'!$H$6:$H$1575,MATCH($A187,'Controle de Entrega'!$K$6:$K$1575,0))),"")</f>
        <v/>
      </c>
      <c r="J187" s="26" t="str">
        <f aca="false">IFERROR(IF(INDEX('Controle de Entrega'!$I$6:$I$1575,MATCH($A187,'Controle de Entrega'!$K$6:$K$1575,0))=0,"",INDEX('Controle de Entrega'!$I$6:$I$1575,MATCH($A187,'Controle de Entrega'!$K$6:$K$1575,0))),"")</f>
        <v/>
      </c>
    </row>
    <row r="188" customFormat="false" ht="15" hidden="false" customHeight="false" outlineLevel="0" collapsed="false">
      <c r="A188" s="25" t="n">
        <v>92</v>
      </c>
      <c r="B188" s="25" t="str">
        <f aca="false">IFERROR(INDEX('Controle de Entrega'!$A$6:$A$1575,MATCH($A188,'Controle de Entrega'!$K$6:$K$1575,0)),"")</f>
        <v/>
      </c>
      <c r="C188" s="25" t="str">
        <f aca="false">IFERROR(INDEX('Controle de Entrega'!$B$6:$B$1575,MATCH($A188,'Controle de Entrega'!$K$6:$K$1575,0)),"")</f>
        <v/>
      </c>
      <c r="D188" s="26" t="str">
        <f aca="false">IFERROR(INDEX('Controle de Entrega'!$C$6:$C$1575,MATCH($A188,'Controle de Entrega'!$K$6:$K$1575,0)),"")</f>
        <v/>
      </c>
      <c r="E188" s="25" t="str">
        <f aca="false">IFERROR(INDEX('Controle de Entrega'!$D$6:$D$1575,MATCH($A188,'Controle de Entrega'!$K$6:$K$1575,0)),"")</f>
        <v/>
      </c>
      <c r="F188" s="25" t="str">
        <f aca="false">IFERROR(INDEX('Controle de Entrega'!$E$6:$E$1575,MATCH($A188,'Controle de Entrega'!$K$6:$K$1575,0)),"")</f>
        <v/>
      </c>
      <c r="G188" s="25" t="str">
        <f aca="false">IFERROR(INDEX('Controle de Entrega'!$F$6:$F$1575,MATCH($A188,'Controle de Entrega'!$K$6:$K$1575,0)),"")</f>
        <v/>
      </c>
      <c r="H188" s="27" t="str">
        <f aca="false">IFERROR(INDEX('Controle de Entrega'!$G$6:$G$1575,MATCH($A188,'Controle de Entrega'!$K$6:$K$1575,0)),"")</f>
        <v/>
      </c>
      <c r="I188" s="25" t="str">
        <f aca="false">IFERROR(IF(INDEX('Controle de Entrega'!$H$6:$H$1575,MATCH($A188,'Controle de Entrega'!$K$6:$K$1575,0))=0,"",INDEX('Controle de Entrega'!$H$6:$H$1575,MATCH($A188,'Controle de Entrega'!$K$6:$K$1575,0))),"")</f>
        <v/>
      </c>
      <c r="J188" s="26" t="str">
        <f aca="false">IFERROR(IF(INDEX('Controle de Entrega'!$I$6:$I$1575,MATCH($A188,'Controle de Entrega'!$K$6:$K$1575,0))=0,"",INDEX('Controle de Entrega'!$I$6:$I$1575,MATCH($A188,'Controle de Entrega'!$K$6:$K$1575,0))),"")</f>
        <v/>
      </c>
    </row>
    <row r="189" customFormat="false" ht="15" hidden="false" customHeight="false" outlineLevel="0" collapsed="false">
      <c r="A189" s="25" t="n">
        <v>93</v>
      </c>
      <c r="B189" s="25" t="str">
        <f aca="false">IFERROR(INDEX('Controle de Entrega'!$A$6:$A$1575,MATCH($A189,'Controle de Entrega'!$K$6:$K$1575,0)),"")</f>
        <v/>
      </c>
      <c r="C189" s="25" t="str">
        <f aca="false">IFERROR(INDEX('Controle de Entrega'!$B$6:$B$1575,MATCH($A189,'Controle de Entrega'!$K$6:$K$1575,0)),"")</f>
        <v/>
      </c>
      <c r="D189" s="26" t="str">
        <f aca="false">IFERROR(INDEX('Controle de Entrega'!$C$6:$C$1575,MATCH($A189,'Controle de Entrega'!$K$6:$K$1575,0)),"")</f>
        <v/>
      </c>
      <c r="E189" s="25" t="str">
        <f aca="false">IFERROR(INDEX('Controle de Entrega'!$D$6:$D$1575,MATCH($A189,'Controle de Entrega'!$K$6:$K$1575,0)),"")</f>
        <v/>
      </c>
      <c r="F189" s="25" t="str">
        <f aca="false">IFERROR(INDEX('Controle de Entrega'!$E$6:$E$1575,MATCH($A189,'Controle de Entrega'!$K$6:$K$1575,0)),"")</f>
        <v/>
      </c>
      <c r="G189" s="25" t="str">
        <f aca="false">IFERROR(INDEX('Controle de Entrega'!$F$6:$F$1575,MATCH($A189,'Controle de Entrega'!$K$6:$K$1575,0)),"")</f>
        <v/>
      </c>
      <c r="H189" s="27" t="str">
        <f aca="false">IFERROR(INDEX('Controle de Entrega'!$G$6:$G$1575,MATCH($A189,'Controle de Entrega'!$K$6:$K$1575,0)),"")</f>
        <v/>
      </c>
      <c r="I189" s="25" t="str">
        <f aca="false">IFERROR(IF(INDEX('Controle de Entrega'!$H$6:$H$1575,MATCH($A189,'Controle de Entrega'!$K$6:$K$1575,0))=0,"",INDEX('Controle de Entrega'!$H$6:$H$1575,MATCH($A189,'Controle de Entrega'!$K$6:$K$1575,0))),"")</f>
        <v/>
      </c>
      <c r="J189" s="26" t="str">
        <f aca="false">IFERROR(IF(INDEX('Controle de Entrega'!$I$6:$I$1575,MATCH($A189,'Controle de Entrega'!$K$6:$K$1575,0))=0,"",INDEX('Controle de Entrega'!$I$6:$I$1575,MATCH($A189,'Controle de Entrega'!$K$6:$K$1575,0))),"")</f>
        <v/>
      </c>
    </row>
    <row r="190" customFormat="false" ht="15" hidden="false" customHeight="false" outlineLevel="0" collapsed="false">
      <c r="A190" s="25" t="n">
        <v>94</v>
      </c>
      <c r="B190" s="25" t="str">
        <f aca="false">IFERROR(INDEX('Controle de Entrega'!$A$6:$A$1575,MATCH($A190,'Controle de Entrega'!$K$6:$K$1575,0)),"")</f>
        <v/>
      </c>
      <c r="C190" s="25" t="str">
        <f aca="false">IFERROR(INDEX('Controle de Entrega'!$B$6:$B$1575,MATCH($A190,'Controle de Entrega'!$K$6:$K$1575,0)),"")</f>
        <v/>
      </c>
      <c r="D190" s="26" t="str">
        <f aca="false">IFERROR(INDEX('Controle de Entrega'!$C$6:$C$1575,MATCH($A190,'Controle de Entrega'!$K$6:$K$1575,0)),"")</f>
        <v/>
      </c>
      <c r="E190" s="25" t="str">
        <f aca="false">IFERROR(INDEX('Controle de Entrega'!$D$6:$D$1575,MATCH($A190,'Controle de Entrega'!$K$6:$K$1575,0)),"")</f>
        <v/>
      </c>
      <c r="F190" s="25" t="str">
        <f aca="false">IFERROR(INDEX('Controle de Entrega'!$E$6:$E$1575,MATCH($A190,'Controle de Entrega'!$K$6:$K$1575,0)),"")</f>
        <v/>
      </c>
      <c r="G190" s="25" t="str">
        <f aca="false">IFERROR(INDEX('Controle de Entrega'!$F$6:$F$1575,MATCH($A190,'Controle de Entrega'!$K$6:$K$1575,0)),"")</f>
        <v/>
      </c>
      <c r="H190" s="27" t="str">
        <f aca="false">IFERROR(INDEX('Controle de Entrega'!$G$6:$G$1575,MATCH($A190,'Controle de Entrega'!$K$6:$K$1575,0)),"")</f>
        <v/>
      </c>
      <c r="I190" s="25" t="str">
        <f aca="false">IFERROR(IF(INDEX('Controle de Entrega'!$H$6:$H$1575,MATCH($A190,'Controle de Entrega'!$K$6:$K$1575,0))=0,"",INDEX('Controle de Entrega'!$H$6:$H$1575,MATCH($A190,'Controle de Entrega'!$K$6:$K$1575,0))),"")</f>
        <v/>
      </c>
      <c r="J190" s="26" t="str">
        <f aca="false">IFERROR(IF(INDEX('Controle de Entrega'!$I$6:$I$1575,MATCH($A190,'Controle de Entrega'!$K$6:$K$1575,0))=0,"",INDEX('Controle de Entrega'!$I$6:$I$1575,MATCH($A190,'Controle de Entrega'!$K$6:$K$1575,0))),"")</f>
        <v/>
      </c>
    </row>
    <row r="191" customFormat="false" ht="15" hidden="false" customHeight="false" outlineLevel="0" collapsed="false">
      <c r="A191" s="25" t="n">
        <v>95</v>
      </c>
      <c r="B191" s="25" t="str">
        <f aca="false">IFERROR(INDEX('Controle de Entrega'!$A$6:$A$1575,MATCH($A191,'Controle de Entrega'!$K$6:$K$1575,0)),"")</f>
        <v/>
      </c>
      <c r="C191" s="25" t="str">
        <f aca="false">IFERROR(INDEX('Controle de Entrega'!$B$6:$B$1575,MATCH($A191,'Controle de Entrega'!$K$6:$K$1575,0)),"")</f>
        <v/>
      </c>
      <c r="D191" s="26" t="str">
        <f aca="false">IFERROR(INDEX('Controle de Entrega'!$C$6:$C$1575,MATCH($A191,'Controle de Entrega'!$K$6:$K$1575,0)),"")</f>
        <v/>
      </c>
      <c r="E191" s="25" t="str">
        <f aca="false">IFERROR(INDEX('Controle de Entrega'!$D$6:$D$1575,MATCH($A191,'Controle de Entrega'!$K$6:$K$1575,0)),"")</f>
        <v/>
      </c>
      <c r="F191" s="25" t="str">
        <f aca="false">IFERROR(INDEX('Controle de Entrega'!$E$6:$E$1575,MATCH($A191,'Controle de Entrega'!$K$6:$K$1575,0)),"")</f>
        <v/>
      </c>
      <c r="G191" s="25" t="str">
        <f aca="false">IFERROR(INDEX('Controle de Entrega'!$F$6:$F$1575,MATCH($A191,'Controle de Entrega'!$K$6:$K$1575,0)),"")</f>
        <v/>
      </c>
      <c r="H191" s="27" t="str">
        <f aca="false">IFERROR(INDEX('Controle de Entrega'!$G$6:$G$1575,MATCH($A191,'Controle de Entrega'!$K$6:$K$1575,0)),"")</f>
        <v/>
      </c>
      <c r="I191" s="25" t="str">
        <f aca="false">IFERROR(IF(INDEX('Controle de Entrega'!$H$6:$H$1575,MATCH($A191,'Controle de Entrega'!$K$6:$K$1575,0))=0,"",INDEX('Controle de Entrega'!$H$6:$H$1575,MATCH($A191,'Controle de Entrega'!$K$6:$K$1575,0))),"")</f>
        <v/>
      </c>
      <c r="J191" s="26" t="str">
        <f aca="false">IFERROR(IF(INDEX('Controle de Entrega'!$I$6:$I$1575,MATCH($A191,'Controle de Entrega'!$K$6:$K$1575,0))=0,"",INDEX('Controle de Entrega'!$I$6:$I$1575,MATCH($A191,'Controle de Entrega'!$K$6:$K$1575,0))),"")</f>
        <v/>
      </c>
    </row>
    <row r="192" customFormat="false" ht="15" hidden="false" customHeight="false" outlineLevel="0" collapsed="false">
      <c r="A192" s="25" t="n">
        <v>96</v>
      </c>
      <c r="B192" s="25" t="str">
        <f aca="false">IFERROR(INDEX('Controle de Entrega'!$A$6:$A$1575,MATCH($A192,'Controle de Entrega'!$K$6:$K$1575,0)),"")</f>
        <v/>
      </c>
      <c r="C192" s="25" t="str">
        <f aca="false">IFERROR(INDEX('Controle de Entrega'!$B$6:$B$1575,MATCH($A192,'Controle de Entrega'!$K$6:$K$1575,0)),"")</f>
        <v/>
      </c>
      <c r="D192" s="26" t="str">
        <f aca="false">IFERROR(INDEX('Controle de Entrega'!$C$6:$C$1575,MATCH($A192,'Controle de Entrega'!$K$6:$K$1575,0)),"")</f>
        <v/>
      </c>
      <c r="E192" s="25" t="str">
        <f aca="false">IFERROR(INDEX('Controle de Entrega'!$D$6:$D$1575,MATCH($A192,'Controle de Entrega'!$K$6:$K$1575,0)),"")</f>
        <v/>
      </c>
      <c r="F192" s="25" t="str">
        <f aca="false">IFERROR(INDEX('Controle de Entrega'!$E$6:$E$1575,MATCH($A192,'Controle de Entrega'!$K$6:$K$1575,0)),"")</f>
        <v/>
      </c>
      <c r="G192" s="25" t="str">
        <f aca="false">IFERROR(INDEX('Controle de Entrega'!$F$6:$F$1575,MATCH($A192,'Controle de Entrega'!$K$6:$K$1575,0)),"")</f>
        <v/>
      </c>
      <c r="H192" s="27" t="str">
        <f aca="false">IFERROR(INDEX('Controle de Entrega'!$G$6:$G$1575,MATCH($A192,'Controle de Entrega'!$K$6:$K$1575,0)),"")</f>
        <v/>
      </c>
      <c r="I192" s="25" t="str">
        <f aca="false">IFERROR(IF(INDEX('Controle de Entrega'!$H$6:$H$1575,MATCH($A192,'Controle de Entrega'!$K$6:$K$1575,0))=0,"",INDEX('Controle de Entrega'!$H$6:$H$1575,MATCH($A192,'Controle de Entrega'!$K$6:$K$1575,0))),"")</f>
        <v/>
      </c>
      <c r="J192" s="26" t="str">
        <f aca="false">IFERROR(IF(INDEX('Controle de Entrega'!$I$6:$I$1575,MATCH($A192,'Controle de Entrega'!$K$6:$K$1575,0))=0,"",INDEX('Controle de Entrega'!$I$6:$I$1575,MATCH($A192,'Controle de Entrega'!$K$6:$K$1575,0))),"")</f>
        <v/>
      </c>
    </row>
    <row r="193" customFormat="false" ht="15" hidden="false" customHeight="false" outlineLevel="0" collapsed="false">
      <c r="A193" s="25" t="n">
        <v>97</v>
      </c>
      <c r="B193" s="25" t="str">
        <f aca="false">IFERROR(INDEX('Controle de Entrega'!$A$6:$A$1575,MATCH($A193,'Controle de Entrega'!$K$6:$K$1575,0)),"")</f>
        <v/>
      </c>
      <c r="C193" s="25" t="str">
        <f aca="false">IFERROR(INDEX('Controle de Entrega'!$B$6:$B$1575,MATCH($A193,'Controle de Entrega'!$K$6:$K$1575,0)),"")</f>
        <v/>
      </c>
      <c r="D193" s="26" t="str">
        <f aca="false">IFERROR(INDEX('Controle de Entrega'!$C$6:$C$1575,MATCH($A193,'Controle de Entrega'!$K$6:$K$1575,0)),"")</f>
        <v/>
      </c>
      <c r="E193" s="25" t="str">
        <f aca="false">IFERROR(INDEX('Controle de Entrega'!$D$6:$D$1575,MATCH($A193,'Controle de Entrega'!$K$6:$K$1575,0)),"")</f>
        <v/>
      </c>
      <c r="F193" s="25" t="str">
        <f aca="false">IFERROR(INDEX('Controle de Entrega'!$E$6:$E$1575,MATCH($A193,'Controle de Entrega'!$K$6:$K$1575,0)),"")</f>
        <v/>
      </c>
      <c r="G193" s="25" t="str">
        <f aca="false">IFERROR(INDEX('Controle de Entrega'!$F$6:$F$1575,MATCH($A193,'Controle de Entrega'!$K$6:$K$1575,0)),"")</f>
        <v/>
      </c>
      <c r="H193" s="27" t="str">
        <f aca="false">IFERROR(INDEX('Controle de Entrega'!$G$6:$G$1575,MATCH($A193,'Controle de Entrega'!$K$6:$K$1575,0)),"")</f>
        <v/>
      </c>
      <c r="I193" s="25" t="str">
        <f aca="false">IFERROR(IF(INDEX('Controle de Entrega'!$H$6:$H$1575,MATCH($A193,'Controle de Entrega'!$K$6:$K$1575,0))=0,"",INDEX('Controle de Entrega'!$H$6:$H$1575,MATCH($A193,'Controle de Entrega'!$K$6:$K$1575,0))),"")</f>
        <v/>
      </c>
      <c r="J193" s="26" t="str">
        <f aca="false">IFERROR(IF(INDEX('Controle de Entrega'!$I$6:$I$1575,MATCH($A193,'Controle de Entrega'!$K$6:$K$1575,0))=0,"",INDEX('Controle de Entrega'!$I$6:$I$1575,MATCH($A193,'Controle de Entrega'!$K$6:$K$1575,0))),"")</f>
        <v/>
      </c>
    </row>
    <row r="194" customFormat="false" ht="15" hidden="false" customHeight="false" outlineLevel="0" collapsed="false">
      <c r="A194" s="25" t="n">
        <v>98</v>
      </c>
      <c r="B194" s="25" t="str">
        <f aca="false">IFERROR(INDEX('Controle de Entrega'!$A$6:$A$1575,MATCH($A194,'Controle de Entrega'!$K$6:$K$1575,0)),"")</f>
        <v/>
      </c>
      <c r="C194" s="25" t="str">
        <f aca="false">IFERROR(INDEX('Controle de Entrega'!$B$6:$B$1575,MATCH($A194,'Controle de Entrega'!$K$6:$K$1575,0)),"")</f>
        <v/>
      </c>
      <c r="D194" s="26" t="str">
        <f aca="false">IFERROR(INDEX('Controle de Entrega'!$C$6:$C$1575,MATCH($A194,'Controle de Entrega'!$K$6:$K$1575,0)),"")</f>
        <v/>
      </c>
      <c r="E194" s="25" t="str">
        <f aca="false">IFERROR(INDEX('Controle de Entrega'!$D$6:$D$1575,MATCH($A194,'Controle de Entrega'!$K$6:$K$1575,0)),"")</f>
        <v/>
      </c>
      <c r="F194" s="25" t="str">
        <f aca="false">IFERROR(INDEX('Controle de Entrega'!$E$6:$E$1575,MATCH($A194,'Controle de Entrega'!$K$6:$K$1575,0)),"")</f>
        <v/>
      </c>
      <c r="G194" s="25" t="str">
        <f aca="false">IFERROR(INDEX('Controle de Entrega'!$F$6:$F$1575,MATCH($A194,'Controle de Entrega'!$K$6:$K$1575,0)),"")</f>
        <v/>
      </c>
      <c r="H194" s="27" t="str">
        <f aca="false">IFERROR(INDEX('Controle de Entrega'!$G$6:$G$1575,MATCH($A194,'Controle de Entrega'!$K$6:$K$1575,0)),"")</f>
        <v/>
      </c>
      <c r="I194" s="25" t="str">
        <f aca="false">IFERROR(IF(INDEX('Controle de Entrega'!$H$6:$H$1575,MATCH($A194,'Controle de Entrega'!$K$6:$K$1575,0))=0,"",INDEX('Controle de Entrega'!$H$6:$H$1575,MATCH($A194,'Controle de Entrega'!$K$6:$K$1575,0))),"")</f>
        <v/>
      </c>
      <c r="J194" s="26" t="str">
        <f aca="false">IFERROR(IF(INDEX('Controle de Entrega'!$I$6:$I$1575,MATCH($A194,'Controle de Entrega'!$K$6:$K$1575,0))=0,"",INDEX('Controle de Entrega'!$I$6:$I$1575,MATCH($A194,'Controle de Entrega'!$K$6:$K$1575,0))),"")</f>
        <v/>
      </c>
    </row>
    <row r="195" customFormat="false" ht="15" hidden="false" customHeight="false" outlineLevel="0" collapsed="false">
      <c r="A195" s="25" t="n">
        <v>99</v>
      </c>
      <c r="B195" s="25" t="str">
        <f aca="false">IFERROR(INDEX('Controle de Entrega'!$A$6:$A$1575,MATCH($A195,'Controle de Entrega'!$K$6:$K$1575,0)),"")</f>
        <v/>
      </c>
      <c r="C195" s="25" t="str">
        <f aca="false">IFERROR(INDEX('Controle de Entrega'!$B$6:$B$1575,MATCH($A195,'Controle de Entrega'!$K$6:$K$1575,0)),"")</f>
        <v/>
      </c>
      <c r="D195" s="26" t="str">
        <f aca="false">IFERROR(INDEX('Controle de Entrega'!$C$6:$C$1575,MATCH($A195,'Controle de Entrega'!$K$6:$K$1575,0)),"")</f>
        <v/>
      </c>
      <c r="E195" s="25" t="str">
        <f aca="false">IFERROR(INDEX('Controle de Entrega'!$D$6:$D$1575,MATCH($A195,'Controle de Entrega'!$K$6:$K$1575,0)),"")</f>
        <v/>
      </c>
      <c r="F195" s="25" t="str">
        <f aca="false">IFERROR(INDEX('Controle de Entrega'!$E$6:$E$1575,MATCH($A195,'Controle de Entrega'!$K$6:$K$1575,0)),"")</f>
        <v/>
      </c>
      <c r="G195" s="25" t="str">
        <f aca="false">IFERROR(INDEX('Controle de Entrega'!$F$6:$F$1575,MATCH($A195,'Controle de Entrega'!$K$6:$K$1575,0)),"")</f>
        <v/>
      </c>
      <c r="H195" s="27" t="str">
        <f aca="false">IFERROR(INDEX('Controle de Entrega'!$G$6:$G$1575,MATCH($A195,'Controle de Entrega'!$K$6:$K$1575,0)),"")</f>
        <v/>
      </c>
      <c r="I195" s="25" t="str">
        <f aca="false">IFERROR(IF(INDEX('Controle de Entrega'!$H$6:$H$1575,MATCH($A195,'Controle de Entrega'!$K$6:$K$1575,0))=0,"",INDEX('Controle de Entrega'!$H$6:$H$1575,MATCH($A195,'Controle de Entrega'!$K$6:$K$1575,0))),"")</f>
        <v/>
      </c>
      <c r="J195" s="26" t="str">
        <f aca="false">IFERROR(IF(INDEX('Controle de Entrega'!$I$6:$I$1575,MATCH($A195,'Controle de Entrega'!$K$6:$K$1575,0))=0,"",INDEX('Controle de Entrega'!$I$6:$I$1575,MATCH($A195,'Controle de Entrega'!$K$6:$K$1575,0))),"")</f>
        <v/>
      </c>
    </row>
    <row r="196" customFormat="false" ht="15" hidden="false" customHeight="false" outlineLevel="0" collapsed="false">
      <c r="A196" s="25" t="n">
        <v>100</v>
      </c>
      <c r="B196" s="25" t="str">
        <f aca="false">IFERROR(INDEX('Controle de Entrega'!$A$6:$A$1575,MATCH($A196,'Controle de Entrega'!$K$6:$K$1575,0)),"")</f>
        <v/>
      </c>
      <c r="C196" s="25" t="str">
        <f aca="false">IFERROR(INDEX('Controle de Entrega'!$B$6:$B$1575,MATCH($A196,'Controle de Entrega'!$K$6:$K$1575,0)),"")</f>
        <v/>
      </c>
      <c r="D196" s="26" t="str">
        <f aca="false">IFERROR(INDEX('Controle de Entrega'!$C$6:$C$1575,MATCH($A196,'Controle de Entrega'!$K$6:$K$1575,0)),"")</f>
        <v/>
      </c>
      <c r="E196" s="25" t="str">
        <f aca="false">IFERROR(INDEX('Controle de Entrega'!$D$6:$D$1575,MATCH($A196,'Controle de Entrega'!$K$6:$K$1575,0)),"")</f>
        <v/>
      </c>
      <c r="F196" s="25" t="str">
        <f aca="false">IFERROR(INDEX('Controle de Entrega'!$E$6:$E$1575,MATCH($A196,'Controle de Entrega'!$K$6:$K$1575,0)),"")</f>
        <v/>
      </c>
      <c r="G196" s="25" t="str">
        <f aca="false">IFERROR(INDEX('Controle de Entrega'!$F$6:$F$1575,MATCH($A196,'Controle de Entrega'!$K$6:$K$1575,0)),"")</f>
        <v/>
      </c>
      <c r="H196" s="27" t="str">
        <f aca="false">IFERROR(INDEX('Controle de Entrega'!$G$6:$G$1575,MATCH($A196,'Controle de Entrega'!$K$6:$K$1575,0)),"")</f>
        <v/>
      </c>
      <c r="I196" s="25" t="str">
        <f aca="false">IFERROR(IF(INDEX('Controle de Entrega'!$H$6:$H$1575,MATCH($A196,'Controle de Entrega'!$K$6:$K$1575,0))=0,"",INDEX('Controle de Entrega'!$H$6:$H$1575,MATCH($A196,'Controle de Entrega'!$K$6:$K$1575,0))),"")</f>
        <v/>
      </c>
      <c r="J196" s="26" t="str">
        <f aca="false">IFERROR(IF(INDEX('Controle de Entrega'!$I$6:$I$1575,MATCH($A196,'Controle de Entrega'!$K$6:$K$1575,0))=0,"",INDEX('Controle de Entrega'!$I$6:$I$1575,MATCH($A196,'Controle de Entrega'!$K$6:$K$1575,0))),"")</f>
        <v/>
      </c>
    </row>
    <row r="197" customFormat="false" ht="15" hidden="false" customHeight="false" outlineLevel="0" collapsed="false">
      <c r="A197" s="25" t="n">
        <v>101</v>
      </c>
      <c r="B197" s="25" t="str">
        <f aca="false">IFERROR(INDEX('Controle de Entrega'!$A$6:$A$1575,MATCH($A197,'Controle de Entrega'!$K$6:$K$1575,0)),"")</f>
        <v/>
      </c>
      <c r="C197" s="25" t="str">
        <f aca="false">IFERROR(INDEX('Controle de Entrega'!$B$6:$B$1575,MATCH($A197,'Controle de Entrega'!$K$6:$K$1575,0)),"")</f>
        <v/>
      </c>
      <c r="D197" s="26" t="str">
        <f aca="false">IFERROR(INDEX('Controle de Entrega'!$C$6:$C$1575,MATCH($A197,'Controle de Entrega'!$K$6:$K$1575,0)),"")</f>
        <v/>
      </c>
      <c r="E197" s="25" t="str">
        <f aca="false">IFERROR(INDEX('Controle de Entrega'!$D$6:$D$1575,MATCH($A197,'Controle de Entrega'!$K$6:$K$1575,0)),"")</f>
        <v/>
      </c>
      <c r="F197" s="25" t="str">
        <f aca="false">IFERROR(INDEX('Controle de Entrega'!$E$6:$E$1575,MATCH($A197,'Controle de Entrega'!$K$6:$K$1575,0)),"")</f>
        <v/>
      </c>
      <c r="G197" s="25" t="str">
        <f aca="false">IFERROR(INDEX('Controle de Entrega'!$F$6:$F$1575,MATCH($A197,'Controle de Entrega'!$K$6:$K$1575,0)),"")</f>
        <v/>
      </c>
      <c r="H197" s="27" t="str">
        <f aca="false">IFERROR(INDEX('Controle de Entrega'!$G$6:$G$1575,MATCH($A197,'Controle de Entrega'!$K$6:$K$1575,0)),"")</f>
        <v/>
      </c>
      <c r="I197" s="25" t="str">
        <f aca="false">IFERROR(IF(INDEX('Controle de Entrega'!$H$6:$H$1575,MATCH($A197,'Controle de Entrega'!$K$6:$K$1575,0))=0,"",INDEX('Controle de Entrega'!$H$6:$H$1575,MATCH($A197,'Controle de Entrega'!$K$6:$K$1575,0))),"")</f>
        <v/>
      </c>
      <c r="J197" s="26" t="str">
        <f aca="false">IFERROR(IF(INDEX('Controle de Entrega'!$I$6:$I$1575,MATCH($A197,'Controle de Entrega'!$K$6:$K$1575,0))=0,"",INDEX('Controle de Entrega'!$I$6:$I$1575,MATCH($A197,'Controle de Entrega'!$K$6:$K$1575,0))),"")</f>
        <v/>
      </c>
    </row>
    <row r="198" customFormat="false" ht="15" hidden="false" customHeight="false" outlineLevel="0" collapsed="false">
      <c r="A198" s="25" t="n">
        <v>102</v>
      </c>
      <c r="B198" s="25" t="str">
        <f aca="false">IFERROR(INDEX('Controle de Entrega'!$A$6:$A$1575,MATCH($A198,'Controle de Entrega'!$K$6:$K$1575,0)),"")</f>
        <v/>
      </c>
      <c r="C198" s="25" t="str">
        <f aca="false">IFERROR(INDEX('Controle de Entrega'!$B$6:$B$1575,MATCH($A198,'Controle de Entrega'!$K$6:$K$1575,0)),"")</f>
        <v/>
      </c>
      <c r="D198" s="26" t="str">
        <f aca="false">IFERROR(INDEX('Controle de Entrega'!$C$6:$C$1575,MATCH($A198,'Controle de Entrega'!$K$6:$K$1575,0)),"")</f>
        <v/>
      </c>
      <c r="E198" s="25" t="str">
        <f aca="false">IFERROR(INDEX('Controle de Entrega'!$D$6:$D$1575,MATCH($A198,'Controle de Entrega'!$K$6:$K$1575,0)),"")</f>
        <v/>
      </c>
      <c r="F198" s="25" t="str">
        <f aca="false">IFERROR(INDEX('Controle de Entrega'!$E$6:$E$1575,MATCH($A198,'Controle de Entrega'!$K$6:$K$1575,0)),"")</f>
        <v/>
      </c>
      <c r="G198" s="25" t="str">
        <f aca="false">IFERROR(INDEX('Controle de Entrega'!$F$6:$F$1575,MATCH($A198,'Controle de Entrega'!$K$6:$K$1575,0)),"")</f>
        <v/>
      </c>
      <c r="H198" s="27" t="str">
        <f aca="false">IFERROR(INDEX('Controle de Entrega'!$G$6:$G$1575,MATCH($A198,'Controle de Entrega'!$K$6:$K$1575,0)),"")</f>
        <v/>
      </c>
      <c r="I198" s="25" t="str">
        <f aca="false">IFERROR(IF(INDEX('Controle de Entrega'!$H$6:$H$1575,MATCH($A198,'Controle de Entrega'!$K$6:$K$1575,0))=0,"",INDEX('Controle de Entrega'!$H$6:$H$1575,MATCH($A198,'Controle de Entrega'!$K$6:$K$1575,0))),"")</f>
        <v/>
      </c>
      <c r="J198" s="26" t="str">
        <f aca="false">IFERROR(IF(INDEX('Controle de Entrega'!$I$6:$I$1575,MATCH($A198,'Controle de Entrega'!$K$6:$K$1575,0))=0,"",INDEX('Controle de Entrega'!$I$6:$I$1575,MATCH($A198,'Controle de Entrega'!$K$6:$K$1575,0))),"")</f>
        <v/>
      </c>
    </row>
    <row r="199" customFormat="false" ht="15" hidden="false" customHeight="false" outlineLevel="0" collapsed="false">
      <c r="A199" s="25" t="n">
        <v>103</v>
      </c>
      <c r="B199" s="25" t="str">
        <f aca="false">IFERROR(INDEX('Controle de Entrega'!$A$6:$A$1575,MATCH($A199,'Controle de Entrega'!$K$6:$K$1575,0)),"")</f>
        <v/>
      </c>
      <c r="C199" s="25" t="str">
        <f aca="false">IFERROR(INDEX('Controle de Entrega'!$B$6:$B$1575,MATCH($A199,'Controle de Entrega'!$K$6:$K$1575,0)),"")</f>
        <v/>
      </c>
      <c r="D199" s="26" t="str">
        <f aca="false">IFERROR(INDEX('Controle de Entrega'!$C$6:$C$1575,MATCH($A199,'Controle de Entrega'!$K$6:$K$1575,0)),"")</f>
        <v/>
      </c>
      <c r="E199" s="25" t="str">
        <f aca="false">IFERROR(INDEX('Controle de Entrega'!$D$6:$D$1575,MATCH($A199,'Controle de Entrega'!$K$6:$K$1575,0)),"")</f>
        <v/>
      </c>
      <c r="F199" s="25" t="str">
        <f aca="false">IFERROR(INDEX('Controle de Entrega'!$E$6:$E$1575,MATCH($A199,'Controle de Entrega'!$K$6:$K$1575,0)),"")</f>
        <v/>
      </c>
      <c r="G199" s="25" t="str">
        <f aca="false">IFERROR(INDEX('Controle de Entrega'!$F$6:$F$1575,MATCH($A199,'Controle de Entrega'!$K$6:$K$1575,0)),"")</f>
        <v/>
      </c>
      <c r="H199" s="27" t="str">
        <f aca="false">IFERROR(INDEX('Controle de Entrega'!$G$6:$G$1575,MATCH($A199,'Controle de Entrega'!$K$6:$K$1575,0)),"")</f>
        <v/>
      </c>
      <c r="I199" s="25" t="str">
        <f aca="false">IFERROR(IF(INDEX('Controle de Entrega'!$H$6:$H$1575,MATCH($A199,'Controle de Entrega'!$K$6:$K$1575,0))=0,"",INDEX('Controle de Entrega'!$H$6:$H$1575,MATCH($A199,'Controle de Entrega'!$K$6:$K$1575,0))),"")</f>
        <v/>
      </c>
      <c r="J199" s="26" t="str">
        <f aca="false">IFERROR(IF(INDEX('Controle de Entrega'!$I$6:$I$1575,MATCH($A199,'Controle de Entrega'!$K$6:$K$1575,0))=0,"",INDEX('Controle de Entrega'!$I$6:$I$1575,MATCH($A199,'Controle de Entrega'!$K$6:$K$1575,0))),"")</f>
        <v/>
      </c>
    </row>
    <row r="200" customFormat="false" ht="15" hidden="false" customHeight="false" outlineLevel="0" collapsed="false">
      <c r="A200" s="25" t="n">
        <v>104</v>
      </c>
      <c r="B200" s="25" t="str">
        <f aca="false">IFERROR(INDEX('Controle de Entrega'!$A$6:$A$1575,MATCH($A200,'Controle de Entrega'!$K$6:$K$1575,0)),"")</f>
        <v/>
      </c>
      <c r="C200" s="25" t="str">
        <f aca="false">IFERROR(INDEX('Controle de Entrega'!$B$6:$B$1575,MATCH($A200,'Controle de Entrega'!$K$6:$K$1575,0)),"")</f>
        <v/>
      </c>
      <c r="D200" s="26" t="str">
        <f aca="false">IFERROR(INDEX('Controle de Entrega'!$C$6:$C$1575,MATCH($A200,'Controle de Entrega'!$K$6:$K$1575,0)),"")</f>
        <v/>
      </c>
      <c r="E200" s="25" t="str">
        <f aca="false">IFERROR(INDEX('Controle de Entrega'!$D$6:$D$1575,MATCH($A200,'Controle de Entrega'!$K$6:$K$1575,0)),"")</f>
        <v/>
      </c>
      <c r="F200" s="25" t="str">
        <f aca="false">IFERROR(INDEX('Controle de Entrega'!$E$6:$E$1575,MATCH($A200,'Controle de Entrega'!$K$6:$K$1575,0)),"")</f>
        <v/>
      </c>
      <c r="G200" s="25" t="str">
        <f aca="false">IFERROR(INDEX('Controle de Entrega'!$F$6:$F$1575,MATCH($A200,'Controle de Entrega'!$K$6:$K$1575,0)),"")</f>
        <v/>
      </c>
      <c r="H200" s="27" t="str">
        <f aca="false">IFERROR(INDEX('Controle de Entrega'!$G$6:$G$1575,MATCH($A200,'Controle de Entrega'!$K$6:$K$1575,0)),"")</f>
        <v/>
      </c>
      <c r="I200" s="25" t="str">
        <f aca="false">IFERROR(IF(INDEX('Controle de Entrega'!$H$6:$H$1575,MATCH($A200,'Controle de Entrega'!$K$6:$K$1575,0))=0,"",INDEX('Controle de Entrega'!$H$6:$H$1575,MATCH($A200,'Controle de Entrega'!$K$6:$K$1575,0))),"")</f>
        <v/>
      </c>
      <c r="J200" s="26" t="str">
        <f aca="false">IFERROR(IF(INDEX('Controle de Entrega'!$I$6:$I$1575,MATCH($A200,'Controle de Entrega'!$K$6:$K$1575,0))=0,"",INDEX('Controle de Entrega'!$I$6:$I$1575,MATCH($A200,'Controle de Entrega'!$K$6:$K$1575,0))),"")</f>
        <v/>
      </c>
    </row>
    <row r="201" customFormat="false" ht="15" hidden="false" customHeight="false" outlineLevel="0" collapsed="false">
      <c r="A201" s="25" t="n">
        <v>105</v>
      </c>
      <c r="B201" s="25" t="str">
        <f aca="false">IFERROR(INDEX('Controle de Entrega'!$A$6:$A$1575,MATCH($A201,'Controle de Entrega'!$K$6:$K$1575,0)),"")</f>
        <v/>
      </c>
      <c r="C201" s="25" t="str">
        <f aca="false">IFERROR(INDEX('Controle de Entrega'!$B$6:$B$1575,MATCH($A201,'Controle de Entrega'!$K$6:$K$1575,0)),"")</f>
        <v/>
      </c>
      <c r="D201" s="26" t="str">
        <f aca="false">IFERROR(INDEX('Controle de Entrega'!$C$6:$C$1575,MATCH($A201,'Controle de Entrega'!$K$6:$K$1575,0)),"")</f>
        <v/>
      </c>
      <c r="E201" s="25" t="str">
        <f aca="false">IFERROR(INDEX('Controle de Entrega'!$D$6:$D$1575,MATCH($A201,'Controle de Entrega'!$K$6:$K$1575,0)),"")</f>
        <v/>
      </c>
      <c r="F201" s="25" t="str">
        <f aca="false">IFERROR(INDEX('Controle de Entrega'!$E$6:$E$1575,MATCH($A201,'Controle de Entrega'!$K$6:$K$1575,0)),"")</f>
        <v/>
      </c>
      <c r="G201" s="25" t="str">
        <f aca="false">IFERROR(INDEX('Controle de Entrega'!$F$6:$F$1575,MATCH($A201,'Controle de Entrega'!$K$6:$K$1575,0)),"")</f>
        <v/>
      </c>
      <c r="H201" s="27" t="str">
        <f aca="false">IFERROR(INDEX('Controle de Entrega'!$G$6:$G$1575,MATCH($A201,'Controle de Entrega'!$K$6:$K$1575,0)),"")</f>
        <v/>
      </c>
      <c r="I201" s="25" t="str">
        <f aca="false">IFERROR(IF(INDEX('Controle de Entrega'!$H$6:$H$1575,MATCH($A201,'Controle de Entrega'!$K$6:$K$1575,0))=0,"",INDEX('Controle de Entrega'!$H$6:$H$1575,MATCH($A201,'Controle de Entrega'!$K$6:$K$1575,0))),"")</f>
        <v/>
      </c>
      <c r="J201" s="26" t="str">
        <f aca="false">IFERROR(IF(INDEX('Controle de Entrega'!$I$6:$I$1575,MATCH($A201,'Controle de Entrega'!$K$6:$K$1575,0))=0,"",INDEX('Controle de Entrega'!$I$6:$I$1575,MATCH($A201,'Controle de Entrega'!$K$6:$K$1575,0))),"")</f>
        <v/>
      </c>
    </row>
    <row r="202" customFormat="false" ht="15" hidden="false" customHeight="false" outlineLevel="0" collapsed="false">
      <c r="A202" s="25" t="n">
        <v>106</v>
      </c>
      <c r="B202" s="25" t="str">
        <f aca="false">IFERROR(INDEX('Controle de Entrega'!$A$6:$A$1575,MATCH($A202,'Controle de Entrega'!$K$6:$K$1575,0)),"")</f>
        <v/>
      </c>
      <c r="C202" s="25" t="str">
        <f aca="false">IFERROR(INDEX('Controle de Entrega'!$B$6:$B$1575,MATCH($A202,'Controle de Entrega'!$K$6:$K$1575,0)),"")</f>
        <v/>
      </c>
      <c r="D202" s="26" t="str">
        <f aca="false">IFERROR(INDEX('Controle de Entrega'!$C$6:$C$1575,MATCH($A202,'Controle de Entrega'!$K$6:$K$1575,0)),"")</f>
        <v/>
      </c>
      <c r="E202" s="25" t="str">
        <f aca="false">IFERROR(INDEX('Controle de Entrega'!$D$6:$D$1575,MATCH($A202,'Controle de Entrega'!$K$6:$K$1575,0)),"")</f>
        <v/>
      </c>
      <c r="F202" s="25" t="str">
        <f aca="false">IFERROR(INDEX('Controle de Entrega'!$E$6:$E$1575,MATCH($A202,'Controle de Entrega'!$K$6:$K$1575,0)),"")</f>
        <v/>
      </c>
      <c r="G202" s="25" t="str">
        <f aca="false">IFERROR(INDEX('Controle de Entrega'!$F$6:$F$1575,MATCH($A202,'Controle de Entrega'!$K$6:$K$1575,0)),"")</f>
        <v/>
      </c>
      <c r="H202" s="27" t="str">
        <f aca="false">IFERROR(INDEX('Controle de Entrega'!$G$6:$G$1575,MATCH($A202,'Controle de Entrega'!$K$6:$K$1575,0)),"")</f>
        <v/>
      </c>
      <c r="I202" s="25" t="str">
        <f aca="false">IFERROR(IF(INDEX('Controle de Entrega'!$H$6:$H$1575,MATCH($A202,'Controle de Entrega'!$K$6:$K$1575,0))=0,"",INDEX('Controle de Entrega'!$H$6:$H$1575,MATCH($A202,'Controle de Entrega'!$K$6:$K$1575,0))),"")</f>
        <v/>
      </c>
      <c r="J202" s="26" t="str">
        <f aca="false">IFERROR(IF(INDEX('Controle de Entrega'!$I$6:$I$1575,MATCH($A202,'Controle de Entrega'!$K$6:$K$1575,0))=0,"",INDEX('Controle de Entrega'!$I$6:$I$1575,MATCH($A202,'Controle de Entrega'!$K$6:$K$1575,0))),"")</f>
        <v/>
      </c>
    </row>
    <row r="203" customFormat="false" ht="15" hidden="false" customHeight="false" outlineLevel="0" collapsed="false">
      <c r="A203" s="25" t="n">
        <v>107</v>
      </c>
      <c r="B203" s="25" t="str">
        <f aca="false">IFERROR(INDEX('Controle de Entrega'!$A$6:$A$1575,MATCH($A203,'Controle de Entrega'!$K$6:$K$1575,0)),"")</f>
        <v/>
      </c>
      <c r="C203" s="25" t="str">
        <f aca="false">IFERROR(INDEX('Controle de Entrega'!$B$6:$B$1575,MATCH($A203,'Controle de Entrega'!$K$6:$K$1575,0)),"")</f>
        <v/>
      </c>
      <c r="D203" s="26" t="str">
        <f aca="false">IFERROR(INDEX('Controle de Entrega'!$C$6:$C$1575,MATCH($A203,'Controle de Entrega'!$K$6:$K$1575,0)),"")</f>
        <v/>
      </c>
      <c r="E203" s="25" t="str">
        <f aca="false">IFERROR(INDEX('Controle de Entrega'!$D$6:$D$1575,MATCH($A203,'Controle de Entrega'!$K$6:$K$1575,0)),"")</f>
        <v/>
      </c>
      <c r="F203" s="25" t="str">
        <f aca="false">IFERROR(INDEX('Controle de Entrega'!$E$6:$E$1575,MATCH($A203,'Controle de Entrega'!$K$6:$K$1575,0)),"")</f>
        <v/>
      </c>
      <c r="G203" s="25" t="str">
        <f aca="false">IFERROR(INDEX('Controle de Entrega'!$F$6:$F$1575,MATCH($A203,'Controle de Entrega'!$K$6:$K$1575,0)),"")</f>
        <v/>
      </c>
      <c r="H203" s="27" t="str">
        <f aca="false">IFERROR(INDEX('Controle de Entrega'!$G$6:$G$1575,MATCH($A203,'Controle de Entrega'!$K$6:$K$1575,0)),"")</f>
        <v/>
      </c>
      <c r="I203" s="25" t="str">
        <f aca="false">IFERROR(IF(INDEX('Controle de Entrega'!$H$6:$H$1575,MATCH($A203,'Controle de Entrega'!$K$6:$K$1575,0))=0,"",INDEX('Controle de Entrega'!$H$6:$H$1575,MATCH($A203,'Controle de Entrega'!$K$6:$K$1575,0))),"")</f>
        <v/>
      </c>
      <c r="J203" s="26" t="str">
        <f aca="false">IFERROR(IF(INDEX('Controle de Entrega'!$I$6:$I$1575,MATCH($A203,'Controle de Entrega'!$K$6:$K$1575,0))=0,"",INDEX('Controle de Entrega'!$I$6:$I$1575,MATCH($A203,'Controle de Entrega'!$K$6:$K$1575,0))),"")</f>
        <v/>
      </c>
    </row>
    <row r="204" customFormat="false" ht="15" hidden="false" customHeight="false" outlineLevel="0" collapsed="false">
      <c r="A204" s="25" t="n">
        <v>108</v>
      </c>
      <c r="B204" s="25" t="str">
        <f aca="false">IFERROR(INDEX('Controle de Entrega'!$A$6:$A$1575,MATCH($A204,'Controle de Entrega'!$K$6:$K$1575,0)),"")</f>
        <v/>
      </c>
      <c r="C204" s="25" t="str">
        <f aca="false">IFERROR(INDEX('Controle de Entrega'!$B$6:$B$1575,MATCH($A204,'Controle de Entrega'!$K$6:$K$1575,0)),"")</f>
        <v/>
      </c>
      <c r="D204" s="26" t="str">
        <f aca="false">IFERROR(INDEX('Controle de Entrega'!$C$6:$C$1575,MATCH($A204,'Controle de Entrega'!$K$6:$K$1575,0)),"")</f>
        <v/>
      </c>
      <c r="E204" s="25" t="str">
        <f aca="false">IFERROR(INDEX('Controle de Entrega'!$D$6:$D$1575,MATCH($A204,'Controle de Entrega'!$K$6:$K$1575,0)),"")</f>
        <v/>
      </c>
      <c r="F204" s="25" t="str">
        <f aca="false">IFERROR(INDEX('Controle de Entrega'!$E$6:$E$1575,MATCH($A204,'Controle de Entrega'!$K$6:$K$1575,0)),"")</f>
        <v/>
      </c>
      <c r="G204" s="25" t="str">
        <f aca="false">IFERROR(INDEX('Controle de Entrega'!$F$6:$F$1575,MATCH($A204,'Controle de Entrega'!$K$6:$K$1575,0)),"")</f>
        <v/>
      </c>
      <c r="H204" s="27" t="str">
        <f aca="false">IFERROR(INDEX('Controle de Entrega'!$G$6:$G$1575,MATCH($A204,'Controle de Entrega'!$K$6:$K$1575,0)),"")</f>
        <v/>
      </c>
      <c r="I204" s="25" t="str">
        <f aca="false">IFERROR(IF(INDEX('Controle de Entrega'!$H$6:$H$1575,MATCH($A204,'Controle de Entrega'!$K$6:$K$1575,0))=0,"",INDEX('Controle de Entrega'!$H$6:$H$1575,MATCH($A204,'Controle de Entrega'!$K$6:$K$1575,0))),"")</f>
        <v/>
      </c>
      <c r="J204" s="26" t="str">
        <f aca="false">IFERROR(IF(INDEX('Controle de Entrega'!$I$6:$I$1575,MATCH($A204,'Controle de Entrega'!$K$6:$K$1575,0))=0,"",INDEX('Controle de Entrega'!$I$6:$I$1575,MATCH($A204,'Controle de Entrega'!$K$6:$K$1575,0))),"")</f>
        <v/>
      </c>
    </row>
    <row r="205" customFormat="false" ht="15" hidden="false" customHeight="false" outlineLevel="0" collapsed="false">
      <c r="A205" s="25" t="n">
        <v>109</v>
      </c>
      <c r="B205" s="25" t="str">
        <f aca="false">IFERROR(INDEX('Controle de Entrega'!$A$6:$A$1575,MATCH($A205,'Controle de Entrega'!$K$6:$K$1575,0)),"")</f>
        <v/>
      </c>
      <c r="C205" s="25" t="str">
        <f aca="false">IFERROR(INDEX('Controle de Entrega'!$B$6:$B$1575,MATCH($A205,'Controle de Entrega'!$K$6:$K$1575,0)),"")</f>
        <v/>
      </c>
      <c r="D205" s="26" t="str">
        <f aca="false">IFERROR(INDEX('Controle de Entrega'!$C$6:$C$1575,MATCH($A205,'Controle de Entrega'!$K$6:$K$1575,0)),"")</f>
        <v/>
      </c>
      <c r="E205" s="25" t="str">
        <f aca="false">IFERROR(INDEX('Controle de Entrega'!$D$6:$D$1575,MATCH($A205,'Controle de Entrega'!$K$6:$K$1575,0)),"")</f>
        <v/>
      </c>
      <c r="F205" s="25" t="str">
        <f aca="false">IFERROR(INDEX('Controle de Entrega'!$E$6:$E$1575,MATCH($A205,'Controle de Entrega'!$K$6:$K$1575,0)),"")</f>
        <v/>
      </c>
      <c r="G205" s="25" t="str">
        <f aca="false">IFERROR(INDEX('Controle de Entrega'!$F$6:$F$1575,MATCH($A205,'Controle de Entrega'!$K$6:$K$1575,0)),"")</f>
        <v/>
      </c>
      <c r="H205" s="27" t="str">
        <f aca="false">IFERROR(INDEX('Controle de Entrega'!$G$6:$G$1575,MATCH($A205,'Controle de Entrega'!$K$6:$K$1575,0)),"")</f>
        <v/>
      </c>
      <c r="I205" s="25" t="str">
        <f aca="false">IFERROR(IF(INDEX('Controle de Entrega'!$H$6:$H$1575,MATCH($A205,'Controle de Entrega'!$K$6:$K$1575,0))=0,"",INDEX('Controle de Entrega'!$H$6:$H$1575,MATCH($A205,'Controle de Entrega'!$K$6:$K$1575,0))),"")</f>
        <v/>
      </c>
      <c r="J205" s="26" t="str">
        <f aca="false">IFERROR(IF(INDEX('Controle de Entrega'!$I$6:$I$1575,MATCH($A205,'Controle de Entrega'!$K$6:$K$1575,0))=0,"",INDEX('Controle de Entrega'!$I$6:$I$1575,MATCH($A205,'Controle de Entrega'!$K$6:$K$1575,0))),"")</f>
        <v/>
      </c>
    </row>
    <row r="206" customFormat="false" ht="15" hidden="false" customHeight="false" outlineLevel="0" collapsed="false">
      <c r="A206" s="25" t="n">
        <v>110</v>
      </c>
      <c r="B206" s="25" t="str">
        <f aca="false">IFERROR(INDEX('Controle de Entrega'!$A$6:$A$1575,MATCH($A206,'Controle de Entrega'!$K$6:$K$1575,0)),"")</f>
        <v/>
      </c>
      <c r="C206" s="25" t="str">
        <f aca="false">IFERROR(INDEX('Controle de Entrega'!$B$6:$B$1575,MATCH($A206,'Controle de Entrega'!$K$6:$K$1575,0)),"")</f>
        <v/>
      </c>
      <c r="D206" s="26" t="str">
        <f aca="false">IFERROR(INDEX('Controle de Entrega'!$C$6:$C$1575,MATCH($A206,'Controle de Entrega'!$K$6:$K$1575,0)),"")</f>
        <v/>
      </c>
      <c r="E206" s="25" t="str">
        <f aca="false">IFERROR(INDEX('Controle de Entrega'!$D$6:$D$1575,MATCH($A206,'Controle de Entrega'!$K$6:$K$1575,0)),"")</f>
        <v/>
      </c>
      <c r="F206" s="25" t="str">
        <f aca="false">IFERROR(INDEX('Controle de Entrega'!$E$6:$E$1575,MATCH($A206,'Controle de Entrega'!$K$6:$K$1575,0)),"")</f>
        <v/>
      </c>
      <c r="G206" s="25" t="str">
        <f aca="false">IFERROR(INDEX('Controle de Entrega'!$F$6:$F$1575,MATCH($A206,'Controle de Entrega'!$K$6:$K$1575,0)),"")</f>
        <v/>
      </c>
      <c r="H206" s="27" t="str">
        <f aca="false">IFERROR(INDEX('Controle de Entrega'!$G$6:$G$1575,MATCH($A206,'Controle de Entrega'!$K$6:$K$1575,0)),"")</f>
        <v/>
      </c>
      <c r="I206" s="25" t="str">
        <f aca="false">IFERROR(IF(INDEX('Controle de Entrega'!$H$6:$H$1575,MATCH($A206,'Controle de Entrega'!$K$6:$K$1575,0))=0,"",INDEX('Controle de Entrega'!$H$6:$H$1575,MATCH($A206,'Controle de Entrega'!$K$6:$K$1575,0))),"")</f>
        <v/>
      </c>
      <c r="J206" s="26" t="str">
        <f aca="false">IFERROR(IF(INDEX('Controle de Entrega'!$I$6:$I$1575,MATCH($A206,'Controle de Entrega'!$K$6:$K$1575,0))=0,"",INDEX('Controle de Entrega'!$I$6:$I$1575,MATCH($A206,'Controle de Entrega'!$K$6:$K$1575,0))),"")</f>
        <v/>
      </c>
    </row>
    <row r="207" customFormat="false" ht="15" hidden="false" customHeight="false" outlineLevel="0" collapsed="false">
      <c r="A207" s="25" t="n">
        <v>111</v>
      </c>
      <c r="B207" s="25" t="str">
        <f aca="false">IFERROR(INDEX('Controle de Entrega'!$A$6:$A$1575,MATCH($A207,'Controle de Entrega'!$K$6:$K$1575,0)),"")</f>
        <v/>
      </c>
      <c r="C207" s="25" t="str">
        <f aca="false">IFERROR(INDEX('Controle de Entrega'!$B$6:$B$1575,MATCH($A207,'Controle de Entrega'!$K$6:$K$1575,0)),"")</f>
        <v/>
      </c>
      <c r="D207" s="26" t="str">
        <f aca="false">IFERROR(INDEX('Controle de Entrega'!$C$6:$C$1575,MATCH($A207,'Controle de Entrega'!$K$6:$K$1575,0)),"")</f>
        <v/>
      </c>
      <c r="E207" s="25" t="str">
        <f aca="false">IFERROR(INDEX('Controle de Entrega'!$D$6:$D$1575,MATCH($A207,'Controle de Entrega'!$K$6:$K$1575,0)),"")</f>
        <v/>
      </c>
      <c r="F207" s="25" t="str">
        <f aca="false">IFERROR(INDEX('Controle de Entrega'!$E$6:$E$1575,MATCH($A207,'Controle de Entrega'!$K$6:$K$1575,0)),"")</f>
        <v/>
      </c>
      <c r="G207" s="25" t="str">
        <f aca="false">IFERROR(INDEX('Controle de Entrega'!$F$6:$F$1575,MATCH($A207,'Controle de Entrega'!$K$6:$K$1575,0)),"")</f>
        <v/>
      </c>
      <c r="H207" s="27" t="str">
        <f aca="false">IFERROR(INDEX('Controle de Entrega'!$G$6:$G$1575,MATCH($A207,'Controle de Entrega'!$K$6:$K$1575,0)),"")</f>
        <v/>
      </c>
      <c r="I207" s="25" t="str">
        <f aca="false">IFERROR(IF(INDEX('Controle de Entrega'!$H$6:$H$1575,MATCH($A207,'Controle de Entrega'!$K$6:$K$1575,0))=0,"",INDEX('Controle de Entrega'!$H$6:$H$1575,MATCH($A207,'Controle de Entrega'!$K$6:$K$1575,0))),"")</f>
        <v/>
      </c>
      <c r="J207" s="26" t="str">
        <f aca="false">IFERROR(IF(INDEX('Controle de Entrega'!$I$6:$I$1575,MATCH($A207,'Controle de Entrega'!$K$6:$K$1575,0))=0,"",INDEX('Controle de Entrega'!$I$6:$I$1575,MATCH($A207,'Controle de Entrega'!$K$6:$K$1575,0))),"")</f>
        <v/>
      </c>
    </row>
    <row r="208" customFormat="false" ht="15" hidden="false" customHeight="false" outlineLevel="0" collapsed="false">
      <c r="A208" s="25" t="n">
        <v>112</v>
      </c>
      <c r="B208" s="25" t="str">
        <f aca="false">IFERROR(INDEX('Controle de Entrega'!$A$6:$A$1575,MATCH($A208,'Controle de Entrega'!$K$6:$K$1575,0)),"")</f>
        <v/>
      </c>
      <c r="C208" s="25" t="str">
        <f aca="false">IFERROR(INDEX('Controle de Entrega'!$B$6:$B$1575,MATCH($A208,'Controle de Entrega'!$K$6:$K$1575,0)),"")</f>
        <v/>
      </c>
      <c r="D208" s="26" t="str">
        <f aca="false">IFERROR(INDEX('Controle de Entrega'!$C$6:$C$1575,MATCH($A208,'Controle de Entrega'!$K$6:$K$1575,0)),"")</f>
        <v/>
      </c>
      <c r="E208" s="25" t="str">
        <f aca="false">IFERROR(INDEX('Controle de Entrega'!$D$6:$D$1575,MATCH($A208,'Controle de Entrega'!$K$6:$K$1575,0)),"")</f>
        <v/>
      </c>
      <c r="F208" s="25" t="str">
        <f aca="false">IFERROR(INDEX('Controle de Entrega'!$E$6:$E$1575,MATCH($A208,'Controle de Entrega'!$K$6:$K$1575,0)),"")</f>
        <v/>
      </c>
      <c r="G208" s="25" t="str">
        <f aca="false">IFERROR(INDEX('Controle de Entrega'!$F$6:$F$1575,MATCH($A208,'Controle de Entrega'!$K$6:$K$1575,0)),"")</f>
        <v/>
      </c>
      <c r="H208" s="27" t="str">
        <f aca="false">IFERROR(INDEX('Controle de Entrega'!$G$6:$G$1575,MATCH($A208,'Controle de Entrega'!$K$6:$K$1575,0)),"")</f>
        <v/>
      </c>
      <c r="I208" s="25" t="str">
        <f aca="false">IFERROR(IF(INDEX('Controle de Entrega'!$H$6:$H$1575,MATCH($A208,'Controle de Entrega'!$K$6:$K$1575,0))=0,"",INDEX('Controle de Entrega'!$H$6:$H$1575,MATCH($A208,'Controle de Entrega'!$K$6:$K$1575,0))),"")</f>
        <v/>
      </c>
      <c r="J208" s="26" t="str">
        <f aca="false">IFERROR(IF(INDEX('Controle de Entrega'!$I$6:$I$1575,MATCH($A208,'Controle de Entrega'!$K$6:$K$1575,0))=0,"",INDEX('Controle de Entrega'!$I$6:$I$1575,MATCH($A208,'Controle de Entrega'!$K$6:$K$1575,0))),"")</f>
        <v/>
      </c>
    </row>
    <row r="209" customFormat="false" ht="15" hidden="false" customHeight="false" outlineLevel="0" collapsed="false">
      <c r="A209" s="25" t="n">
        <v>113</v>
      </c>
      <c r="B209" s="25" t="str">
        <f aca="false">IFERROR(INDEX('Controle de Entrega'!$A$6:$A$1575,MATCH($A209,'Controle de Entrega'!$K$6:$K$1575,0)),"")</f>
        <v/>
      </c>
      <c r="C209" s="25" t="str">
        <f aca="false">IFERROR(INDEX('Controle de Entrega'!$B$6:$B$1575,MATCH($A209,'Controle de Entrega'!$K$6:$K$1575,0)),"")</f>
        <v/>
      </c>
      <c r="D209" s="26" t="str">
        <f aca="false">IFERROR(INDEX('Controle de Entrega'!$C$6:$C$1575,MATCH($A209,'Controle de Entrega'!$K$6:$K$1575,0)),"")</f>
        <v/>
      </c>
      <c r="E209" s="25" t="str">
        <f aca="false">IFERROR(INDEX('Controle de Entrega'!$D$6:$D$1575,MATCH($A209,'Controle de Entrega'!$K$6:$K$1575,0)),"")</f>
        <v/>
      </c>
      <c r="F209" s="25" t="str">
        <f aca="false">IFERROR(INDEX('Controle de Entrega'!$E$6:$E$1575,MATCH($A209,'Controle de Entrega'!$K$6:$K$1575,0)),"")</f>
        <v/>
      </c>
      <c r="G209" s="25" t="str">
        <f aca="false">IFERROR(INDEX('Controle de Entrega'!$F$6:$F$1575,MATCH($A209,'Controle de Entrega'!$K$6:$K$1575,0)),"")</f>
        <v/>
      </c>
      <c r="H209" s="27" t="str">
        <f aca="false">IFERROR(INDEX('Controle de Entrega'!$G$6:$G$1575,MATCH($A209,'Controle de Entrega'!$K$6:$K$1575,0)),"")</f>
        <v/>
      </c>
      <c r="I209" s="25" t="str">
        <f aca="false">IFERROR(IF(INDEX('Controle de Entrega'!$H$6:$H$1575,MATCH($A209,'Controle de Entrega'!$K$6:$K$1575,0))=0,"",INDEX('Controle de Entrega'!$H$6:$H$1575,MATCH($A209,'Controle de Entrega'!$K$6:$K$1575,0))),"")</f>
        <v/>
      </c>
      <c r="J209" s="26" t="str">
        <f aca="false">IFERROR(IF(INDEX('Controle de Entrega'!$I$6:$I$1575,MATCH($A209,'Controle de Entrega'!$K$6:$K$1575,0))=0,"",INDEX('Controle de Entrega'!$I$6:$I$1575,MATCH($A209,'Controle de Entrega'!$K$6:$K$1575,0))),"")</f>
        <v/>
      </c>
    </row>
    <row r="210" customFormat="false" ht="15" hidden="false" customHeight="false" outlineLevel="0" collapsed="false">
      <c r="A210" s="25" t="n">
        <v>114</v>
      </c>
      <c r="B210" s="25" t="str">
        <f aca="false">IFERROR(INDEX('Controle de Entrega'!$A$6:$A$1575,MATCH($A210,'Controle de Entrega'!$K$6:$K$1575,0)),"")</f>
        <v/>
      </c>
      <c r="C210" s="25" t="str">
        <f aca="false">IFERROR(INDEX('Controle de Entrega'!$B$6:$B$1575,MATCH($A210,'Controle de Entrega'!$K$6:$K$1575,0)),"")</f>
        <v/>
      </c>
      <c r="D210" s="26" t="str">
        <f aca="false">IFERROR(INDEX('Controle de Entrega'!$C$6:$C$1575,MATCH($A210,'Controle de Entrega'!$K$6:$K$1575,0)),"")</f>
        <v/>
      </c>
      <c r="E210" s="25" t="str">
        <f aca="false">IFERROR(INDEX('Controle de Entrega'!$D$6:$D$1575,MATCH($A210,'Controle de Entrega'!$K$6:$K$1575,0)),"")</f>
        <v/>
      </c>
      <c r="F210" s="25" t="str">
        <f aca="false">IFERROR(INDEX('Controle de Entrega'!$E$6:$E$1575,MATCH($A210,'Controle de Entrega'!$K$6:$K$1575,0)),"")</f>
        <v/>
      </c>
      <c r="G210" s="25" t="str">
        <f aca="false">IFERROR(INDEX('Controle de Entrega'!$F$6:$F$1575,MATCH($A210,'Controle de Entrega'!$K$6:$K$1575,0)),"")</f>
        <v/>
      </c>
      <c r="H210" s="27" t="str">
        <f aca="false">IFERROR(INDEX('Controle de Entrega'!$G$6:$G$1575,MATCH($A210,'Controle de Entrega'!$K$6:$K$1575,0)),"")</f>
        <v/>
      </c>
      <c r="I210" s="25" t="str">
        <f aca="false">IFERROR(IF(INDEX('Controle de Entrega'!$H$6:$H$1575,MATCH($A210,'Controle de Entrega'!$K$6:$K$1575,0))=0,"",INDEX('Controle de Entrega'!$H$6:$H$1575,MATCH($A210,'Controle de Entrega'!$K$6:$K$1575,0))),"")</f>
        <v/>
      </c>
      <c r="J210" s="26" t="str">
        <f aca="false">IFERROR(IF(INDEX('Controle de Entrega'!$I$6:$I$1575,MATCH($A210,'Controle de Entrega'!$K$6:$K$1575,0))=0,"",INDEX('Controle de Entrega'!$I$6:$I$1575,MATCH($A210,'Controle de Entrega'!$K$6:$K$1575,0))),"")</f>
        <v/>
      </c>
    </row>
    <row r="211" customFormat="false" ht="15" hidden="false" customHeight="false" outlineLevel="0" collapsed="false">
      <c r="A211" s="25" t="n">
        <v>115</v>
      </c>
      <c r="B211" s="25" t="str">
        <f aca="false">IFERROR(INDEX('Controle de Entrega'!$A$6:$A$1575,MATCH($A211,'Controle de Entrega'!$K$6:$K$1575,0)),"")</f>
        <v/>
      </c>
      <c r="C211" s="25" t="str">
        <f aca="false">IFERROR(INDEX('Controle de Entrega'!$B$6:$B$1575,MATCH($A211,'Controle de Entrega'!$K$6:$K$1575,0)),"")</f>
        <v/>
      </c>
      <c r="D211" s="26" t="str">
        <f aca="false">IFERROR(INDEX('Controle de Entrega'!$C$6:$C$1575,MATCH($A211,'Controle de Entrega'!$K$6:$K$1575,0)),"")</f>
        <v/>
      </c>
      <c r="E211" s="25" t="str">
        <f aca="false">IFERROR(INDEX('Controle de Entrega'!$D$6:$D$1575,MATCH($A211,'Controle de Entrega'!$K$6:$K$1575,0)),"")</f>
        <v/>
      </c>
      <c r="F211" s="25" t="str">
        <f aca="false">IFERROR(INDEX('Controle de Entrega'!$E$6:$E$1575,MATCH($A211,'Controle de Entrega'!$K$6:$K$1575,0)),"")</f>
        <v/>
      </c>
      <c r="G211" s="25" t="str">
        <f aca="false">IFERROR(INDEX('Controle de Entrega'!$F$6:$F$1575,MATCH($A211,'Controle de Entrega'!$K$6:$K$1575,0)),"")</f>
        <v/>
      </c>
      <c r="H211" s="27" t="str">
        <f aca="false">IFERROR(INDEX('Controle de Entrega'!$G$6:$G$1575,MATCH($A211,'Controle de Entrega'!$K$6:$K$1575,0)),"")</f>
        <v/>
      </c>
      <c r="I211" s="25" t="str">
        <f aca="false">IFERROR(IF(INDEX('Controle de Entrega'!$H$6:$H$1575,MATCH($A211,'Controle de Entrega'!$K$6:$K$1575,0))=0,"",INDEX('Controle de Entrega'!$H$6:$H$1575,MATCH($A211,'Controle de Entrega'!$K$6:$K$1575,0))),"")</f>
        <v/>
      </c>
      <c r="J211" s="26" t="str">
        <f aca="false">IFERROR(IF(INDEX('Controle de Entrega'!$I$6:$I$1575,MATCH($A211,'Controle de Entrega'!$K$6:$K$1575,0))=0,"",INDEX('Controle de Entrega'!$I$6:$I$1575,MATCH($A211,'Controle de Entrega'!$K$6:$K$1575,0))),"")</f>
        <v/>
      </c>
    </row>
    <row r="212" customFormat="false" ht="15" hidden="false" customHeight="false" outlineLevel="0" collapsed="false">
      <c r="A212" s="25" t="n">
        <v>116</v>
      </c>
      <c r="B212" s="25" t="str">
        <f aca="false">IFERROR(INDEX('Controle de Entrega'!$A$6:$A$1575,MATCH($A212,'Controle de Entrega'!$K$6:$K$1575,0)),"")</f>
        <v/>
      </c>
      <c r="C212" s="25" t="str">
        <f aca="false">IFERROR(INDEX('Controle de Entrega'!$B$6:$B$1575,MATCH($A212,'Controle de Entrega'!$K$6:$K$1575,0)),"")</f>
        <v/>
      </c>
      <c r="D212" s="26" t="str">
        <f aca="false">IFERROR(INDEX('Controle de Entrega'!$C$6:$C$1575,MATCH($A212,'Controle de Entrega'!$K$6:$K$1575,0)),"")</f>
        <v/>
      </c>
      <c r="E212" s="25" t="str">
        <f aca="false">IFERROR(INDEX('Controle de Entrega'!$D$6:$D$1575,MATCH($A212,'Controle de Entrega'!$K$6:$K$1575,0)),"")</f>
        <v/>
      </c>
      <c r="F212" s="25" t="str">
        <f aca="false">IFERROR(INDEX('Controle de Entrega'!$E$6:$E$1575,MATCH($A212,'Controle de Entrega'!$K$6:$K$1575,0)),"")</f>
        <v/>
      </c>
      <c r="G212" s="25" t="str">
        <f aca="false">IFERROR(INDEX('Controle de Entrega'!$F$6:$F$1575,MATCH($A212,'Controle de Entrega'!$K$6:$K$1575,0)),"")</f>
        <v/>
      </c>
      <c r="H212" s="27" t="str">
        <f aca="false">IFERROR(INDEX('Controle de Entrega'!$G$6:$G$1575,MATCH($A212,'Controle de Entrega'!$K$6:$K$1575,0)),"")</f>
        <v/>
      </c>
      <c r="I212" s="25" t="str">
        <f aca="false">IFERROR(IF(INDEX('Controle de Entrega'!$H$6:$H$1575,MATCH($A212,'Controle de Entrega'!$K$6:$K$1575,0))=0,"",INDEX('Controle de Entrega'!$H$6:$H$1575,MATCH($A212,'Controle de Entrega'!$K$6:$K$1575,0))),"")</f>
        <v/>
      </c>
      <c r="J212" s="26" t="str">
        <f aca="false">IFERROR(IF(INDEX('Controle de Entrega'!$I$6:$I$1575,MATCH($A212,'Controle de Entrega'!$K$6:$K$1575,0))=0,"",INDEX('Controle de Entrega'!$I$6:$I$1575,MATCH($A212,'Controle de Entrega'!$K$6:$K$1575,0))),"")</f>
        <v/>
      </c>
    </row>
    <row r="213" customFormat="false" ht="15" hidden="false" customHeight="false" outlineLevel="0" collapsed="false">
      <c r="A213" s="25" t="n">
        <v>117</v>
      </c>
      <c r="B213" s="25" t="str">
        <f aca="false">IFERROR(INDEX('Controle de Entrega'!$A$6:$A$1575,MATCH($A213,'Controle de Entrega'!$K$6:$K$1575,0)),"")</f>
        <v/>
      </c>
      <c r="C213" s="25" t="str">
        <f aca="false">IFERROR(INDEX('Controle de Entrega'!$B$6:$B$1575,MATCH($A213,'Controle de Entrega'!$K$6:$K$1575,0)),"")</f>
        <v/>
      </c>
      <c r="D213" s="26" t="str">
        <f aca="false">IFERROR(INDEX('Controle de Entrega'!$C$6:$C$1575,MATCH($A213,'Controle de Entrega'!$K$6:$K$1575,0)),"")</f>
        <v/>
      </c>
      <c r="E213" s="25" t="str">
        <f aca="false">IFERROR(INDEX('Controle de Entrega'!$D$6:$D$1575,MATCH($A213,'Controle de Entrega'!$K$6:$K$1575,0)),"")</f>
        <v/>
      </c>
      <c r="F213" s="25" t="str">
        <f aca="false">IFERROR(INDEX('Controle de Entrega'!$E$6:$E$1575,MATCH($A213,'Controle de Entrega'!$K$6:$K$1575,0)),"")</f>
        <v/>
      </c>
      <c r="G213" s="25" t="str">
        <f aca="false">IFERROR(INDEX('Controle de Entrega'!$F$6:$F$1575,MATCH($A213,'Controle de Entrega'!$K$6:$K$1575,0)),"")</f>
        <v/>
      </c>
      <c r="H213" s="27" t="str">
        <f aca="false">IFERROR(INDEX('Controle de Entrega'!$G$6:$G$1575,MATCH($A213,'Controle de Entrega'!$K$6:$K$1575,0)),"")</f>
        <v/>
      </c>
      <c r="I213" s="25" t="str">
        <f aca="false">IFERROR(IF(INDEX('Controle de Entrega'!$H$6:$H$1575,MATCH($A213,'Controle de Entrega'!$K$6:$K$1575,0))=0,"",INDEX('Controle de Entrega'!$H$6:$H$1575,MATCH($A213,'Controle de Entrega'!$K$6:$K$1575,0))),"")</f>
        <v/>
      </c>
      <c r="J213" s="26" t="str">
        <f aca="false">IFERROR(IF(INDEX('Controle de Entrega'!$I$6:$I$1575,MATCH($A213,'Controle de Entrega'!$K$6:$K$1575,0))=0,"",INDEX('Controle de Entrega'!$I$6:$I$1575,MATCH($A213,'Controle de Entrega'!$K$6:$K$1575,0))),"")</f>
        <v/>
      </c>
    </row>
    <row r="214" customFormat="false" ht="15" hidden="false" customHeight="false" outlineLevel="0" collapsed="false">
      <c r="A214" s="25" t="n">
        <v>118</v>
      </c>
      <c r="B214" s="25" t="str">
        <f aca="false">IFERROR(INDEX('Controle de Entrega'!$A$6:$A$1575,MATCH($A214,'Controle de Entrega'!$K$6:$K$1575,0)),"")</f>
        <v/>
      </c>
      <c r="C214" s="25" t="str">
        <f aca="false">IFERROR(INDEX('Controle de Entrega'!$B$6:$B$1575,MATCH($A214,'Controle de Entrega'!$K$6:$K$1575,0)),"")</f>
        <v/>
      </c>
      <c r="D214" s="26" t="str">
        <f aca="false">IFERROR(INDEX('Controle de Entrega'!$C$6:$C$1575,MATCH($A214,'Controle de Entrega'!$K$6:$K$1575,0)),"")</f>
        <v/>
      </c>
      <c r="E214" s="25" t="str">
        <f aca="false">IFERROR(INDEX('Controle de Entrega'!$D$6:$D$1575,MATCH($A214,'Controle de Entrega'!$K$6:$K$1575,0)),"")</f>
        <v/>
      </c>
      <c r="F214" s="25" t="str">
        <f aca="false">IFERROR(INDEX('Controle de Entrega'!$E$6:$E$1575,MATCH($A214,'Controle de Entrega'!$K$6:$K$1575,0)),"")</f>
        <v/>
      </c>
      <c r="G214" s="25" t="str">
        <f aca="false">IFERROR(INDEX('Controle de Entrega'!$F$6:$F$1575,MATCH($A214,'Controle de Entrega'!$K$6:$K$1575,0)),"")</f>
        <v/>
      </c>
      <c r="H214" s="27" t="str">
        <f aca="false">IFERROR(INDEX('Controle de Entrega'!$G$6:$G$1575,MATCH($A214,'Controle de Entrega'!$K$6:$K$1575,0)),"")</f>
        <v/>
      </c>
      <c r="I214" s="25" t="str">
        <f aca="false">IFERROR(IF(INDEX('Controle de Entrega'!$H$6:$H$1575,MATCH($A214,'Controle de Entrega'!$K$6:$K$1575,0))=0,"",INDEX('Controle de Entrega'!$H$6:$H$1575,MATCH($A214,'Controle de Entrega'!$K$6:$K$1575,0))),"")</f>
        <v/>
      </c>
      <c r="J214" s="26" t="str">
        <f aca="false">IFERROR(IF(INDEX('Controle de Entrega'!$I$6:$I$1575,MATCH($A214,'Controle de Entrega'!$K$6:$K$1575,0))=0,"",INDEX('Controle de Entrega'!$I$6:$I$1575,MATCH($A214,'Controle de Entrega'!$K$6:$K$1575,0))),"")</f>
        <v/>
      </c>
    </row>
    <row r="215" customFormat="false" ht="15" hidden="false" customHeight="false" outlineLevel="0" collapsed="false">
      <c r="A215" s="25" t="n">
        <v>119</v>
      </c>
      <c r="B215" s="25" t="str">
        <f aca="false">IFERROR(INDEX('Controle de Entrega'!$A$6:$A$1575,MATCH($A215,'Controle de Entrega'!$K$6:$K$1575,0)),"")</f>
        <v/>
      </c>
      <c r="C215" s="25" t="str">
        <f aca="false">IFERROR(INDEX('Controle de Entrega'!$B$6:$B$1575,MATCH($A215,'Controle de Entrega'!$K$6:$K$1575,0)),"")</f>
        <v/>
      </c>
      <c r="D215" s="26" t="str">
        <f aca="false">IFERROR(INDEX('Controle de Entrega'!$C$6:$C$1575,MATCH($A215,'Controle de Entrega'!$K$6:$K$1575,0)),"")</f>
        <v/>
      </c>
      <c r="E215" s="25" t="str">
        <f aca="false">IFERROR(INDEX('Controle de Entrega'!$D$6:$D$1575,MATCH($A215,'Controle de Entrega'!$K$6:$K$1575,0)),"")</f>
        <v/>
      </c>
      <c r="F215" s="25" t="str">
        <f aca="false">IFERROR(INDEX('Controle de Entrega'!$E$6:$E$1575,MATCH($A215,'Controle de Entrega'!$K$6:$K$1575,0)),"")</f>
        <v/>
      </c>
      <c r="G215" s="25" t="str">
        <f aca="false">IFERROR(INDEX('Controle de Entrega'!$F$6:$F$1575,MATCH($A215,'Controle de Entrega'!$K$6:$K$1575,0)),"")</f>
        <v/>
      </c>
      <c r="H215" s="27" t="str">
        <f aca="false">IFERROR(INDEX('Controle de Entrega'!$G$6:$G$1575,MATCH($A215,'Controle de Entrega'!$K$6:$K$1575,0)),"")</f>
        <v/>
      </c>
      <c r="I215" s="25" t="str">
        <f aca="false">IFERROR(IF(INDEX('Controle de Entrega'!$H$6:$H$1575,MATCH($A215,'Controle de Entrega'!$K$6:$K$1575,0))=0,"",INDEX('Controle de Entrega'!$H$6:$H$1575,MATCH($A215,'Controle de Entrega'!$K$6:$K$1575,0))),"")</f>
        <v/>
      </c>
      <c r="J215" s="26" t="str">
        <f aca="false">IFERROR(IF(INDEX('Controle de Entrega'!$I$6:$I$1575,MATCH($A215,'Controle de Entrega'!$K$6:$K$1575,0))=0,"",INDEX('Controle de Entrega'!$I$6:$I$1575,MATCH($A215,'Controle de Entrega'!$K$6:$K$1575,0))),"")</f>
        <v/>
      </c>
    </row>
    <row r="216" customFormat="false" ht="15" hidden="false" customHeight="false" outlineLevel="0" collapsed="false">
      <c r="A216" s="25" t="n">
        <v>120</v>
      </c>
      <c r="B216" s="25" t="str">
        <f aca="false">IFERROR(INDEX('Controle de Entrega'!$A$6:$A$1575,MATCH($A216,'Controle de Entrega'!$K$6:$K$1575,0)),"")</f>
        <v/>
      </c>
      <c r="C216" s="25" t="str">
        <f aca="false">IFERROR(INDEX('Controle de Entrega'!$B$6:$B$1575,MATCH($A216,'Controle de Entrega'!$K$6:$K$1575,0)),"")</f>
        <v/>
      </c>
      <c r="D216" s="26" t="str">
        <f aca="false">IFERROR(INDEX('Controle de Entrega'!$C$6:$C$1575,MATCH($A216,'Controle de Entrega'!$K$6:$K$1575,0)),"")</f>
        <v/>
      </c>
      <c r="E216" s="25" t="str">
        <f aca="false">IFERROR(INDEX('Controle de Entrega'!$D$6:$D$1575,MATCH($A216,'Controle de Entrega'!$K$6:$K$1575,0)),"")</f>
        <v/>
      </c>
      <c r="F216" s="25" t="str">
        <f aca="false">IFERROR(INDEX('Controle de Entrega'!$E$6:$E$1575,MATCH($A216,'Controle de Entrega'!$K$6:$K$1575,0)),"")</f>
        <v/>
      </c>
      <c r="G216" s="25" t="str">
        <f aca="false">IFERROR(INDEX('Controle de Entrega'!$F$6:$F$1575,MATCH($A216,'Controle de Entrega'!$K$6:$K$1575,0)),"")</f>
        <v/>
      </c>
      <c r="H216" s="27" t="str">
        <f aca="false">IFERROR(INDEX('Controle de Entrega'!$G$6:$G$1575,MATCH($A216,'Controle de Entrega'!$K$6:$K$1575,0)),"")</f>
        <v/>
      </c>
      <c r="I216" s="25" t="str">
        <f aca="false">IFERROR(IF(INDEX('Controle de Entrega'!$H$6:$H$1575,MATCH($A216,'Controle de Entrega'!$K$6:$K$1575,0))=0,"",INDEX('Controle de Entrega'!$H$6:$H$1575,MATCH($A216,'Controle de Entrega'!$K$6:$K$1575,0))),"")</f>
        <v/>
      </c>
      <c r="J216" s="26" t="str">
        <f aca="false">IFERROR(IF(INDEX('Controle de Entrega'!$I$6:$I$1575,MATCH($A216,'Controle de Entrega'!$K$6:$K$1575,0))=0,"",INDEX('Controle de Entrega'!$I$6:$I$1575,MATCH($A216,'Controle de Entrega'!$K$6:$K$1575,0))),"")</f>
        <v/>
      </c>
    </row>
    <row r="217" customFormat="false" ht="15" hidden="false" customHeight="false" outlineLevel="0" collapsed="false">
      <c r="A217" s="25" t="n">
        <v>121</v>
      </c>
      <c r="B217" s="25" t="str">
        <f aca="false">IFERROR(INDEX('Controle de Entrega'!$A$6:$A$1575,MATCH($A217,'Controle de Entrega'!$K$6:$K$1575,0)),"")</f>
        <v/>
      </c>
      <c r="C217" s="25" t="str">
        <f aca="false">IFERROR(INDEX('Controle de Entrega'!$B$6:$B$1575,MATCH($A217,'Controle de Entrega'!$K$6:$K$1575,0)),"")</f>
        <v/>
      </c>
      <c r="D217" s="26" t="str">
        <f aca="false">IFERROR(INDEX('Controle de Entrega'!$C$6:$C$1575,MATCH($A217,'Controle de Entrega'!$K$6:$K$1575,0)),"")</f>
        <v/>
      </c>
      <c r="E217" s="25" t="str">
        <f aca="false">IFERROR(INDEX('Controle de Entrega'!$D$6:$D$1575,MATCH($A217,'Controle de Entrega'!$K$6:$K$1575,0)),"")</f>
        <v/>
      </c>
      <c r="F217" s="25" t="str">
        <f aca="false">IFERROR(INDEX('Controle de Entrega'!$E$6:$E$1575,MATCH($A217,'Controle de Entrega'!$K$6:$K$1575,0)),"")</f>
        <v/>
      </c>
      <c r="G217" s="25" t="str">
        <f aca="false">IFERROR(INDEX('Controle de Entrega'!$F$6:$F$1575,MATCH($A217,'Controle de Entrega'!$K$6:$K$1575,0)),"")</f>
        <v/>
      </c>
      <c r="H217" s="27" t="str">
        <f aca="false">IFERROR(INDEX('Controle de Entrega'!$G$6:$G$1575,MATCH($A217,'Controle de Entrega'!$K$6:$K$1575,0)),"")</f>
        <v/>
      </c>
      <c r="I217" s="25" t="str">
        <f aca="false">IFERROR(IF(INDEX('Controle de Entrega'!$H$6:$H$1575,MATCH($A217,'Controle de Entrega'!$K$6:$K$1575,0))=0,"",INDEX('Controle de Entrega'!$H$6:$H$1575,MATCH($A217,'Controle de Entrega'!$K$6:$K$1575,0))),"")</f>
        <v/>
      </c>
      <c r="J217" s="26" t="str">
        <f aca="false">IFERROR(IF(INDEX('Controle de Entrega'!$I$6:$I$1575,MATCH($A217,'Controle de Entrega'!$K$6:$K$1575,0))=0,"",INDEX('Controle de Entrega'!$I$6:$I$1575,MATCH($A217,'Controle de Entrega'!$K$6:$K$1575,0))),"")</f>
        <v/>
      </c>
    </row>
    <row r="218" customFormat="false" ht="15" hidden="false" customHeight="false" outlineLevel="0" collapsed="false">
      <c r="A218" s="25" t="n">
        <v>122</v>
      </c>
      <c r="B218" s="25" t="str">
        <f aca="false">IFERROR(INDEX('Controle de Entrega'!$A$6:$A$1575,MATCH($A218,'Controle de Entrega'!$K$6:$K$1575,0)),"")</f>
        <v/>
      </c>
      <c r="C218" s="25" t="str">
        <f aca="false">IFERROR(INDEX('Controle de Entrega'!$B$6:$B$1575,MATCH($A218,'Controle de Entrega'!$K$6:$K$1575,0)),"")</f>
        <v/>
      </c>
      <c r="D218" s="26" t="str">
        <f aca="false">IFERROR(INDEX('Controle de Entrega'!$C$6:$C$1575,MATCH($A218,'Controle de Entrega'!$K$6:$K$1575,0)),"")</f>
        <v/>
      </c>
      <c r="E218" s="25" t="str">
        <f aca="false">IFERROR(INDEX('Controle de Entrega'!$D$6:$D$1575,MATCH($A218,'Controle de Entrega'!$K$6:$K$1575,0)),"")</f>
        <v/>
      </c>
      <c r="F218" s="25" t="str">
        <f aca="false">IFERROR(INDEX('Controle de Entrega'!$E$6:$E$1575,MATCH($A218,'Controle de Entrega'!$K$6:$K$1575,0)),"")</f>
        <v/>
      </c>
      <c r="G218" s="25" t="str">
        <f aca="false">IFERROR(INDEX('Controle de Entrega'!$F$6:$F$1575,MATCH($A218,'Controle de Entrega'!$K$6:$K$1575,0)),"")</f>
        <v/>
      </c>
      <c r="H218" s="27" t="str">
        <f aca="false">IFERROR(INDEX('Controle de Entrega'!$G$6:$G$1575,MATCH($A218,'Controle de Entrega'!$K$6:$K$1575,0)),"")</f>
        <v/>
      </c>
      <c r="I218" s="25" t="str">
        <f aca="false">IFERROR(IF(INDEX('Controle de Entrega'!$H$6:$H$1575,MATCH($A218,'Controle de Entrega'!$K$6:$K$1575,0))=0,"",INDEX('Controle de Entrega'!$H$6:$H$1575,MATCH($A218,'Controle de Entrega'!$K$6:$K$1575,0))),"")</f>
        <v/>
      </c>
      <c r="J218" s="26" t="str">
        <f aca="false">IFERROR(IF(INDEX('Controle de Entrega'!$I$6:$I$1575,MATCH($A218,'Controle de Entrega'!$K$6:$K$1575,0))=0,"",INDEX('Controle de Entrega'!$I$6:$I$1575,MATCH($A218,'Controle de Entrega'!$K$6:$K$1575,0))),"")</f>
        <v/>
      </c>
    </row>
    <row r="219" customFormat="false" ht="15" hidden="false" customHeight="false" outlineLevel="0" collapsed="false">
      <c r="A219" s="25" t="n">
        <v>123</v>
      </c>
      <c r="B219" s="25" t="str">
        <f aca="false">IFERROR(INDEX('Controle de Entrega'!$A$6:$A$1575,MATCH($A219,'Controle de Entrega'!$K$6:$K$1575,0)),"")</f>
        <v/>
      </c>
      <c r="C219" s="25" t="str">
        <f aca="false">IFERROR(INDEX('Controle de Entrega'!$B$6:$B$1575,MATCH($A219,'Controle de Entrega'!$K$6:$K$1575,0)),"")</f>
        <v/>
      </c>
      <c r="D219" s="26" t="str">
        <f aca="false">IFERROR(INDEX('Controle de Entrega'!$C$6:$C$1575,MATCH($A219,'Controle de Entrega'!$K$6:$K$1575,0)),"")</f>
        <v/>
      </c>
      <c r="E219" s="25" t="str">
        <f aca="false">IFERROR(INDEX('Controle de Entrega'!$D$6:$D$1575,MATCH($A219,'Controle de Entrega'!$K$6:$K$1575,0)),"")</f>
        <v/>
      </c>
      <c r="F219" s="25" t="str">
        <f aca="false">IFERROR(INDEX('Controle de Entrega'!$E$6:$E$1575,MATCH($A219,'Controle de Entrega'!$K$6:$K$1575,0)),"")</f>
        <v/>
      </c>
      <c r="G219" s="25" t="str">
        <f aca="false">IFERROR(INDEX('Controle de Entrega'!$F$6:$F$1575,MATCH($A219,'Controle de Entrega'!$K$6:$K$1575,0)),"")</f>
        <v/>
      </c>
      <c r="H219" s="27" t="str">
        <f aca="false">IFERROR(INDEX('Controle de Entrega'!$G$6:$G$1575,MATCH($A219,'Controle de Entrega'!$K$6:$K$1575,0)),"")</f>
        <v/>
      </c>
      <c r="I219" s="25" t="str">
        <f aca="false">IFERROR(IF(INDEX('Controle de Entrega'!$H$6:$H$1575,MATCH($A219,'Controle de Entrega'!$K$6:$K$1575,0))=0,"",INDEX('Controle de Entrega'!$H$6:$H$1575,MATCH($A219,'Controle de Entrega'!$K$6:$K$1575,0))),"")</f>
        <v/>
      </c>
      <c r="J219" s="26" t="str">
        <f aca="false">IFERROR(IF(INDEX('Controle de Entrega'!$I$6:$I$1575,MATCH($A219,'Controle de Entrega'!$K$6:$K$1575,0))=0,"",INDEX('Controle de Entrega'!$I$6:$I$1575,MATCH($A219,'Controle de Entrega'!$K$6:$K$1575,0))),"")</f>
        <v/>
      </c>
    </row>
    <row r="220" customFormat="false" ht="15" hidden="false" customHeight="false" outlineLevel="0" collapsed="false">
      <c r="A220" s="25" t="n">
        <v>124</v>
      </c>
      <c r="B220" s="25" t="str">
        <f aca="false">IFERROR(INDEX('Controle de Entrega'!$A$6:$A$1575,MATCH($A220,'Controle de Entrega'!$K$6:$K$1575,0)),"")</f>
        <v/>
      </c>
      <c r="C220" s="25" t="str">
        <f aca="false">IFERROR(INDEX('Controle de Entrega'!$B$6:$B$1575,MATCH($A220,'Controle de Entrega'!$K$6:$K$1575,0)),"")</f>
        <v/>
      </c>
      <c r="D220" s="26" t="str">
        <f aca="false">IFERROR(INDEX('Controle de Entrega'!$C$6:$C$1575,MATCH($A220,'Controle de Entrega'!$K$6:$K$1575,0)),"")</f>
        <v/>
      </c>
      <c r="E220" s="25" t="str">
        <f aca="false">IFERROR(INDEX('Controle de Entrega'!$D$6:$D$1575,MATCH($A220,'Controle de Entrega'!$K$6:$K$1575,0)),"")</f>
        <v/>
      </c>
      <c r="F220" s="25" t="str">
        <f aca="false">IFERROR(INDEX('Controle de Entrega'!$E$6:$E$1575,MATCH($A220,'Controle de Entrega'!$K$6:$K$1575,0)),"")</f>
        <v/>
      </c>
      <c r="G220" s="25" t="str">
        <f aca="false">IFERROR(INDEX('Controle de Entrega'!$F$6:$F$1575,MATCH($A220,'Controle de Entrega'!$K$6:$K$1575,0)),"")</f>
        <v/>
      </c>
      <c r="H220" s="27" t="str">
        <f aca="false">IFERROR(INDEX('Controle de Entrega'!$G$6:$G$1575,MATCH($A220,'Controle de Entrega'!$K$6:$K$1575,0)),"")</f>
        <v/>
      </c>
      <c r="I220" s="25" t="str">
        <f aca="false">IFERROR(IF(INDEX('Controle de Entrega'!$H$6:$H$1575,MATCH($A220,'Controle de Entrega'!$K$6:$K$1575,0))=0,"",INDEX('Controle de Entrega'!$H$6:$H$1575,MATCH($A220,'Controle de Entrega'!$K$6:$K$1575,0))),"")</f>
        <v/>
      </c>
      <c r="J220" s="26" t="str">
        <f aca="false">IFERROR(IF(INDEX('Controle de Entrega'!$I$6:$I$1575,MATCH($A220,'Controle de Entrega'!$K$6:$K$1575,0))=0,"",INDEX('Controle de Entrega'!$I$6:$I$1575,MATCH($A220,'Controle de Entrega'!$K$6:$K$1575,0))),"")</f>
        <v/>
      </c>
    </row>
    <row r="221" customFormat="false" ht="15" hidden="false" customHeight="false" outlineLevel="0" collapsed="false">
      <c r="A221" s="25" t="n">
        <v>125</v>
      </c>
      <c r="B221" s="25" t="str">
        <f aca="false">IFERROR(INDEX('Controle de Entrega'!$A$6:$A$1575,MATCH($A221,'Controle de Entrega'!$K$6:$K$1575,0)),"")</f>
        <v/>
      </c>
      <c r="C221" s="25" t="str">
        <f aca="false">IFERROR(INDEX('Controle de Entrega'!$B$6:$B$1575,MATCH($A221,'Controle de Entrega'!$K$6:$K$1575,0)),"")</f>
        <v/>
      </c>
      <c r="D221" s="26" t="str">
        <f aca="false">IFERROR(INDEX('Controle de Entrega'!$C$6:$C$1575,MATCH($A221,'Controle de Entrega'!$K$6:$K$1575,0)),"")</f>
        <v/>
      </c>
      <c r="E221" s="25" t="str">
        <f aca="false">IFERROR(INDEX('Controle de Entrega'!$D$6:$D$1575,MATCH($A221,'Controle de Entrega'!$K$6:$K$1575,0)),"")</f>
        <v/>
      </c>
      <c r="F221" s="25" t="str">
        <f aca="false">IFERROR(INDEX('Controle de Entrega'!$E$6:$E$1575,MATCH($A221,'Controle de Entrega'!$K$6:$K$1575,0)),"")</f>
        <v/>
      </c>
      <c r="G221" s="25" t="str">
        <f aca="false">IFERROR(INDEX('Controle de Entrega'!$F$6:$F$1575,MATCH($A221,'Controle de Entrega'!$K$6:$K$1575,0)),"")</f>
        <v/>
      </c>
      <c r="H221" s="27" t="str">
        <f aca="false">IFERROR(INDEX('Controle de Entrega'!$G$6:$G$1575,MATCH($A221,'Controle de Entrega'!$K$6:$K$1575,0)),"")</f>
        <v/>
      </c>
      <c r="I221" s="25" t="str">
        <f aca="false">IFERROR(IF(INDEX('Controle de Entrega'!$H$6:$H$1575,MATCH($A221,'Controle de Entrega'!$K$6:$K$1575,0))=0,"",INDEX('Controle de Entrega'!$H$6:$H$1575,MATCH($A221,'Controle de Entrega'!$K$6:$K$1575,0))),"")</f>
        <v/>
      </c>
      <c r="J221" s="26" t="str">
        <f aca="false">IFERROR(IF(INDEX('Controle de Entrega'!$I$6:$I$1575,MATCH($A221,'Controle de Entrega'!$K$6:$K$1575,0))=0,"",INDEX('Controle de Entrega'!$I$6:$I$1575,MATCH($A221,'Controle de Entrega'!$K$6:$K$1575,0))),"")</f>
        <v/>
      </c>
    </row>
    <row r="222" customFormat="false" ht="15" hidden="false" customHeight="false" outlineLevel="0" collapsed="false">
      <c r="A222" s="25" t="n">
        <v>126</v>
      </c>
      <c r="B222" s="25" t="str">
        <f aca="false">IFERROR(INDEX('Controle de Entrega'!$A$6:$A$1575,MATCH($A222,'Controle de Entrega'!$K$6:$K$1575,0)),"")</f>
        <v/>
      </c>
      <c r="C222" s="25" t="str">
        <f aca="false">IFERROR(INDEX('Controle de Entrega'!$B$6:$B$1575,MATCH($A222,'Controle de Entrega'!$K$6:$K$1575,0)),"")</f>
        <v/>
      </c>
      <c r="D222" s="26" t="str">
        <f aca="false">IFERROR(INDEX('Controle de Entrega'!$C$6:$C$1575,MATCH($A222,'Controle de Entrega'!$K$6:$K$1575,0)),"")</f>
        <v/>
      </c>
      <c r="E222" s="25" t="str">
        <f aca="false">IFERROR(INDEX('Controle de Entrega'!$D$6:$D$1575,MATCH($A222,'Controle de Entrega'!$K$6:$K$1575,0)),"")</f>
        <v/>
      </c>
      <c r="F222" s="25" t="str">
        <f aca="false">IFERROR(INDEX('Controle de Entrega'!$E$6:$E$1575,MATCH($A222,'Controle de Entrega'!$K$6:$K$1575,0)),"")</f>
        <v/>
      </c>
      <c r="G222" s="25" t="str">
        <f aca="false">IFERROR(INDEX('Controle de Entrega'!$F$6:$F$1575,MATCH($A222,'Controle de Entrega'!$K$6:$K$1575,0)),"")</f>
        <v/>
      </c>
      <c r="H222" s="27" t="str">
        <f aca="false">IFERROR(INDEX('Controle de Entrega'!$G$6:$G$1575,MATCH($A222,'Controle de Entrega'!$K$6:$K$1575,0)),"")</f>
        <v/>
      </c>
      <c r="I222" s="25" t="str">
        <f aca="false">IFERROR(IF(INDEX('Controle de Entrega'!$H$6:$H$1575,MATCH($A222,'Controle de Entrega'!$K$6:$K$1575,0))=0,"",INDEX('Controle de Entrega'!$H$6:$H$1575,MATCH($A222,'Controle de Entrega'!$K$6:$K$1575,0))),"")</f>
        <v/>
      </c>
      <c r="J222" s="26" t="str">
        <f aca="false">IFERROR(IF(INDEX('Controle de Entrega'!$I$6:$I$1575,MATCH($A222,'Controle de Entrega'!$K$6:$K$1575,0))=0,"",INDEX('Controle de Entrega'!$I$6:$I$1575,MATCH($A222,'Controle de Entrega'!$K$6:$K$1575,0))),"")</f>
        <v/>
      </c>
    </row>
    <row r="223" customFormat="false" ht="15" hidden="false" customHeight="false" outlineLevel="0" collapsed="false">
      <c r="A223" s="25" t="n">
        <v>127</v>
      </c>
      <c r="B223" s="25" t="str">
        <f aca="false">IFERROR(INDEX('Controle de Entrega'!$A$6:$A$1575,MATCH($A223,'Controle de Entrega'!$K$6:$K$1575,0)),"")</f>
        <v/>
      </c>
      <c r="C223" s="25" t="str">
        <f aca="false">IFERROR(INDEX('Controle de Entrega'!$B$6:$B$1575,MATCH($A223,'Controle de Entrega'!$K$6:$K$1575,0)),"")</f>
        <v/>
      </c>
      <c r="D223" s="26" t="str">
        <f aca="false">IFERROR(INDEX('Controle de Entrega'!$C$6:$C$1575,MATCH($A223,'Controle de Entrega'!$K$6:$K$1575,0)),"")</f>
        <v/>
      </c>
      <c r="E223" s="25" t="str">
        <f aca="false">IFERROR(INDEX('Controle de Entrega'!$D$6:$D$1575,MATCH($A223,'Controle de Entrega'!$K$6:$K$1575,0)),"")</f>
        <v/>
      </c>
      <c r="F223" s="25" t="str">
        <f aca="false">IFERROR(INDEX('Controle de Entrega'!$E$6:$E$1575,MATCH($A223,'Controle de Entrega'!$K$6:$K$1575,0)),"")</f>
        <v/>
      </c>
      <c r="G223" s="25" t="str">
        <f aca="false">IFERROR(INDEX('Controle de Entrega'!$F$6:$F$1575,MATCH($A223,'Controle de Entrega'!$K$6:$K$1575,0)),"")</f>
        <v/>
      </c>
      <c r="H223" s="27" t="str">
        <f aca="false">IFERROR(INDEX('Controle de Entrega'!$G$6:$G$1575,MATCH($A223,'Controle de Entrega'!$K$6:$K$1575,0)),"")</f>
        <v/>
      </c>
      <c r="I223" s="25" t="str">
        <f aca="false">IFERROR(IF(INDEX('Controle de Entrega'!$H$6:$H$1575,MATCH($A223,'Controle de Entrega'!$K$6:$K$1575,0))=0,"",INDEX('Controle de Entrega'!$H$6:$H$1575,MATCH($A223,'Controle de Entrega'!$K$6:$K$1575,0))),"")</f>
        <v/>
      </c>
      <c r="J223" s="26" t="str">
        <f aca="false">IFERROR(IF(INDEX('Controle de Entrega'!$I$6:$I$1575,MATCH($A223,'Controle de Entrega'!$K$6:$K$1575,0))=0,"",INDEX('Controle de Entrega'!$I$6:$I$1575,MATCH($A223,'Controle de Entrega'!$K$6:$K$1575,0))),"")</f>
        <v/>
      </c>
    </row>
    <row r="224" customFormat="false" ht="15" hidden="false" customHeight="false" outlineLevel="0" collapsed="false">
      <c r="A224" s="25" t="n">
        <v>128</v>
      </c>
      <c r="B224" s="25" t="str">
        <f aca="false">IFERROR(INDEX('Controle de Entrega'!$A$6:$A$1575,MATCH($A224,'Controle de Entrega'!$K$6:$K$1575,0)),"")</f>
        <v/>
      </c>
      <c r="C224" s="25" t="str">
        <f aca="false">IFERROR(INDEX('Controle de Entrega'!$B$6:$B$1575,MATCH($A224,'Controle de Entrega'!$K$6:$K$1575,0)),"")</f>
        <v/>
      </c>
      <c r="D224" s="26" t="str">
        <f aca="false">IFERROR(INDEX('Controle de Entrega'!$C$6:$C$1575,MATCH($A224,'Controle de Entrega'!$K$6:$K$1575,0)),"")</f>
        <v/>
      </c>
      <c r="E224" s="25" t="str">
        <f aca="false">IFERROR(INDEX('Controle de Entrega'!$D$6:$D$1575,MATCH($A224,'Controle de Entrega'!$K$6:$K$1575,0)),"")</f>
        <v/>
      </c>
      <c r="F224" s="25" t="str">
        <f aca="false">IFERROR(INDEX('Controle de Entrega'!$E$6:$E$1575,MATCH($A224,'Controle de Entrega'!$K$6:$K$1575,0)),"")</f>
        <v/>
      </c>
      <c r="G224" s="25" t="str">
        <f aca="false">IFERROR(INDEX('Controle de Entrega'!$F$6:$F$1575,MATCH($A224,'Controle de Entrega'!$K$6:$K$1575,0)),"")</f>
        <v/>
      </c>
      <c r="H224" s="27" t="str">
        <f aca="false">IFERROR(INDEX('Controle de Entrega'!$G$6:$G$1575,MATCH($A224,'Controle de Entrega'!$K$6:$K$1575,0)),"")</f>
        <v/>
      </c>
      <c r="I224" s="25" t="str">
        <f aca="false">IFERROR(IF(INDEX('Controle de Entrega'!$H$6:$H$1575,MATCH($A224,'Controle de Entrega'!$K$6:$K$1575,0))=0,"",INDEX('Controle de Entrega'!$H$6:$H$1575,MATCH($A224,'Controle de Entrega'!$K$6:$K$1575,0))),"")</f>
        <v/>
      </c>
      <c r="J224" s="26" t="str">
        <f aca="false">IFERROR(IF(INDEX('Controle de Entrega'!$I$6:$I$1575,MATCH($A224,'Controle de Entrega'!$K$6:$K$1575,0))=0,"",INDEX('Controle de Entrega'!$I$6:$I$1575,MATCH($A224,'Controle de Entrega'!$K$6:$K$1575,0))),"")</f>
        <v/>
      </c>
    </row>
    <row r="225" customFormat="false" ht="15" hidden="false" customHeight="false" outlineLevel="0" collapsed="false">
      <c r="A225" s="25" t="n">
        <v>129</v>
      </c>
      <c r="B225" s="25" t="str">
        <f aca="false">IFERROR(INDEX('Controle de Entrega'!$A$6:$A$1575,MATCH($A225,'Controle de Entrega'!$K$6:$K$1575,0)),"")</f>
        <v/>
      </c>
      <c r="C225" s="25" t="str">
        <f aca="false">IFERROR(INDEX('Controle de Entrega'!$B$6:$B$1575,MATCH($A225,'Controle de Entrega'!$K$6:$K$1575,0)),"")</f>
        <v/>
      </c>
      <c r="D225" s="26" t="str">
        <f aca="false">IFERROR(INDEX('Controle de Entrega'!$C$6:$C$1575,MATCH($A225,'Controle de Entrega'!$K$6:$K$1575,0)),"")</f>
        <v/>
      </c>
      <c r="E225" s="25" t="str">
        <f aca="false">IFERROR(INDEX('Controle de Entrega'!$D$6:$D$1575,MATCH($A225,'Controle de Entrega'!$K$6:$K$1575,0)),"")</f>
        <v/>
      </c>
      <c r="F225" s="25" t="str">
        <f aca="false">IFERROR(INDEX('Controle de Entrega'!$E$6:$E$1575,MATCH($A225,'Controle de Entrega'!$K$6:$K$1575,0)),"")</f>
        <v/>
      </c>
      <c r="G225" s="25" t="str">
        <f aca="false">IFERROR(INDEX('Controle de Entrega'!$F$6:$F$1575,MATCH($A225,'Controle de Entrega'!$K$6:$K$1575,0)),"")</f>
        <v/>
      </c>
      <c r="H225" s="27" t="str">
        <f aca="false">IFERROR(INDEX('Controle de Entrega'!$G$6:$G$1575,MATCH($A225,'Controle de Entrega'!$K$6:$K$1575,0)),"")</f>
        <v/>
      </c>
      <c r="I225" s="25" t="str">
        <f aca="false">IFERROR(IF(INDEX('Controle de Entrega'!$H$6:$H$1575,MATCH($A225,'Controle de Entrega'!$K$6:$K$1575,0))=0,"",INDEX('Controle de Entrega'!$H$6:$H$1575,MATCH($A225,'Controle de Entrega'!$K$6:$K$1575,0))),"")</f>
        <v/>
      </c>
      <c r="J225" s="26" t="str">
        <f aca="false">IFERROR(IF(INDEX('Controle de Entrega'!$I$6:$I$1575,MATCH($A225,'Controle de Entrega'!$K$6:$K$1575,0))=0,"",INDEX('Controle de Entrega'!$I$6:$I$1575,MATCH($A225,'Controle de Entrega'!$K$6:$K$1575,0))),"")</f>
        <v/>
      </c>
    </row>
    <row r="226" customFormat="false" ht="15" hidden="false" customHeight="false" outlineLevel="0" collapsed="false">
      <c r="A226" s="25" t="n">
        <v>130</v>
      </c>
      <c r="B226" s="25" t="str">
        <f aca="false">IFERROR(INDEX('Controle de Entrega'!$A$6:$A$1575,MATCH($A226,'Controle de Entrega'!$K$6:$K$1575,0)),"")</f>
        <v/>
      </c>
      <c r="C226" s="25" t="str">
        <f aca="false">IFERROR(INDEX('Controle de Entrega'!$B$6:$B$1575,MATCH($A226,'Controle de Entrega'!$K$6:$K$1575,0)),"")</f>
        <v/>
      </c>
      <c r="D226" s="26" t="str">
        <f aca="false">IFERROR(INDEX('Controle de Entrega'!$C$6:$C$1575,MATCH($A226,'Controle de Entrega'!$K$6:$K$1575,0)),"")</f>
        <v/>
      </c>
      <c r="E226" s="25" t="str">
        <f aca="false">IFERROR(INDEX('Controle de Entrega'!$D$6:$D$1575,MATCH($A226,'Controle de Entrega'!$K$6:$K$1575,0)),"")</f>
        <v/>
      </c>
      <c r="F226" s="25" t="str">
        <f aca="false">IFERROR(INDEX('Controle de Entrega'!$E$6:$E$1575,MATCH($A226,'Controle de Entrega'!$K$6:$K$1575,0)),"")</f>
        <v/>
      </c>
      <c r="G226" s="25" t="str">
        <f aca="false">IFERROR(INDEX('Controle de Entrega'!$F$6:$F$1575,MATCH($A226,'Controle de Entrega'!$K$6:$K$1575,0)),"")</f>
        <v/>
      </c>
      <c r="H226" s="27" t="str">
        <f aca="false">IFERROR(INDEX('Controle de Entrega'!$G$6:$G$1575,MATCH($A226,'Controle de Entrega'!$K$6:$K$1575,0)),"")</f>
        <v/>
      </c>
      <c r="I226" s="25" t="str">
        <f aca="false">IFERROR(IF(INDEX('Controle de Entrega'!$H$6:$H$1575,MATCH($A226,'Controle de Entrega'!$K$6:$K$1575,0))=0,"",INDEX('Controle de Entrega'!$H$6:$H$1575,MATCH($A226,'Controle de Entrega'!$K$6:$K$1575,0))),"")</f>
        <v/>
      </c>
      <c r="J226" s="26" t="str">
        <f aca="false">IFERROR(IF(INDEX('Controle de Entrega'!$I$6:$I$1575,MATCH($A226,'Controle de Entrega'!$K$6:$K$1575,0))=0,"",INDEX('Controle de Entrega'!$I$6:$I$1575,MATCH($A226,'Controle de Entrega'!$K$6:$K$1575,0))),"")</f>
        <v/>
      </c>
    </row>
    <row r="227" customFormat="false" ht="15" hidden="false" customHeight="false" outlineLevel="0" collapsed="false">
      <c r="A227" s="25" t="n">
        <v>131</v>
      </c>
      <c r="B227" s="25" t="str">
        <f aca="false">IFERROR(INDEX('Controle de Entrega'!$A$6:$A$1575,MATCH($A227,'Controle de Entrega'!$K$6:$K$1575,0)),"")</f>
        <v/>
      </c>
      <c r="C227" s="25" t="str">
        <f aca="false">IFERROR(INDEX('Controle de Entrega'!$B$6:$B$1575,MATCH($A227,'Controle de Entrega'!$K$6:$K$1575,0)),"")</f>
        <v/>
      </c>
      <c r="D227" s="26" t="str">
        <f aca="false">IFERROR(INDEX('Controle de Entrega'!$C$6:$C$1575,MATCH($A227,'Controle de Entrega'!$K$6:$K$1575,0)),"")</f>
        <v/>
      </c>
      <c r="E227" s="25" t="str">
        <f aca="false">IFERROR(INDEX('Controle de Entrega'!$D$6:$D$1575,MATCH($A227,'Controle de Entrega'!$K$6:$K$1575,0)),"")</f>
        <v/>
      </c>
      <c r="F227" s="25" t="str">
        <f aca="false">IFERROR(INDEX('Controle de Entrega'!$E$6:$E$1575,MATCH($A227,'Controle de Entrega'!$K$6:$K$1575,0)),"")</f>
        <v/>
      </c>
      <c r="G227" s="25" t="str">
        <f aca="false">IFERROR(INDEX('Controle de Entrega'!$F$6:$F$1575,MATCH($A227,'Controle de Entrega'!$K$6:$K$1575,0)),"")</f>
        <v/>
      </c>
      <c r="H227" s="27" t="str">
        <f aca="false">IFERROR(INDEX('Controle de Entrega'!$G$6:$G$1575,MATCH($A227,'Controle de Entrega'!$K$6:$K$1575,0)),"")</f>
        <v/>
      </c>
      <c r="I227" s="25" t="str">
        <f aca="false">IFERROR(IF(INDEX('Controle de Entrega'!$H$6:$H$1575,MATCH($A227,'Controle de Entrega'!$K$6:$K$1575,0))=0,"",INDEX('Controle de Entrega'!$H$6:$H$1575,MATCH($A227,'Controle de Entrega'!$K$6:$K$1575,0))),"")</f>
        <v/>
      </c>
      <c r="J227" s="26" t="str">
        <f aca="false">IFERROR(IF(INDEX('Controle de Entrega'!$I$6:$I$1575,MATCH($A227,'Controle de Entrega'!$K$6:$K$1575,0))=0,"",INDEX('Controle de Entrega'!$I$6:$I$1575,MATCH($A227,'Controle de Entrega'!$K$6:$K$1575,0))),"")</f>
        <v/>
      </c>
    </row>
    <row r="228" customFormat="false" ht="15" hidden="false" customHeight="false" outlineLevel="0" collapsed="false">
      <c r="A228" s="25" t="n">
        <v>132</v>
      </c>
      <c r="B228" s="25" t="str">
        <f aca="false">IFERROR(INDEX('Controle de Entrega'!$A$6:$A$1575,MATCH($A228,'Controle de Entrega'!$K$6:$K$1575,0)),"")</f>
        <v/>
      </c>
      <c r="C228" s="25" t="str">
        <f aca="false">IFERROR(INDEX('Controle de Entrega'!$B$6:$B$1575,MATCH($A228,'Controle de Entrega'!$K$6:$K$1575,0)),"")</f>
        <v/>
      </c>
      <c r="D228" s="26" t="str">
        <f aca="false">IFERROR(INDEX('Controle de Entrega'!$C$6:$C$1575,MATCH($A228,'Controle de Entrega'!$K$6:$K$1575,0)),"")</f>
        <v/>
      </c>
      <c r="E228" s="25" t="str">
        <f aca="false">IFERROR(INDEX('Controle de Entrega'!$D$6:$D$1575,MATCH($A228,'Controle de Entrega'!$K$6:$K$1575,0)),"")</f>
        <v/>
      </c>
      <c r="F228" s="25" t="str">
        <f aca="false">IFERROR(INDEX('Controle de Entrega'!$E$6:$E$1575,MATCH($A228,'Controle de Entrega'!$K$6:$K$1575,0)),"")</f>
        <v/>
      </c>
      <c r="G228" s="25" t="str">
        <f aca="false">IFERROR(INDEX('Controle de Entrega'!$F$6:$F$1575,MATCH($A228,'Controle de Entrega'!$K$6:$K$1575,0)),"")</f>
        <v/>
      </c>
      <c r="H228" s="27" t="str">
        <f aca="false">IFERROR(INDEX('Controle de Entrega'!$G$6:$G$1575,MATCH($A228,'Controle de Entrega'!$K$6:$K$1575,0)),"")</f>
        <v/>
      </c>
      <c r="I228" s="25" t="str">
        <f aca="false">IFERROR(IF(INDEX('Controle de Entrega'!$H$6:$H$1575,MATCH($A228,'Controle de Entrega'!$K$6:$K$1575,0))=0,"",INDEX('Controle de Entrega'!$H$6:$H$1575,MATCH($A228,'Controle de Entrega'!$K$6:$K$1575,0))),"")</f>
        <v/>
      </c>
      <c r="J228" s="26" t="str">
        <f aca="false">IFERROR(IF(INDEX('Controle de Entrega'!$I$6:$I$1575,MATCH($A228,'Controle de Entrega'!$K$6:$K$1575,0))=0,"",INDEX('Controle de Entrega'!$I$6:$I$1575,MATCH($A228,'Controle de Entrega'!$K$6:$K$1575,0))),"")</f>
        <v/>
      </c>
    </row>
    <row r="229" customFormat="false" ht="15" hidden="false" customHeight="false" outlineLevel="0" collapsed="false">
      <c r="A229" s="25" t="n">
        <v>133</v>
      </c>
      <c r="B229" s="25" t="str">
        <f aca="false">IFERROR(INDEX('Controle de Entrega'!$A$6:$A$1575,MATCH($A229,'Controle de Entrega'!$K$6:$K$1575,0)),"")</f>
        <v/>
      </c>
      <c r="C229" s="25" t="str">
        <f aca="false">IFERROR(INDEX('Controle de Entrega'!$B$6:$B$1575,MATCH($A229,'Controle de Entrega'!$K$6:$K$1575,0)),"")</f>
        <v/>
      </c>
      <c r="D229" s="26" t="str">
        <f aca="false">IFERROR(INDEX('Controle de Entrega'!$C$6:$C$1575,MATCH($A229,'Controle de Entrega'!$K$6:$K$1575,0)),"")</f>
        <v/>
      </c>
      <c r="E229" s="25" t="str">
        <f aca="false">IFERROR(INDEX('Controle de Entrega'!$D$6:$D$1575,MATCH($A229,'Controle de Entrega'!$K$6:$K$1575,0)),"")</f>
        <v/>
      </c>
      <c r="F229" s="25" t="str">
        <f aca="false">IFERROR(INDEX('Controle de Entrega'!$E$6:$E$1575,MATCH($A229,'Controle de Entrega'!$K$6:$K$1575,0)),"")</f>
        <v/>
      </c>
      <c r="G229" s="25" t="str">
        <f aca="false">IFERROR(INDEX('Controle de Entrega'!$F$6:$F$1575,MATCH($A229,'Controle de Entrega'!$K$6:$K$1575,0)),"")</f>
        <v/>
      </c>
      <c r="H229" s="27" t="str">
        <f aca="false">IFERROR(INDEX('Controle de Entrega'!$G$6:$G$1575,MATCH($A229,'Controle de Entrega'!$K$6:$K$1575,0)),"")</f>
        <v/>
      </c>
      <c r="I229" s="25" t="str">
        <f aca="false">IFERROR(IF(INDEX('Controle de Entrega'!$H$6:$H$1575,MATCH($A229,'Controle de Entrega'!$K$6:$K$1575,0))=0,"",INDEX('Controle de Entrega'!$H$6:$H$1575,MATCH($A229,'Controle de Entrega'!$K$6:$K$1575,0))),"")</f>
        <v/>
      </c>
      <c r="J229" s="26" t="str">
        <f aca="false">IFERROR(IF(INDEX('Controle de Entrega'!$I$6:$I$1575,MATCH($A229,'Controle de Entrega'!$K$6:$K$1575,0))=0,"",INDEX('Controle de Entrega'!$I$6:$I$1575,MATCH($A229,'Controle de Entrega'!$K$6:$K$1575,0))),"")</f>
        <v/>
      </c>
    </row>
    <row r="230" customFormat="false" ht="15" hidden="false" customHeight="false" outlineLevel="0" collapsed="false">
      <c r="A230" s="25" t="n">
        <v>134</v>
      </c>
      <c r="B230" s="25" t="str">
        <f aca="false">IFERROR(INDEX('Controle de Entrega'!$A$6:$A$1575,MATCH($A230,'Controle de Entrega'!$K$6:$K$1575,0)),"")</f>
        <v/>
      </c>
      <c r="C230" s="25" t="str">
        <f aca="false">IFERROR(INDEX('Controle de Entrega'!$B$6:$B$1575,MATCH($A230,'Controle de Entrega'!$K$6:$K$1575,0)),"")</f>
        <v/>
      </c>
      <c r="D230" s="26" t="str">
        <f aca="false">IFERROR(INDEX('Controle de Entrega'!$C$6:$C$1575,MATCH($A230,'Controle de Entrega'!$K$6:$K$1575,0)),"")</f>
        <v/>
      </c>
      <c r="E230" s="25" t="str">
        <f aca="false">IFERROR(INDEX('Controle de Entrega'!$D$6:$D$1575,MATCH($A230,'Controle de Entrega'!$K$6:$K$1575,0)),"")</f>
        <v/>
      </c>
      <c r="F230" s="25" t="str">
        <f aca="false">IFERROR(INDEX('Controle de Entrega'!$E$6:$E$1575,MATCH($A230,'Controle de Entrega'!$K$6:$K$1575,0)),"")</f>
        <v/>
      </c>
      <c r="G230" s="25" t="str">
        <f aca="false">IFERROR(INDEX('Controle de Entrega'!$F$6:$F$1575,MATCH($A230,'Controle de Entrega'!$K$6:$K$1575,0)),"")</f>
        <v/>
      </c>
      <c r="H230" s="27" t="str">
        <f aca="false">IFERROR(INDEX('Controle de Entrega'!$G$6:$G$1575,MATCH($A230,'Controle de Entrega'!$K$6:$K$1575,0)),"")</f>
        <v/>
      </c>
      <c r="I230" s="25" t="str">
        <f aca="false">IFERROR(IF(INDEX('Controle de Entrega'!$H$6:$H$1575,MATCH($A230,'Controle de Entrega'!$K$6:$K$1575,0))=0,"",INDEX('Controle de Entrega'!$H$6:$H$1575,MATCH($A230,'Controle de Entrega'!$K$6:$K$1575,0))),"")</f>
        <v/>
      </c>
      <c r="J230" s="26" t="str">
        <f aca="false">IFERROR(IF(INDEX('Controle de Entrega'!$I$6:$I$1575,MATCH($A230,'Controle de Entrega'!$K$6:$K$1575,0))=0,"",INDEX('Controle de Entrega'!$I$6:$I$1575,MATCH($A230,'Controle de Entrega'!$K$6:$K$1575,0))),"")</f>
        <v/>
      </c>
    </row>
    <row r="231" customFormat="false" ht="15" hidden="false" customHeight="false" outlineLevel="0" collapsed="false">
      <c r="A231" s="25" t="n">
        <v>135</v>
      </c>
      <c r="B231" s="25" t="str">
        <f aca="false">IFERROR(INDEX('Controle de Entrega'!$A$6:$A$1575,MATCH($A231,'Controle de Entrega'!$K$6:$K$1575,0)),"")</f>
        <v/>
      </c>
      <c r="C231" s="25" t="str">
        <f aca="false">IFERROR(INDEX('Controle de Entrega'!$B$6:$B$1575,MATCH($A231,'Controle de Entrega'!$K$6:$K$1575,0)),"")</f>
        <v/>
      </c>
      <c r="D231" s="26" t="str">
        <f aca="false">IFERROR(INDEX('Controle de Entrega'!$C$6:$C$1575,MATCH($A231,'Controle de Entrega'!$K$6:$K$1575,0)),"")</f>
        <v/>
      </c>
      <c r="E231" s="25" t="str">
        <f aca="false">IFERROR(INDEX('Controle de Entrega'!$D$6:$D$1575,MATCH($A231,'Controle de Entrega'!$K$6:$K$1575,0)),"")</f>
        <v/>
      </c>
      <c r="F231" s="25" t="str">
        <f aca="false">IFERROR(INDEX('Controle de Entrega'!$E$6:$E$1575,MATCH($A231,'Controle de Entrega'!$K$6:$K$1575,0)),"")</f>
        <v/>
      </c>
      <c r="G231" s="25" t="str">
        <f aca="false">IFERROR(INDEX('Controle de Entrega'!$F$6:$F$1575,MATCH($A231,'Controle de Entrega'!$K$6:$K$1575,0)),"")</f>
        <v/>
      </c>
      <c r="H231" s="27" t="str">
        <f aca="false">IFERROR(INDEX('Controle de Entrega'!$G$6:$G$1575,MATCH($A231,'Controle de Entrega'!$K$6:$K$1575,0)),"")</f>
        <v/>
      </c>
      <c r="I231" s="25" t="str">
        <f aca="false">IFERROR(IF(INDEX('Controle de Entrega'!$H$6:$H$1575,MATCH($A231,'Controle de Entrega'!$K$6:$K$1575,0))=0,"",INDEX('Controle de Entrega'!$H$6:$H$1575,MATCH($A231,'Controle de Entrega'!$K$6:$K$1575,0))),"")</f>
        <v/>
      </c>
      <c r="J231" s="26" t="str">
        <f aca="false">IFERROR(IF(INDEX('Controle de Entrega'!$I$6:$I$1575,MATCH($A231,'Controle de Entrega'!$K$6:$K$1575,0))=0,"",INDEX('Controle de Entrega'!$I$6:$I$1575,MATCH($A231,'Controle de Entrega'!$K$6:$K$1575,0))),"")</f>
        <v/>
      </c>
    </row>
    <row r="232" customFormat="false" ht="15" hidden="false" customHeight="false" outlineLevel="0" collapsed="false">
      <c r="A232" s="25" t="n">
        <v>136</v>
      </c>
      <c r="B232" s="25" t="str">
        <f aca="false">IFERROR(INDEX('Controle de Entrega'!$A$6:$A$1575,MATCH($A232,'Controle de Entrega'!$K$6:$K$1575,0)),"")</f>
        <v/>
      </c>
      <c r="C232" s="25" t="str">
        <f aca="false">IFERROR(INDEX('Controle de Entrega'!$B$6:$B$1575,MATCH($A232,'Controle de Entrega'!$K$6:$K$1575,0)),"")</f>
        <v/>
      </c>
      <c r="D232" s="26" t="str">
        <f aca="false">IFERROR(INDEX('Controle de Entrega'!$C$6:$C$1575,MATCH($A232,'Controle de Entrega'!$K$6:$K$1575,0)),"")</f>
        <v/>
      </c>
      <c r="E232" s="25" t="str">
        <f aca="false">IFERROR(INDEX('Controle de Entrega'!$D$6:$D$1575,MATCH($A232,'Controle de Entrega'!$K$6:$K$1575,0)),"")</f>
        <v/>
      </c>
      <c r="F232" s="25" t="str">
        <f aca="false">IFERROR(INDEX('Controle de Entrega'!$E$6:$E$1575,MATCH($A232,'Controle de Entrega'!$K$6:$K$1575,0)),"")</f>
        <v/>
      </c>
      <c r="G232" s="25" t="str">
        <f aca="false">IFERROR(INDEX('Controle de Entrega'!$F$6:$F$1575,MATCH($A232,'Controle de Entrega'!$K$6:$K$1575,0)),"")</f>
        <v/>
      </c>
      <c r="H232" s="27" t="str">
        <f aca="false">IFERROR(INDEX('Controle de Entrega'!$G$6:$G$1575,MATCH($A232,'Controle de Entrega'!$K$6:$K$1575,0)),"")</f>
        <v/>
      </c>
      <c r="I232" s="25" t="str">
        <f aca="false">IFERROR(IF(INDEX('Controle de Entrega'!$H$6:$H$1575,MATCH($A232,'Controle de Entrega'!$K$6:$K$1575,0))=0,"",INDEX('Controle de Entrega'!$H$6:$H$1575,MATCH($A232,'Controle de Entrega'!$K$6:$K$1575,0))),"")</f>
        <v/>
      </c>
      <c r="J232" s="26" t="str">
        <f aca="false">IFERROR(IF(INDEX('Controle de Entrega'!$I$6:$I$1575,MATCH($A232,'Controle de Entrega'!$K$6:$K$1575,0))=0,"",INDEX('Controle de Entrega'!$I$6:$I$1575,MATCH($A232,'Controle de Entrega'!$K$6:$K$1575,0))),"")</f>
        <v/>
      </c>
    </row>
    <row r="233" customFormat="false" ht="15" hidden="false" customHeight="false" outlineLevel="0" collapsed="false">
      <c r="A233" s="25" t="n">
        <v>137</v>
      </c>
      <c r="B233" s="25" t="str">
        <f aca="false">IFERROR(INDEX('Controle de Entrega'!$A$6:$A$1575,MATCH($A233,'Controle de Entrega'!$K$6:$K$1575,0)),"")</f>
        <v/>
      </c>
      <c r="C233" s="25" t="str">
        <f aca="false">IFERROR(INDEX('Controle de Entrega'!$B$6:$B$1575,MATCH($A233,'Controle de Entrega'!$K$6:$K$1575,0)),"")</f>
        <v/>
      </c>
      <c r="D233" s="26" t="str">
        <f aca="false">IFERROR(INDEX('Controle de Entrega'!$C$6:$C$1575,MATCH($A233,'Controle de Entrega'!$K$6:$K$1575,0)),"")</f>
        <v/>
      </c>
      <c r="E233" s="25" t="str">
        <f aca="false">IFERROR(INDEX('Controle de Entrega'!$D$6:$D$1575,MATCH($A233,'Controle de Entrega'!$K$6:$K$1575,0)),"")</f>
        <v/>
      </c>
      <c r="F233" s="25" t="str">
        <f aca="false">IFERROR(INDEX('Controle de Entrega'!$E$6:$E$1575,MATCH($A233,'Controle de Entrega'!$K$6:$K$1575,0)),"")</f>
        <v/>
      </c>
      <c r="G233" s="25" t="str">
        <f aca="false">IFERROR(INDEX('Controle de Entrega'!$F$6:$F$1575,MATCH($A233,'Controle de Entrega'!$K$6:$K$1575,0)),"")</f>
        <v/>
      </c>
      <c r="H233" s="27" t="str">
        <f aca="false">IFERROR(INDEX('Controle de Entrega'!$G$6:$G$1575,MATCH($A233,'Controle de Entrega'!$K$6:$K$1575,0)),"")</f>
        <v/>
      </c>
      <c r="I233" s="25" t="str">
        <f aca="false">IFERROR(IF(INDEX('Controle de Entrega'!$H$6:$H$1575,MATCH($A233,'Controle de Entrega'!$K$6:$K$1575,0))=0,"",INDEX('Controle de Entrega'!$H$6:$H$1575,MATCH($A233,'Controle de Entrega'!$K$6:$K$1575,0))),"")</f>
        <v/>
      </c>
      <c r="J233" s="26" t="str">
        <f aca="false">IFERROR(IF(INDEX('Controle de Entrega'!$I$6:$I$1575,MATCH($A233,'Controle de Entrega'!$K$6:$K$1575,0))=0,"",INDEX('Controle de Entrega'!$I$6:$I$1575,MATCH($A233,'Controle de Entrega'!$K$6:$K$1575,0))),"")</f>
        <v/>
      </c>
    </row>
    <row r="234" customFormat="false" ht="15" hidden="false" customHeight="false" outlineLevel="0" collapsed="false">
      <c r="A234" s="25" t="n">
        <v>138</v>
      </c>
      <c r="B234" s="25" t="str">
        <f aca="false">IFERROR(INDEX('Controle de Entrega'!$A$6:$A$1575,MATCH($A234,'Controle de Entrega'!$K$6:$K$1575,0)),"")</f>
        <v/>
      </c>
      <c r="C234" s="25" t="str">
        <f aca="false">IFERROR(INDEX('Controle de Entrega'!$B$6:$B$1575,MATCH($A234,'Controle de Entrega'!$K$6:$K$1575,0)),"")</f>
        <v/>
      </c>
      <c r="D234" s="26" t="str">
        <f aca="false">IFERROR(INDEX('Controle de Entrega'!$C$6:$C$1575,MATCH($A234,'Controle de Entrega'!$K$6:$K$1575,0)),"")</f>
        <v/>
      </c>
      <c r="E234" s="25" t="str">
        <f aca="false">IFERROR(INDEX('Controle de Entrega'!$D$6:$D$1575,MATCH($A234,'Controle de Entrega'!$K$6:$K$1575,0)),"")</f>
        <v/>
      </c>
      <c r="F234" s="25" t="str">
        <f aca="false">IFERROR(INDEX('Controle de Entrega'!$E$6:$E$1575,MATCH($A234,'Controle de Entrega'!$K$6:$K$1575,0)),"")</f>
        <v/>
      </c>
      <c r="G234" s="25" t="str">
        <f aca="false">IFERROR(INDEX('Controle de Entrega'!$F$6:$F$1575,MATCH($A234,'Controle de Entrega'!$K$6:$K$1575,0)),"")</f>
        <v/>
      </c>
      <c r="H234" s="27" t="str">
        <f aca="false">IFERROR(INDEX('Controle de Entrega'!$G$6:$G$1575,MATCH($A234,'Controle de Entrega'!$K$6:$K$1575,0)),"")</f>
        <v/>
      </c>
      <c r="I234" s="25" t="str">
        <f aca="false">IFERROR(IF(INDEX('Controle de Entrega'!$H$6:$H$1575,MATCH($A234,'Controle de Entrega'!$K$6:$K$1575,0))=0,"",INDEX('Controle de Entrega'!$H$6:$H$1575,MATCH($A234,'Controle de Entrega'!$K$6:$K$1575,0))),"")</f>
        <v/>
      </c>
      <c r="J234" s="26" t="str">
        <f aca="false">IFERROR(IF(INDEX('Controle de Entrega'!$I$6:$I$1575,MATCH($A234,'Controle de Entrega'!$K$6:$K$1575,0))=0,"",INDEX('Controle de Entrega'!$I$6:$I$1575,MATCH($A234,'Controle de Entrega'!$K$6:$K$1575,0))),"")</f>
        <v/>
      </c>
    </row>
    <row r="235" customFormat="false" ht="15" hidden="false" customHeight="false" outlineLevel="0" collapsed="false">
      <c r="A235" s="25" t="n">
        <v>139</v>
      </c>
      <c r="B235" s="25" t="str">
        <f aca="false">IFERROR(INDEX('Controle de Entrega'!$A$6:$A$1575,MATCH($A235,'Controle de Entrega'!$K$6:$K$1575,0)),"")</f>
        <v/>
      </c>
      <c r="C235" s="25" t="str">
        <f aca="false">IFERROR(INDEX('Controle de Entrega'!$B$6:$B$1575,MATCH($A235,'Controle de Entrega'!$K$6:$K$1575,0)),"")</f>
        <v/>
      </c>
      <c r="D235" s="26" t="str">
        <f aca="false">IFERROR(INDEX('Controle de Entrega'!$C$6:$C$1575,MATCH($A235,'Controle de Entrega'!$K$6:$K$1575,0)),"")</f>
        <v/>
      </c>
      <c r="E235" s="25" t="str">
        <f aca="false">IFERROR(INDEX('Controle de Entrega'!$D$6:$D$1575,MATCH($A235,'Controle de Entrega'!$K$6:$K$1575,0)),"")</f>
        <v/>
      </c>
      <c r="F235" s="25" t="str">
        <f aca="false">IFERROR(INDEX('Controle de Entrega'!$E$6:$E$1575,MATCH($A235,'Controle de Entrega'!$K$6:$K$1575,0)),"")</f>
        <v/>
      </c>
      <c r="G235" s="25" t="str">
        <f aca="false">IFERROR(INDEX('Controle de Entrega'!$F$6:$F$1575,MATCH($A235,'Controle de Entrega'!$K$6:$K$1575,0)),"")</f>
        <v/>
      </c>
      <c r="H235" s="27" t="str">
        <f aca="false">IFERROR(INDEX('Controle de Entrega'!$G$6:$G$1575,MATCH($A235,'Controle de Entrega'!$K$6:$K$1575,0)),"")</f>
        <v/>
      </c>
      <c r="I235" s="25" t="str">
        <f aca="false">IFERROR(IF(INDEX('Controle de Entrega'!$H$6:$H$1575,MATCH($A235,'Controle de Entrega'!$K$6:$K$1575,0))=0,"",INDEX('Controle de Entrega'!$H$6:$H$1575,MATCH($A235,'Controle de Entrega'!$K$6:$K$1575,0))),"")</f>
        <v/>
      </c>
      <c r="J235" s="26" t="str">
        <f aca="false">IFERROR(IF(INDEX('Controle de Entrega'!$I$6:$I$1575,MATCH($A235,'Controle de Entrega'!$K$6:$K$1575,0))=0,"",INDEX('Controle de Entrega'!$I$6:$I$1575,MATCH($A235,'Controle de Entrega'!$K$6:$K$1575,0))),"")</f>
        <v/>
      </c>
    </row>
    <row r="236" customFormat="false" ht="15" hidden="false" customHeight="false" outlineLevel="0" collapsed="false">
      <c r="A236" s="25" t="n">
        <v>140</v>
      </c>
      <c r="B236" s="25" t="str">
        <f aca="false">IFERROR(INDEX('Controle de Entrega'!$A$6:$A$1575,MATCH($A236,'Controle de Entrega'!$K$6:$K$1575,0)),"")</f>
        <v/>
      </c>
      <c r="C236" s="25" t="str">
        <f aca="false">IFERROR(INDEX('Controle de Entrega'!$B$6:$B$1575,MATCH($A236,'Controle de Entrega'!$K$6:$K$1575,0)),"")</f>
        <v/>
      </c>
      <c r="D236" s="26" t="str">
        <f aca="false">IFERROR(INDEX('Controle de Entrega'!$C$6:$C$1575,MATCH($A236,'Controle de Entrega'!$K$6:$K$1575,0)),"")</f>
        <v/>
      </c>
      <c r="E236" s="25" t="str">
        <f aca="false">IFERROR(INDEX('Controle de Entrega'!$D$6:$D$1575,MATCH($A236,'Controle de Entrega'!$K$6:$K$1575,0)),"")</f>
        <v/>
      </c>
      <c r="F236" s="25" t="str">
        <f aca="false">IFERROR(INDEX('Controle de Entrega'!$E$6:$E$1575,MATCH($A236,'Controle de Entrega'!$K$6:$K$1575,0)),"")</f>
        <v/>
      </c>
      <c r="G236" s="25" t="str">
        <f aca="false">IFERROR(INDEX('Controle de Entrega'!$F$6:$F$1575,MATCH($A236,'Controle de Entrega'!$K$6:$K$1575,0)),"")</f>
        <v/>
      </c>
      <c r="H236" s="27" t="str">
        <f aca="false">IFERROR(INDEX('Controle de Entrega'!$G$6:$G$1575,MATCH($A236,'Controle de Entrega'!$K$6:$K$1575,0)),"")</f>
        <v/>
      </c>
      <c r="I236" s="25" t="str">
        <f aca="false">IFERROR(IF(INDEX('Controle de Entrega'!$H$6:$H$1575,MATCH($A236,'Controle de Entrega'!$K$6:$K$1575,0))=0,"",INDEX('Controle de Entrega'!$H$6:$H$1575,MATCH($A236,'Controle de Entrega'!$K$6:$K$1575,0))),"")</f>
        <v/>
      </c>
      <c r="J236" s="26" t="str">
        <f aca="false">IFERROR(IF(INDEX('Controle de Entrega'!$I$6:$I$1575,MATCH($A236,'Controle de Entrega'!$K$6:$K$1575,0))=0,"",INDEX('Controle de Entrega'!$I$6:$I$1575,MATCH($A236,'Controle de Entrega'!$K$6:$K$1575,0))),"")</f>
        <v/>
      </c>
    </row>
    <row r="237" customFormat="false" ht="15" hidden="false" customHeight="false" outlineLevel="0" collapsed="false">
      <c r="A237" s="25" t="n">
        <v>141</v>
      </c>
      <c r="B237" s="25" t="str">
        <f aca="false">IFERROR(INDEX('Controle de Entrega'!$A$6:$A$1575,MATCH($A237,'Controle de Entrega'!$K$6:$K$1575,0)),"")</f>
        <v/>
      </c>
      <c r="C237" s="25" t="str">
        <f aca="false">IFERROR(INDEX('Controle de Entrega'!$B$6:$B$1575,MATCH($A237,'Controle de Entrega'!$K$6:$K$1575,0)),"")</f>
        <v/>
      </c>
      <c r="D237" s="26" t="str">
        <f aca="false">IFERROR(INDEX('Controle de Entrega'!$C$6:$C$1575,MATCH($A237,'Controle de Entrega'!$K$6:$K$1575,0)),"")</f>
        <v/>
      </c>
      <c r="E237" s="25" t="str">
        <f aca="false">IFERROR(INDEX('Controle de Entrega'!$D$6:$D$1575,MATCH($A237,'Controle de Entrega'!$K$6:$K$1575,0)),"")</f>
        <v/>
      </c>
      <c r="F237" s="25" t="str">
        <f aca="false">IFERROR(INDEX('Controle de Entrega'!$E$6:$E$1575,MATCH($A237,'Controle de Entrega'!$K$6:$K$1575,0)),"")</f>
        <v/>
      </c>
      <c r="G237" s="25" t="str">
        <f aca="false">IFERROR(INDEX('Controle de Entrega'!$F$6:$F$1575,MATCH($A237,'Controle de Entrega'!$K$6:$K$1575,0)),"")</f>
        <v/>
      </c>
      <c r="H237" s="27" t="str">
        <f aca="false">IFERROR(INDEX('Controle de Entrega'!$G$6:$G$1575,MATCH($A237,'Controle de Entrega'!$K$6:$K$1575,0)),"")</f>
        <v/>
      </c>
      <c r="I237" s="25" t="str">
        <f aca="false">IFERROR(IF(INDEX('Controle de Entrega'!$H$6:$H$1575,MATCH($A237,'Controle de Entrega'!$K$6:$K$1575,0))=0,"",INDEX('Controle de Entrega'!$H$6:$H$1575,MATCH($A237,'Controle de Entrega'!$K$6:$K$1575,0))),"")</f>
        <v/>
      </c>
      <c r="J237" s="26" t="str">
        <f aca="false">IFERROR(IF(INDEX('Controle de Entrega'!$I$6:$I$1575,MATCH($A237,'Controle de Entrega'!$K$6:$K$1575,0))=0,"",INDEX('Controle de Entrega'!$I$6:$I$1575,MATCH($A237,'Controle de Entrega'!$K$6:$K$1575,0))),"")</f>
        <v/>
      </c>
    </row>
    <row r="238" customFormat="false" ht="15" hidden="false" customHeight="false" outlineLevel="0" collapsed="false">
      <c r="A238" s="25" t="n">
        <v>142</v>
      </c>
      <c r="B238" s="25" t="str">
        <f aca="false">IFERROR(INDEX('Controle de Entrega'!$A$6:$A$1575,MATCH($A238,'Controle de Entrega'!$K$6:$K$1575,0)),"")</f>
        <v/>
      </c>
      <c r="C238" s="25" t="str">
        <f aca="false">IFERROR(INDEX('Controle de Entrega'!$B$6:$B$1575,MATCH($A238,'Controle de Entrega'!$K$6:$K$1575,0)),"")</f>
        <v/>
      </c>
      <c r="D238" s="26" t="str">
        <f aca="false">IFERROR(INDEX('Controle de Entrega'!$C$6:$C$1575,MATCH($A238,'Controle de Entrega'!$K$6:$K$1575,0)),"")</f>
        <v/>
      </c>
      <c r="E238" s="25" t="str">
        <f aca="false">IFERROR(INDEX('Controle de Entrega'!$D$6:$D$1575,MATCH($A238,'Controle de Entrega'!$K$6:$K$1575,0)),"")</f>
        <v/>
      </c>
      <c r="F238" s="25" t="str">
        <f aca="false">IFERROR(INDEX('Controle de Entrega'!$E$6:$E$1575,MATCH($A238,'Controle de Entrega'!$K$6:$K$1575,0)),"")</f>
        <v/>
      </c>
      <c r="G238" s="25" t="str">
        <f aca="false">IFERROR(INDEX('Controle de Entrega'!$F$6:$F$1575,MATCH($A238,'Controle de Entrega'!$K$6:$K$1575,0)),"")</f>
        <v/>
      </c>
      <c r="H238" s="27" t="str">
        <f aca="false">IFERROR(INDEX('Controle de Entrega'!$G$6:$G$1575,MATCH($A238,'Controle de Entrega'!$K$6:$K$1575,0)),"")</f>
        <v/>
      </c>
      <c r="I238" s="25" t="str">
        <f aca="false">IFERROR(IF(INDEX('Controle de Entrega'!$H$6:$H$1575,MATCH($A238,'Controle de Entrega'!$K$6:$K$1575,0))=0,"",INDEX('Controle de Entrega'!$H$6:$H$1575,MATCH($A238,'Controle de Entrega'!$K$6:$K$1575,0))),"")</f>
        <v/>
      </c>
      <c r="J238" s="26" t="str">
        <f aca="false">IFERROR(IF(INDEX('Controle de Entrega'!$I$6:$I$1575,MATCH($A238,'Controle de Entrega'!$K$6:$K$1575,0))=0,"",INDEX('Controle de Entrega'!$I$6:$I$1575,MATCH($A238,'Controle de Entrega'!$K$6:$K$1575,0))),"")</f>
        <v/>
      </c>
    </row>
    <row r="239" customFormat="false" ht="15" hidden="false" customHeight="false" outlineLevel="0" collapsed="false">
      <c r="A239" s="25" t="n">
        <v>143</v>
      </c>
      <c r="B239" s="25" t="str">
        <f aca="false">IFERROR(INDEX('Controle de Entrega'!$A$6:$A$1575,MATCH($A239,'Controle de Entrega'!$K$6:$K$1575,0)),"")</f>
        <v/>
      </c>
      <c r="C239" s="25" t="str">
        <f aca="false">IFERROR(INDEX('Controle de Entrega'!$B$6:$B$1575,MATCH($A239,'Controle de Entrega'!$K$6:$K$1575,0)),"")</f>
        <v/>
      </c>
      <c r="D239" s="26" t="str">
        <f aca="false">IFERROR(INDEX('Controle de Entrega'!$C$6:$C$1575,MATCH($A239,'Controle de Entrega'!$K$6:$K$1575,0)),"")</f>
        <v/>
      </c>
      <c r="E239" s="25" t="str">
        <f aca="false">IFERROR(INDEX('Controle de Entrega'!$D$6:$D$1575,MATCH($A239,'Controle de Entrega'!$K$6:$K$1575,0)),"")</f>
        <v/>
      </c>
      <c r="F239" s="25" t="str">
        <f aca="false">IFERROR(INDEX('Controle de Entrega'!$E$6:$E$1575,MATCH($A239,'Controle de Entrega'!$K$6:$K$1575,0)),"")</f>
        <v/>
      </c>
      <c r="G239" s="25" t="str">
        <f aca="false">IFERROR(INDEX('Controle de Entrega'!$F$6:$F$1575,MATCH($A239,'Controle de Entrega'!$K$6:$K$1575,0)),"")</f>
        <v/>
      </c>
      <c r="H239" s="27" t="str">
        <f aca="false">IFERROR(INDEX('Controle de Entrega'!$G$6:$G$1575,MATCH($A239,'Controle de Entrega'!$K$6:$K$1575,0)),"")</f>
        <v/>
      </c>
      <c r="I239" s="25" t="str">
        <f aca="false">IFERROR(IF(INDEX('Controle de Entrega'!$H$6:$H$1575,MATCH($A239,'Controle de Entrega'!$K$6:$K$1575,0))=0,"",INDEX('Controle de Entrega'!$H$6:$H$1575,MATCH($A239,'Controle de Entrega'!$K$6:$K$1575,0))),"")</f>
        <v/>
      </c>
      <c r="J239" s="26" t="str">
        <f aca="false">IFERROR(IF(INDEX('Controle de Entrega'!$I$6:$I$1575,MATCH($A239,'Controle de Entrega'!$K$6:$K$1575,0))=0,"",INDEX('Controle de Entrega'!$I$6:$I$1575,MATCH($A239,'Controle de Entrega'!$K$6:$K$1575,0))),"")</f>
        <v/>
      </c>
    </row>
    <row r="240" customFormat="false" ht="15" hidden="false" customHeight="false" outlineLevel="0" collapsed="false">
      <c r="A240" s="25" t="n">
        <v>144</v>
      </c>
      <c r="B240" s="25" t="str">
        <f aca="false">IFERROR(INDEX('Controle de Entrega'!$A$6:$A$1575,MATCH($A240,'Controle de Entrega'!$K$6:$K$1575,0)),"")</f>
        <v/>
      </c>
      <c r="C240" s="25" t="str">
        <f aca="false">IFERROR(INDEX('Controle de Entrega'!$B$6:$B$1575,MATCH($A240,'Controle de Entrega'!$K$6:$K$1575,0)),"")</f>
        <v/>
      </c>
      <c r="D240" s="26" t="str">
        <f aca="false">IFERROR(INDEX('Controle de Entrega'!$C$6:$C$1575,MATCH($A240,'Controle de Entrega'!$K$6:$K$1575,0)),"")</f>
        <v/>
      </c>
      <c r="E240" s="25" t="str">
        <f aca="false">IFERROR(INDEX('Controle de Entrega'!$D$6:$D$1575,MATCH($A240,'Controle de Entrega'!$K$6:$K$1575,0)),"")</f>
        <v/>
      </c>
      <c r="F240" s="25" t="str">
        <f aca="false">IFERROR(INDEX('Controle de Entrega'!$E$6:$E$1575,MATCH($A240,'Controle de Entrega'!$K$6:$K$1575,0)),"")</f>
        <v/>
      </c>
      <c r="G240" s="25" t="str">
        <f aca="false">IFERROR(INDEX('Controle de Entrega'!$F$6:$F$1575,MATCH($A240,'Controle de Entrega'!$K$6:$K$1575,0)),"")</f>
        <v/>
      </c>
      <c r="H240" s="27" t="str">
        <f aca="false">IFERROR(INDEX('Controle de Entrega'!$G$6:$G$1575,MATCH($A240,'Controle de Entrega'!$K$6:$K$1575,0)),"")</f>
        <v/>
      </c>
      <c r="I240" s="25" t="str">
        <f aca="false">IFERROR(IF(INDEX('Controle de Entrega'!$H$6:$H$1575,MATCH($A240,'Controle de Entrega'!$K$6:$K$1575,0))=0,"",INDEX('Controle de Entrega'!$H$6:$H$1575,MATCH($A240,'Controle de Entrega'!$K$6:$K$1575,0))),"")</f>
        <v/>
      </c>
      <c r="J240" s="26" t="str">
        <f aca="false">IFERROR(IF(INDEX('Controle de Entrega'!$I$6:$I$1575,MATCH($A240,'Controle de Entrega'!$K$6:$K$1575,0))=0,"",INDEX('Controle de Entrega'!$I$6:$I$1575,MATCH($A240,'Controle de Entrega'!$K$6:$K$1575,0))),"")</f>
        <v/>
      </c>
    </row>
    <row r="241" customFormat="false" ht="15" hidden="false" customHeight="false" outlineLevel="0" collapsed="false">
      <c r="A241" s="25" t="n">
        <v>145</v>
      </c>
      <c r="B241" s="25" t="str">
        <f aca="false">IFERROR(INDEX('Controle de Entrega'!$A$6:$A$1575,MATCH($A241,'Controle de Entrega'!$K$6:$K$1575,0)),"")</f>
        <v/>
      </c>
      <c r="C241" s="25" t="str">
        <f aca="false">IFERROR(INDEX('Controle de Entrega'!$B$6:$B$1575,MATCH($A241,'Controle de Entrega'!$K$6:$K$1575,0)),"")</f>
        <v/>
      </c>
      <c r="D241" s="26" t="str">
        <f aca="false">IFERROR(INDEX('Controle de Entrega'!$C$6:$C$1575,MATCH($A241,'Controle de Entrega'!$K$6:$K$1575,0)),"")</f>
        <v/>
      </c>
      <c r="E241" s="25" t="str">
        <f aca="false">IFERROR(INDEX('Controle de Entrega'!$D$6:$D$1575,MATCH($A241,'Controle de Entrega'!$K$6:$K$1575,0)),"")</f>
        <v/>
      </c>
      <c r="F241" s="25" t="str">
        <f aca="false">IFERROR(INDEX('Controle de Entrega'!$E$6:$E$1575,MATCH($A241,'Controle de Entrega'!$K$6:$K$1575,0)),"")</f>
        <v/>
      </c>
      <c r="G241" s="25" t="str">
        <f aca="false">IFERROR(INDEX('Controle de Entrega'!$F$6:$F$1575,MATCH($A241,'Controle de Entrega'!$K$6:$K$1575,0)),"")</f>
        <v/>
      </c>
      <c r="H241" s="27" t="str">
        <f aca="false">IFERROR(INDEX('Controle de Entrega'!$G$6:$G$1575,MATCH($A241,'Controle de Entrega'!$K$6:$K$1575,0)),"")</f>
        <v/>
      </c>
      <c r="I241" s="25" t="str">
        <f aca="false">IFERROR(IF(INDEX('Controle de Entrega'!$H$6:$H$1575,MATCH($A241,'Controle de Entrega'!$K$6:$K$1575,0))=0,"",INDEX('Controle de Entrega'!$H$6:$H$1575,MATCH($A241,'Controle de Entrega'!$K$6:$K$1575,0))),"")</f>
        <v/>
      </c>
      <c r="J241" s="26" t="str">
        <f aca="false">IFERROR(IF(INDEX('Controle de Entrega'!$I$6:$I$1575,MATCH($A241,'Controle de Entrega'!$K$6:$K$1575,0))=0,"",INDEX('Controle de Entrega'!$I$6:$I$1575,MATCH($A241,'Controle de Entrega'!$K$6:$K$1575,0))),"")</f>
        <v/>
      </c>
    </row>
    <row r="242" customFormat="false" ht="15" hidden="false" customHeight="false" outlineLevel="0" collapsed="false">
      <c r="A242" s="25" t="n">
        <v>146</v>
      </c>
      <c r="B242" s="25" t="str">
        <f aca="false">IFERROR(INDEX('Controle de Entrega'!$A$6:$A$1575,MATCH($A242,'Controle de Entrega'!$K$6:$K$1575,0)),"")</f>
        <v/>
      </c>
      <c r="C242" s="25" t="str">
        <f aca="false">IFERROR(INDEX('Controle de Entrega'!$B$6:$B$1575,MATCH($A242,'Controle de Entrega'!$K$6:$K$1575,0)),"")</f>
        <v/>
      </c>
      <c r="D242" s="26" t="str">
        <f aca="false">IFERROR(INDEX('Controle de Entrega'!$C$6:$C$1575,MATCH($A242,'Controle de Entrega'!$K$6:$K$1575,0)),"")</f>
        <v/>
      </c>
      <c r="E242" s="25" t="str">
        <f aca="false">IFERROR(INDEX('Controle de Entrega'!$D$6:$D$1575,MATCH($A242,'Controle de Entrega'!$K$6:$K$1575,0)),"")</f>
        <v/>
      </c>
      <c r="F242" s="25" t="str">
        <f aca="false">IFERROR(INDEX('Controle de Entrega'!$E$6:$E$1575,MATCH($A242,'Controle de Entrega'!$K$6:$K$1575,0)),"")</f>
        <v/>
      </c>
      <c r="G242" s="25" t="str">
        <f aca="false">IFERROR(INDEX('Controle de Entrega'!$F$6:$F$1575,MATCH($A242,'Controle de Entrega'!$K$6:$K$1575,0)),"")</f>
        <v/>
      </c>
      <c r="H242" s="27" t="str">
        <f aca="false">IFERROR(INDEX('Controle de Entrega'!$G$6:$G$1575,MATCH($A242,'Controle de Entrega'!$K$6:$K$1575,0)),"")</f>
        <v/>
      </c>
      <c r="I242" s="25" t="str">
        <f aca="false">IFERROR(IF(INDEX('Controle de Entrega'!$H$6:$H$1575,MATCH($A242,'Controle de Entrega'!$K$6:$K$1575,0))=0,"",INDEX('Controle de Entrega'!$H$6:$H$1575,MATCH($A242,'Controle de Entrega'!$K$6:$K$1575,0))),"")</f>
        <v/>
      </c>
      <c r="J242" s="26" t="str">
        <f aca="false">IFERROR(IF(INDEX('Controle de Entrega'!$I$6:$I$1575,MATCH($A242,'Controle de Entrega'!$K$6:$K$1575,0))=0,"",INDEX('Controle de Entrega'!$I$6:$I$1575,MATCH($A242,'Controle de Entrega'!$K$6:$K$1575,0))),"")</f>
        <v/>
      </c>
    </row>
    <row r="243" customFormat="false" ht="15" hidden="false" customHeight="false" outlineLevel="0" collapsed="false">
      <c r="A243" s="25" t="n">
        <v>147</v>
      </c>
      <c r="B243" s="25" t="str">
        <f aca="false">IFERROR(INDEX('Controle de Entrega'!$A$6:$A$1575,MATCH($A243,'Controle de Entrega'!$K$6:$K$1575,0)),"")</f>
        <v/>
      </c>
      <c r="C243" s="25" t="str">
        <f aca="false">IFERROR(INDEX('Controle de Entrega'!$B$6:$B$1575,MATCH($A243,'Controle de Entrega'!$K$6:$K$1575,0)),"")</f>
        <v/>
      </c>
      <c r="D243" s="26" t="str">
        <f aca="false">IFERROR(INDEX('Controle de Entrega'!$C$6:$C$1575,MATCH($A243,'Controle de Entrega'!$K$6:$K$1575,0)),"")</f>
        <v/>
      </c>
      <c r="E243" s="25" t="str">
        <f aca="false">IFERROR(INDEX('Controle de Entrega'!$D$6:$D$1575,MATCH($A243,'Controle de Entrega'!$K$6:$K$1575,0)),"")</f>
        <v/>
      </c>
      <c r="F243" s="25" t="str">
        <f aca="false">IFERROR(INDEX('Controle de Entrega'!$E$6:$E$1575,MATCH($A243,'Controle de Entrega'!$K$6:$K$1575,0)),"")</f>
        <v/>
      </c>
      <c r="G243" s="25" t="str">
        <f aca="false">IFERROR(INDEX('Controle de Entrega'!$F$6:$F$1575,MATCH($A243,'Controle de Entrega'!$K$6:$K$1575,0)),"")</f>
        <v/>
      </c>
      <c r="H243" s="27" t="str">
        <f aca="false">IFERROR(INDEX('Controle de Entrega'!$G$6:$G$1575,MATCH($A243,'Controle de Entrega'!$K$6:$K$1575,0)),"")</f>
        <v/>
      </c>
      <c r="I243" s="25" t="str">
        <f aca="false">IFERROR(IF(INDEX('Controle de Entrega'!$H$6:$H$1575,MATCH($A243,'Controle de Entrega'!$K$6:$K$1575,0))=0,"",INDEX('Controle de Entrega'!$H$6:$H$1575,MATCH($A243,'Controle de Entrega'!$K$6:$K$1575,0))),"")</f>
        <v/>
      </c>
      <c r="J243" s="26" t="str">
        <f aca="false">IFERROR(IF(INDEX('Controle de Entrega'!$I$6:$I$1575,MATCH($A243,'Controle de Entrega'!$K$6:$K$1575,0))=0,"",INDEX('Controle de Entrega'!$I$6:$I$1575,MATCH($A243,'Controle de Entrega'!$K$6:$K$1575,0))),"")</f>
        <v/>
      </c>
    </row>
    <row r="244" customFormat="false" ht="15" hidden="false" customHeight="false" outlineLevel="0" collapsed="false">
      <c r="A244" s="25" t="n">
        <v>148</v>
      </c>
      <c r="B244" s="25" t="str">
        <f aca="false">IFERROR(INDEX('Controle de Entrega'!$A$6:$A$1575,MATCH($A244,'Controle de Entrega'!$K$6:$K$1575,0)),"")</f>
        <v/>
      </c>
      <c r="C244" s="25" t="str">
        <f aca="false">IFERROR(INDEX('Controle de Entrega'!$B$6:$B$1575,MATCH($A244,'Controle de Entrega'!$K$6:$K$1575,0)),"")</f>
        <v/>
      </c>
      <c r="D244" s="26" t="str">
        <f aca="false">IFERROR(INDEX('Controle de Entrega'!$C$6:$C$1575,MATCH($A244,'Controle de Entrega'!$K$6:$K$1575,0)),"")</f>
        <v/>
      </c>
      <c r="E244" s="25" t="str">
        <f aca="false">IFERROR(INDEX('Controle de Entrega'!$D$6:$D$1575,MATCH($A244,'Controle de Entrega'!$K$6:$K$1575,0)),"")</f>
        <v/>
      </c>
      <c r="F244" s="25" t="str">
        <f aca="false">IFERROR(INDEX('Controle de Entrega'!$E$6:$E$1575,MATCH($A244,'Controle de Entrega'!$K$6:$K$1575,0)),"")</f>
        <v/>
      </c>
      <c r="G244" s="25" t="str">
        <f aca="false">IFERROR(INDEX('Controle de Entrega'!$F$6:$F$1575,MATCH($A244,'Controle de Entrega'!$K$6:$K$1575,0)),"")</f>
        <v/>
      </c>
      <c r="H244" s="27" t="str">
        <f aca="false">IFERROR(INDEX('Controle de Entrega'!$G$6:$G$1575,MATCH($A244,'Controle de Entrega'!$K$6:$K$1575,0)),"")</f>
        <v/>
      </c>
      <c r="I244" s="25" t="str">
        <f aca="false">IFERROR(IF(INDEX('Controle de Entrega'!$H$6:$H$1575,MATCH($A244,'Controle de Entrega'!$K$6:$K$1575,0))=0,"",INDEX('Controle de Entrega'!$H$6:$H$1575,MATCH($A244,'Controle de Entrega'!$K$6:$K$1575,0))),"")</f>
        <v/>
      </c>
      <c r="J244" s="26" t="str">
        <f aca="false">IFERROR(IF(INDEX('Controle de Entrega'!$I$6:$I$1575,MATCH($A244,'Controle de Entrega'!$K$6:$K$1575,0))=0,"",INDEX('Controle de Entrega'!$I$6:$I$1575,MATCH($A244,'Controle de Entrega'!$K$6:$K$1575,0))),"")</f>
        <v/>
      </c>
    </row>
    <row r="245" customFormat="false" ht="15" hidden="false" customHeight="false" outlineLevel="0" collapsed="false">
      <c r="A245" s="25" t="n">
        <v>149</v>
      </c>
      <c r="B245" s="25" t="str">
        <f aca="false">IFERROR(INDEX('Controle de Entrega'!$A$6:$A$1575,MATCH($A245,'Controle de Entrega'!$K$6:$K$1575,0)),"")</f>
        <v/>
      </c>
      <c r="C245" s="25" t="str">
        <f aca="false">IFERROR(INDEX('Controle de Entrega'!$B$6:$B$1575,MATCH($A245,'Controle de Entrega'!$K$6:$K$1575,0)),"")</f>
        <v/>
      </c>
      <c r="D245" s="26" t="str">
        <f aca="false">IFERROR(INDEX('Controle de Entrega'!$C$6:$C$1575,MATCH($A245,'Controle de Entrega'!$K$6:$K$1575,0)),"")</f>
        <v/>
      </c>
      <c r="E245" s="25" t="str">
        <f aca="false">IFERROR(INDEX('Controle de Entrega'!$D$6:$D$1575,MATCH($A245,'Controle de Entrega'!$K$6:$K$1575,0)),"")</f>
        <v/>
      </c>
      <c r="F245" s="25" t="str">
        <f aca="false">IFERROR(INDEX('Controle de Entrega'!$E$6:$E$1575,MATCH($A245,'Controle de Entrega'!$K$6:$K$1575,0)),"")</f>
        <v/>
      </c>
      <c r="G245" s="25" t="str">
        <f aca="false">IFERROR(INDEX('Controle de Entrega'!$F$6:$F$1575,MATCH($A245,'Controle de Entrega'!$K$6:$K$1575,0)),"")</f>
        <v/>
      </c>
      <c r="H245" s="27" t="str">
        <f aca="false">IFERROR(INDEX('Controle de Entrega'!$G$6:$G$1575,MATCH($A245,'Controle de Entrega'!$K$6:$K$1575,0)),"")</f>
        <v/>
      </c>
      <c r="I245" s="25" t="str">
        <f aca="false">IFERROR(IF(INDEX('Controle de Entrega'!$H$6:$H$1575,MATCH($A245,'Controle de Entrega'!$K$6:$K$1575,0))=0,"",INDEX('Controle de Entrega'!$H$6:$H$1575,MATCH($A245,'Controle de Entrega'!$K$6:$K$1575,0))),"")</f>
        <v/>
      </c>
      <c r="J245" s="26" t="str">
        <f aca="false">IFERROR(IF(INDEX('Controle de Entrega'!$I$6:$I$1575,MATCH($A245,'Controle de Entrega'!$K$6:$K$1575,0))=0,"",INDEX('Controle de Entrega'!$I$6:$I$1575,MATCH($A245,'Controle de Entrega'!$K$6:$K$1575,0))),"")</f>
        <v/>
      </c>
    </row>
    <row r="246" customFormat="false" ht="15" hidden="false" customHeight="false" outlineLevel="0" collapsed="false">
      <c r="A246" s="25" t="n">
        <v>150</v>
      </c>
      <c r="B246" s="25" t="str">
        <f aca="false">IFERROR(INDEX('Controle de Entrega'!$A$6:$A$1575,MATCH($A246,'Controle de Entrega'!$K$6:$K$1575,0)),"")</f>
        <v/>
      </c>
      <c r="C246" s="25" t="str">
        <f aca="false">IFERROR(INDEX('Controle de Entrega'!$B$6:$B$1575,MATCH($A246,'Controle de Entrega'!$K$6:$K$1575,0)),"")</f>
        <v/>
      </c>
      <c r="D246" s="26" t="str">
        <f aca="false">IFERROR(INDEX('Controle de Entrega'!$C$6:$C$1575,MATCH($A246,'Controle de Entrega'!$K$6:$K$1575,0)),"")</f>
        <v/>
      </c>
      <c r="E246" s="25" t="str">
        <f aca="false">IFERROR(INDEX('Controle de Entrega'!$D$6:$D$1575,MATCH($A246,'Controle de Entrega'!$K$6:$K$1575,0)),"")</f>
        <v/>
      </c>
      <c r="F246" s="25" t="str">
        <f aca="false">IFERROR(INDEX('Controle de Entrega'!$E$6:$E$1575,MATCH($A246,'Controle de Entrega'!$K$6:$K$1575,0)),"")</f>
        <v/>
      </c>
      <c r="G246" s="25" t="str">
        <f aca="false">IFERROR(INDEX('Controle de Entrega'!$F$6:$F$1575,MATCH($A246,'Controle de Entrega'!$K$6:$K$1575,0)),"")</f>
        <v/>
      </c>
      <c r="H246" s="27" t="str">
        <f aca="false">IFERROR(INDEX('Controle de Entrega'!$G$6:$G$1575,MATCH($A246,'Controle de Entrega'!$K$6:$K$1575,0)),"")</f>
        <v/>
      </c>
      <c r="I246" s="25" t="str">
        <f aca="false">IFERROR(IF(INDEX('Controle de Entrega'!$H$6:$H$1575,MATCH($A246,'Controle de Entrega'!$K$6:$K$1575,0))=0,"",INDEX('Controle de Entrega'!$H$6:$H$1575,MATCH($A246,'Controle de Entrega'!$K$6:$K$1575,0))),"")</f>
        <v/>
      </c>
      <c r="J246" s="26" t="str">
        <f aca="false">IFERROR(IF(INDEX('Controle de Entrega'!$I$6:$I$1575,MATCH($A246,'Controle de Entrega'!$K$6:$K$1575,0))=0,"",INDEX('Controle de Entrega'!$I$6:$I$1575,MATCH($A246,'Controle de Entrega'!$K$6:$K$1575,0))),"")</f>
        <v/>
      </c>
    </row>
  </sheetData>
  <mergeCells count="38">
    <mergeCell ref="A1:I1"/>
    <mergeCell ref="K1:P1"/>
    <mergeCell ref="R1:W1"/>
    <mergeCell ref="A2:I2"/>
    <mergeCell ref="K2:P2"/>
    <mergeCell ref="R2:W2"/>
    <mergeCell ref="C3:E3"/>
    <mergeCell ref="L3:N3"/>
    <mergeCell ref="S3:U3"/>
    <mergeCell ref="R5:U5"/>
    <mergeCell ref="R6:S6"/>
    <mergeCell ref="T6:U6"/>
    <mergeCell ref="R7:S7"/>
    <mergeCell ref="T7:U7"/>
    <mergeCell ref="B8:C8"/>
    <mergeCell ref="D8:E8"/>
    <mergeCell ref="L8:M8"/>
    <mergeCell ref="N8:O8"/>
    <mergeCell ref="R8:S8"/>
    <mergeCell ref="T8:U8"/>
    <mergeCell ref="B9:C9"/>
    <mergeCell ref="D9:E9"/>
    <mergeCell ref="L9:M9"/>
    <mergeCell ref="N9:O9"/>
    <mergeCell ref="R9:S9"/>
    <mergeCell ref="T9:U9"/>
    <mergeCell ref="B10:C10"/>
    <mergeCell ref="D10:E10"/>
    <mergeCell ref="L10:M10"/>
    <mergeCell ref="N10:O10"/>
    <mergeCell ref="R10:S10"/>
    <mergeCell ref="T10:U10"/>
    <mergeCell ref="R11:S11"/>
    <mergeCell ref="T11:U11"/>
    <mergeCell ref="R12:S12"/>
    <mergeCell ref="T12:U12"/>
    <mergeCell ref="R13:S13"/>
    <mergeCell ref="T13:U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16" activeCellId="0" sqref="A116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99.57"/>
    <col collapsed="false" customWidth="true" hidden="false" outlineLevel="0" max="2" min="2" style="0" width="18"/>
    <col collapsed="false" customWidth="true" hidden="false" outlineLevel="0" max="5" min="3" style="0" width="12"/>
  </cols>
  <sheetData>
    <row r="1" customFormat="false" ht="18" hidden="false" customHeight="true" outlineLevel="0" collapsed="false">
      <c r="A1" s="6" t="s">
        <v>63</v>
      </c>
      <c r="B1" s="6"/>
      <c r="C1" s="6"/>
      <c r="D1" s="6"/>
      <c r="E1" s="6"/>
      <c r="F1" s="6"/>
    </row>
    <row r="2" customFormat="false" ht="25.5" hidden="false" customHeight="true" outlineLevel="0" collapsed="false">
      <c r="A2" s="2" t="s">
        <v>64</v>
      </c>
      <c r="B2" s="2"/>
      <c r="C2" s="2"/>
      <c r="D2" s="2"/>
      <c r="E2" s="2"/>
      <c r="F2" s="2"/>
    </row>
    <row r="3" customFormat="false" ht="15" hidden="false" customHeight="false" outlineLevel="0" collapsed="false">
      <c r="B3" s="9" t="s">
        <v>39</v>
      </c>
      <c r="C3" s="14" t="n">
        <v>46113</v>
      </c>
      <c r="D3" s="9" t="s">
        <v>40</v>
      </c>
      <c r="E3" s="14" t="n">
        <v>46142</v>
      </c>
    </row>
    <row r="6" customFormat="false" ht="30" hidden="false" customHeight="true" outlineLevel="0" collapsed="false">
      <c r="A6" s="3" t="s">
        <v>57</v>
      </c>
      <c r="B6" s="3" t="s">
        <v>65</v>
      </c>
    </row>
    <row r="7" customFormat="false" ht="15" hidden="false" customHeight="false" outlineLevel="0" collapsed="false">
      <c r="A7" s="26" t="str">
        <f aca="false">Técnicos!$C$5</f>
        <v>Carlos Eduardo Lima</v>
      </c>
      <c r="B7" s="25" t="n">
        <f aca="false">SUMIFS('Controle de Entrega'!$E$6:$E$1575,'Controle de Entrega'!$N$6:$N$1575,$A7,'Controle de Entrega'!$G$6:$G$1575,"&gt;="&amp;$C$3,'Controle de Entrega'!$G$6:$G$1575,"&lt;="&amp;$E$3)</f>
        <v>8</v>
      </c>
    </row>
    <row r="8" customFormat="false" ht="15" hidden="false" customHeight="false" outlineLevel="0" collapsed="false">
      <c r="A8" s="26" t="str">
        <f aca="false">Técnicos!$C$6</f>
        <v>Rafael Souza Martins</v>
      </c>
      <c r="B8" s="25" t="n">
        <f aca="false">SUMIFS('Controle de Entrega'!$E$6:$E$1575,'Controle de Entrega'!$N$6:$N$1575,$A8,'Controle de Entrega'!$G$6:$G$1575,"&gt;="&amp;$C$3,'Controle de Entrega'!$G$6:$G$1575,"&lt;="&amp;$E$3)</f>
        <v>7</v>
      </c>
    </row>
    <row r="9" customFormat="false" ht="15" hidden="false" customHeight="false" outlineLevel="0" collapsed="false">
      <c r="A9" s="26" t="str">
        <f aca="false">Técnicos!$C$7</f>
        <v>Bruno Henrique Costa</v>
      </c>
      <c r="B9" s="25" t="n">
        <f aca="false">SUMIFS('Controle de Entrega'!$E$6:$E$1575,'Controle de Entrega'!$N$6:$N$1575,$A9,'Controle de Entrega'!$G$6:$G$1575,"&gt;="&amp;$C$3,'Controle de Entrega'!$G$6:$G$1575,"&lt;="&amp;$E$3)</f>
        <v>3</v>
      </c>
    </row>
    <row r="10" customFormat="false" ht="15" hidden="false" customHeight="false" outlineLevel="0" collapsed="false">
      <c r="A10" s="26" t="str">
        <f aca="false">Técnicos!$C$8</f>
        <v>Diego Ferreira Alves</v>
      </c>
      <c r="B10" s="25" t="n">
        <f aca="false">SUMIFS('Controle de Entrega'!$E$6:$E$1575,'Controle de Entrega'!$N$6:$N$1575,$A10,'Controle de Entrega'!$G$6:$G$1575,"&gt;="&amp;$C$3,'Controle de Entrega'!$G$6:$G$1575,"&lt;="&amp;$E$3)</f>
        <v>7</v>
      </c>
    </row>
    <row r="11" customFormat="false" ht="15" hidden="false" customHeight="false" outlineLevel="0" collapsed="false">
      <c r="A11" s="26" t="str">
        <f aca="false">Técnicos!$C$9</f>
        <v>Marcos Vinícius Rocha</v>
      </c>
      <c r="B11" s="25" t="n">
        <f aca="false">SUMIFS('Controle de Entrega'!$E$6:$E$1575,'Controle de Entrega'!$N$6:$N$1575,$A11,'Controle de Entrega'!$G$6:$G$1575,"&gt;="&amp;$C$3,'Controle de Entrega'!$G$6:$G$1575,"&lt;="&amp;$E$3)</f>
        <v>3</v>
      </c>
    </row>
    <row r="12" customFormat="false" ht="15" hidden="false" customHeight="false" outlineLevel="0" collapsed="false">
      <c r="A12" s="26" t="str">
        <f aca="false">Técnicos!$C$10</f>
        <v>Felipe Augusto Nunes</v>
      </c>
      <c r="B12" s="25" t="n">
        <f aca="false">SUMIFS('Controle de Entrega'!$E$6:$E$1575,'Controle de Entrega'!$N$6:$N$1575,$A12,'Controle de Entrega'!$G$6:$G$1575,"&gt;="&amp;$C$3,'Controle de Entrega'!$G$6:$G$1575,"&lt;="&amp;$E$3)</f>
        <v>7</v>
      </c>
    </row>
    <row r="13" customFormat="false" ht="15" hidden="false" customHeight="false" outlineLevel="0" collapsed="false">
      <c r="A13" s="26" t="str">
        <f aca="false">Técnicos!$C$11</f>
        <v>Thiago Ramos Silva</v>
      </c>
      <c r="B13" s="25" t="n">
        <f aca="false">SUMIFS('Controle de Entrega'!$E$6:$E$1575,'Controle de Entrega'!$N$6:$N$1575,$A13,'Controle de Entrega'!$G$6:$G$1575,"&gt;="&amp;$C$3,'Controle de Entrega'!$G$6:$G$1575,"&lt;="&amp;$E$3)</f>
        <v>2</v>
      </c>
    </row>
    <row r="14" customFormat="false" ht="15" hidden="false" customHeight="false" outlineLevel="0" collapsed="false">
      <c r="A14" s="26" t="str">
        <f aca="false">Técnicos!$C$12</f>
        <v>Lucas Pereira Gomes</v>
      </c>
      <c r="B14" s="25" t="n">
        <f aca="false">SUMIFS('Controle de Entrega'!$E$6:$E$1575,'Controle de Entrega'!$N$6:$N$1575,$A14,'Controle de Entrega'!$G$6:$G$1575,"&gt;="&amp;$C$3,'Controle de Entrega'!$G$6:$G$1575,"&lt;="&amp;$E$3)</f>
        <v>3</v>
      </c>
    </row>
    <row r="15" customFormat="false" ht="15" hidden="false" customHeight="false" outlineLevel="0" collapsed="false">
      <c r="A15" s="26" t="n">
        <f aca="false">Técnicos!$C$13</f>
        <v>0</v>
      </c>
      <c r="B15" s="25" t="n">
        <f aca="false">SUMIFS('Controle de Entrega'!$E$6:$E$1575,'Controle de Entrega'!$N$6:$N$1575,$A15,'Controle de Entrega'!$G$6:$G$1575,"&gt;="&amp;$C$3,'Controle de Entrega'!$G$6:$G$1575,"&lt;="&amp;$E$3)</f>
        <v>0</v>
      </c>
    </row>
    <row r="16" customFormat="false" ht="15" hidden="false" customHeight="false" outlineLevel="0" collapsed="false">
      <c r="A16" s="26" t="n">
        <f aca="false">Técnicos!$C$14</f>
        <v>0</v>
      </c>
      <c r="B16" s="25" t="n">
        <f aca="false">SUMIFS('Controle de Entrega'!$E$6:$E$1575,'Controle de Entrega'!$N$6:$N$1575,$A16,'Controle de Entrega'!$G$6:$G$1575,"&gt;="&amp;$C$3,'Controle de Entrega'!$G$6:$G$1575,"&lt;="&amp;$E$3)</f>
        <v>0</v>
      </c>
    </row>
    <row r="17" customFormat="false" ht="15" hidden="false" customHeight="false" outlineLevel="0" collapsed="false">
      <c r="A17" s="26" t="n">
        <f aca="false">Técnicos!$C$15</f>
        <v>0</v>
      </c>
      <c r="B17" s="25" t="n">
        <f aca="false">SUMIFS('Controle de Entrega'!$E$6:$E$1575,'Controle de Entrega'!$N$6:$N$1575,$A17,'Controle de Entrega'!$G$6:$G$1575,"&gt;="&amp;$C$3,'Controle de Entrega'!$G$6:$G$1575,"&lt;="&amp;$E$3)</f>
        <v>0</v>
      </c>
    </row>
    <row r="18" customFormat="false" ht="15" hidden="false" customHeight="false" outlineLevel="0" collapsed="false">
      <c r="A18" s="26" t="n">
        <f aca="false">Técnicos!$C$16</f>
        <v>0</v>
      </c>
      <c r="B18" s="25" t="n">
        <f aca="false">SUMIFS('Controle de Entrega'!$E$6:$E$1575,'Controle de Entrega'!$N$6:$N$1575,$A18,'Controle de Entrega'!$G$6:$G$1575,"&gt;="&amp;$C$3,'Controle de Entrega'!$G$6:$G$1575,"&lt;="&amp;$E$3)</f>
        <v>0</v>
      </c>
    </row>
    <row r="19" customFormat="false" ht="15" hidden="false" customHeight="false" outlineLevel="0" collapsed="false">
      <c r="A19" s="26" t="n">
        <f aca="false">Técnicos!$C$17</f>
        <v>0</v>
      </c>
      <c r="B19" s="25" t="n">
        <f aca="false">SUMIFS('Controle de Entrega'!$E$6:$E$1575,'Controle de Entrega'!$N$6:$N$1575,$A19,'Controle de Entrega'!$G$6:$G$1575,"&gt;="&amp;$C$3,'Controle de Entrega'!$G$6:$G$1575,"&lt;="&amp;$E$3)</f>
        <v>0</v>
      </c>
    </row>
    <row r="20" customFormat="false" ht="15" hidden="false" customHeight="false" outlineLevel="0" collapsed="false">
      <c r="A20" s="26" t="n">
        <f aca="false">Técnicos!$C$18</f>
        <v>0</v>
      </c>
      <c r="B20" s="25" t="n">
        <f aca="false">SUMIFS('Controle de Entrega'!$E$6:$E$1575,'Controle de Entrega'!$N$6:$N$1575,$A20,'Controle de Entrega'!$G$6:$G$1575,"&gt;="&amp;$C$3,'Controle de Entrega'!$G$6:$G$1575,"&lt;="&amp;$E$3)</f>
        <v>0</v>
      </c>
    </row>
    <row r="21" customFormat="false" ht="15" hidden="false" customHeight="false" outlineLevel="0" collapsed="false">
      <c r="A21" s="26" t="n">
        <f aca="false">Técnicos!$C$19</f>
        <v>0</v>
      </c>
      <c r="B21" s="25" t="n">
        <f aca="false">SUMIFS('Controle de Entrega'!$E$6:$E$1575,'Controle de Entrega'!$N$6:$N$1575,$A21,'Controle de Entrega'!$G$6:$G$1575,"&gt;="&amp;$C$3,'Controle de Entrega'!$G$6:$G$1575,"&lt;="&amp;$E$3)</f>
        <v>0</v>
      </c>
    </row>
    <row r="22" customFormat="false" ht="15" hidden="false" customHeight="false" outlineLevel="0" collapsed="false">
      <c r="A22" s="26" t="n">
        <f aca="false">Técnicos!$C$20</f>
        <v>0</v>
      </c>
      <c r="B22" s="25" t="n">
        <f aca="false">SUMIFS('Controle de Entrega'!$E$6:$E$1575,'Controle de Entrega'!$N$6:$N$1575,$A22,'Controle de Entrega'!$G$6:$G$1575,"&gt;="&amp;$C$3,'Controle de Entrega'!$G$6:$G$1575,"&lt;="&amp;$E$3)</f>
        <v>0</v>
      </c>
    </row>
    <row r="23" customFormat="false" ht="15" hidden="false" customHeight="false" outlineLevel="0" collapsed="false">
      <c r="A23" s="26" t="n">
        <f aca="false">Técnicos!$C$21</f>
        <v>0</v>
      </c>
      <c r="B23" s="25" t="n">
        <f aca="false">SUMIFS('Controle de Entrega'!$E$6:$E$1575,'Controle de Entrega'!$N$6:$N$1575,$A23,'Controle de Entrega'!$G$6:$G$1575,"&gt;="&amp;$C$3,'Controle de Entrega'!$G$6:$G$1575,"&lt;="&amp;$E$3)</f>
        <v>0</v>
      </c>
    </row>
    <row r="24" customFormat="false" ht="15" hidden="false" customHeight="false" outlineLevel="0" collapsed="false">
      <c r="A24" s="26" t="n">
        <f aca="false">Técnicos!$C$22</f>
        <v>0</v>
      </c>
      <c r="B24" s="25" t="n">
        <f aca="false">SUMIFS('Controle de Entrega'!$E$6:$E$1575,'Controle de Entrega'!$N$6:$N$1575,$A24,'Controle de Entrega'!$G$6:$G$1575,"&gt;="&amp;$C$3,'Controle de Entrega'!$G$6:$G$1575,"&lt;="&amp;$E$3)</f>
        <v>0</v>
      </c>
    </row>
    <row r="25" customFormat="false" ht="15" hidden="false" customHeight="false" outlineLevel="0" collapsed="false">
      <c r="A25" s="26" t="n">
        <f aca="false">Técnicos!$C$23</f>
        <v>0</v>
      </c>
      <c r="B25" s="25" t="n">
        <f aca="false">SUMIFS('Controle de Entrega'!$E$6:$E$1575,'Controle de Entrega'!$N$6:$N$1575,$A25,'Controle de Entrega'!$G$6:$G$1575,"&gt;="&amp;$C$3,'Controle de Entrega'!$G$6:$G$1575,"&lt;="&amp;$E$3)</f>
        <v>0</v>
      </c>
    </row>
    <row r="26" customFormat="false" ht="15" hidden="false" customHeight="false" outlineLevel="0" collapsed="false">
      <c r="A26" s="26" t="n">
        <f aca="false">Técnicos!$C$24</f>
        <v>0</v>
      </c>
      <c r="B26" s="25" t="n">
        <f aca="false">SUMIFS('Controle de Entrega'!$E$6:$E$1575,'Controle de Entrega'!$N$6:$N$1575,$A26,'Controle de Entrega'!$G$6:$G$1575,"&gt;="&amp;$C$3,'Controle de Entrega'!$G$6:$G$1575,"&lt;="&amp;$E$3)</f>
        <v>0</v>
      </c>
    </row>
    <row r="27" customFormat="false" ht="15" hidden="false" customHeight="false" outlineLevel="0" collapsed="false">
      <c r="A27" s="26" t="n">
        <f aca="false">Técnicos!$C$25</f>
        <v>0</v>
      </c>
      <c r="B27" s="25" t="n">
        <f aca="false">SUMIFS('Controle de Entrega'!$E$6:$E$1575,'Controle de Entrega'!$N$6:$N$1575,$A27,'Controle de Entrega'!$G$6:$G$1575,"&gt;="&amp;$C$3,'Controle de Entrega'!$G$6:$G$1575,"&lt;="&amp;$E$3)</f>
        <v>0</v>
      </c>
    </row>
    <row r="28" customFormat="false" ht="15" hidden="false" customHeight="false" outlineLevel="0" collapsed="false">
      <c r="A28" s="26" t="n">
        <f aca="false">Técnicos!$C$26</f>
        <v>0</v>
      </c>
      <c r="B28" s="25" t="n">
        <f aca="false">SUMIFS('Controle de Entrega'!$E$6:$E$1575,'Controle de Entrega'!$N$6:$N$1575,$A28,'Controle de Entrega'!$G$6:$G$1575,"&gt;="&amp;$C$3,'Controle de Entrega'!$G$6:$G$1575,"&lt;="&amp;$E$3)</f>
        <v>0</v>
      </c>
    </row>
    <row r="29" customFormat="false" ht="15" hidden="false" customHeight="false" outlineLevel="0" collapsed="false">
      <c r="A29" s="26" t="n">
        <f aca="false">Técnicos!$C$27</f>
        <v>0</v>
      </c>
      <c r="B29" s="25" t="n">
        <f aca="false">SUMIFS('Controle de Entrega'!$E$6:$E$1575,'Controle de Entrega'!$N$6:$N$1575,$A29,'Controle de Entrega'!$G$6:$G$1575,"&gt;="&amp;$C$3,'Controle de Entrega'!$G$6:$G$1575,"&lt;="&amp;$E$3)</f>
        <v>0</v>
      </c>
    </row>
    <row r="30" customFormat="false" ht="15" hidden="false" customHeight="false" outlineLevel="0" collapsed="false">
      <c r="A30" s="26" t="n">
        <f aca="false">Técnicos!$C$28</f>
        <v>0</v>
      </c>
      <c r="B30" s="25" t="n">
        <f aca="false">SUMIFS('Controle de Entrega'!$E$6:$E$1575,'Controle de Entrega'!$N$6:$N$1575,$A30,'Controle de Entrega'!$G$6:$G$1575,"&gt;="&amp;$C$3,'Controle de Entrega'!$G$6:$G$1575,"&lt;="&amp;$E$3)</f>
        <v>0</v>
      </c>
    </row>
    <row r="31" customFormat="false" ht="15" hidden="false" customHeight="false" outlineLevel="0" collapsed="false">
      <c r="A31" s="26" t="n">
        <f aca="false">Técnicos!$C$29</f>
        <v>0</v>
      </c>
      <c r="B31" s="25" t="n">
        <f aca="false">SUMIFS('Controle de Entrega'!$E$6:$E$1575,'Controle de Entrega'!$N$6:$N$1575,$A31,'Controle de Entrega'!$G$6:$G$1575,"&gt;="&amp;$C$3,'Controle de Entrega'!$G$6:$G$1575,"&lt;="&amp;$E$3)</f>
        <v>0</v>
      </c>
    </row>
    <row r="32" customFormat="false" ht="15" hidden="false" customHeight="false" outlineLevel="0" collapsed="false">
      <c r="A32" s="26" t="n">
        <f aca="false">Técnicos!$C$30</f>
        <v>0</v>
      </c>
      <c r="B32" s="25" t="n">
        <f aca="false">SUMIFS('Controle de Entrega'!$E$6:$E$1575,'Controle de Entrega'!$N$6:$N$1575,$A32,'Controle de Entrega'!$G$6:$G$1575,"&gt;="&amp;$C$3,'Controle de Entrega'!$G$6:$G$1575,"&lt;="&amp;$E$3)</f>
        <v>0</v>
      </c>
    </row>
    <row r="33" customFormat="false" ht="15" hidden="false" customHeight="false" outlineLevel="0" collapsed="false">
      <c r="A33" s="26" t="n">
        <f aca="false">Técnicos!$C$31</f>
        <v>0</v>
      </c>
      <c r="B33" s="25" t="n">
        <f aca="false">SUMIFS('Controle de Entrega'!$E$6:$E$1575,'Controle de Entrega'!$N$6:$N$1575,$A33,'Controle de Entrega'!$G$6:$G$1575,"&gt;="&amp;$C$3,'Controle de Entrega'!$G$6:$G$1575,"&lt;="&amp;$E$3)</f>
        <v>0</v>
      </c>
    </row>
    <row r="34" customFormat="false" ht="15" hidden="false" customHeight="false" outlineLevel="0" collapsed="false">
      <c r="A34" s="26" t="n">
        <f aca="false">Técnicos!$C$32</f>
        <v>0</v>
      </c>
      <c r="B34" s="25" t="n">
        <f aca="false">SUMIFS('Controle de Entrega'!$E$6:$E$1575,'Controle de Entrega'!$N$6:$N$1575,$A34,'Controle de Entrega'!$G$6:$G$1575,"&gt;="&amp;$C$3,'Controle de Entrega'!$G$6:$G$1575,"&lt;="&amp;$E$3)</f>
        <v>0</v>
      </c>
    </row>
    <row r="35" customFormat="false" ht="15" hidden="false" customHeight="false" outlineLevel="0" collapsed="false">
      <c r="A35" s="26" t="n">
        <f aca="false">Técnicos!$C$33</f>
        <v>0</v>
      </c>
      <c r="B35" s="25" t="n">
        <f aca="false">SUMIFS('Controle de Entrega'!$E$6:$E$1575,'Controle de Entrega'!$N$6:$N$1575,$A35,'Controle de Entrega'!$G$6:$G$1575,"&gt;="&amp;$C$3,'Controle de Entrega'!$G$6:$G$1575,"&lt;="&amp;$E$3)</f>
        <v>0</v>
      </c>
    </row>
    <row r="36" customFormat="false" ht="15" hidden="false" customHeight="false" outlineLevel="0" collapsed="false">
      <c r="A36" s="26" t="n">
        <f aca="false">Técnicos!$C$34</f>
        <v>0</v>
      </c>
      <c r="B36" s="25" t="n">
        <f aca="false">SUMIFS('Controle de Entrega'!$E$6:$E$1575,'Controle de Entrega'!$N$6:$N$1575,$A36,'Controle de Entrega'!$G$6:$G$1575,"&gt;="&amp;$C$3,'Controle de Entrega'!$G$6:$G$1575,"&lt;="&amp;$E$3)</f>
        <v>0</v>
      </c>
    </row>
    <row r="37" customFormat="false" ht="15" hidden="false" customHeight="false" outlineLevel="0" collapsed="false">
      <c r="A37" s="26" t="n">
        <f aca="false">Técnicos!$C$35</f>
        <v>0</v>
      </c>
      <c r="B37" s="25" t="n">
        <f aca="false">SUMIFS('Controle de Entrega'!$E$6:$E$1575,'Controle de Entrega'!$N$6:$N$1575,$A37,'Controle de Entrega'!$G$6:$G$1575,"&gt;="&amp;$C$3,'Controle de Entrega'!$G$6:$G$1575,"&lt;="&amp;$E$3)</f>
        <v>0</v>
      </c>
    </row>
    <row r="39" customFormat="false" ht="15" hidden="false" customHeight="false" outlineLevel="0" collapsed="false">
      <c r="A39" s="18" t="s">
        <v>66</v>
      </c>
    </row>
    <row r="40" customFormat="false" ht="30" hidden="false" customHeight="true" outlineLevel="0" collapsed="false">
      <c r="A40" s="3" t="s">
        <v>67</v>
      </c>
      <c r="B40" s="3" t="s">
        <v>65</v>
      </c>
    </row>
    <row r="41" customFormat="false" ht="15" hidden="false" customHeight="false" outlineLevel="0" collapsed="false">
      <c r="A41" s="26" t="str">
        <f aca="false">Catálogo_Itens!$D$2</f>
        <v>FIBERHOME ONU HG6143D GPON WI-FI AC 1200M</v>
      </c>
      <c r="B41" s="25" t="n">
        <f aca="false">SUMIFS('Controle de Entrega'!$E$6:$E$1575,'Controle de Entrega'!$C$6:$C$1575,$A41,'Controle de Entrega'!$G$6:$G$1575,"&gt;="&amp;$C$3,'Controle de Entrega'!$G$6:$G$1575,"&lt;="&amp;$E$3)</f>
        <v>0</v>
      </c>
    </row>
    <row r="42" customFormat="false" ht="15" hidden="false" customHeight="false" outlineLevel="0" collapsed="false">
      <c r="A42" s="26" t="str">
        <f aca="false">Catálogo_Itens!$D$3</f>
        <v>FIBRA</v>
      </c>
      <c r="B42" s="25" t="n">
        <f aca="false">SUMIFS('Controle de Entrega'!$E$6:$E$1575,'Controle de Entrega'!$C$6:$C$1575,$A42,'Controle de Entrega'!$G$6:$G$1575,"&gt;="&amp;$C$3,'Controle de Entrega'!$G$6:$G$1575,"&lt;="&amp;$E$3)</f>
        <v>0</v>
      </c>
    </row>
    <row r="43" customFormat="false" ht="15" hidden="false" customHeight="false" outlineLevel="0" collapsed="false">
      <c r="A43" s="26" t="str">
        <f aca="false">Catálogo_Itens!$D$4</f>
        <v>ONT ECHOLIFE HG8145V5 GPON/EPON SC/APC</v>
      </c>
      <c r="B43" s="25" t="n">
        <f aca="false">SUMIFS('Controle de Entrega'!$E$6:$E$1575,'Controle de Entrega'!$C$6:$C$1575,$A43,'Controle de Entrega'!$G$6:$G$1575,"&gt;="&amp;$C$3,'Controle de Entrega'!$G$6:$G$1575,"&lt;="&amp;$E$3)</f>
        <v>0</v>
      </c>
    </row>
    <row r="44" customFormat="false" ht="15" hidden="false" customHeight="false" outlineLevel="0" collapsed="false">
      <c r="A44" s="26" t="str">
        <f aca="false">Catálogo_Itens!$D$5</f>
        <v>ONT NOKIA 1425-GA</v>
      </c>
      <c r="B44" s="25" t="n">
        <f aca="false">SUMIFS('Controle de Entrega'!$E$6:$E$1575,'Controle de Entrega'!$C$6:$C$1575,$A44,'Controle de Entrega'!$G$6:$G$1575,"&gt;="&amp;$C$3,'Controle de Entrega'!$G$6:$G$1575,"&lt;="&amp;$E$3)</f>
        <v>8</v>
      </c>
    </row>
    <row r="45" customFormat="false" ht="15" hidden="false" customHeight="false" outlineLevel="0" collapsed="false">
      <c r="A45" s="26" t="str">
        <f aca="false">Catálogo_Itens!$D$6</f>
        <v>ONT TP-LINK XX230V WIFI 6 AX1800 SEMINOVA</v>
      </c>
      <c r="B45" s="25" t="n">
        <f aca="false">SUMIFS('Controle de Entrega'!$E$6:$E$1575,'Controle de Entrega'!$C$6:$C$1575,$A45,'Controle de Entrega'!$G$6:$G$1575,"&gt;="&amp;$C$3,'Controle de Entrega'!$G$6:$G$1575,"&lt;="&amp;$E$3)</f>
        <v>0</v>
      </c>
    </row>
    <row r="46" customFormat="false" ht="15" hidden="false" customHeight="false" outlineLevel="0" collapsed="false">
      <c r="A46" s="26" t="str">
        <f aca="false">Catálogo_Itens!$D$7</f>
        <v>ONU GPON ZTE F6600P AX18000 DUAL-BAND WIFI 6 SEMINOVO</v>
      </c>
      <c r="B46" s="25" t="n">
        <f aca="false">SUMIFS('Controle de Entrega'!$E$6:$E$1575,'Controle de Entrega'!$C$6:$C$1575,$A46,'Controle de Entrega'!$G$6:$G$1575,"&gt;="&amp;$C$3,'Controle de Entrega'!$G$6:$G$1575,"&lt;="&amp;$E$3)</f>
        <v>0</v>
      </c>
    </row>
    <row r="47" customFormat="false" ht="15" hidden="false" customHeight="false" outlineLevel="0" collapsed="false">
      <c r="A47" s="26" t="str">
        <f aca="false">Catálogo_Itens!$D$8</f>
        <v>ROTEADOR TP-LINK WIRELESS AC1200 ARCHER C5W GIGABIT DUAL BAND</v>
      </c>
      <c r="B47" s="25" t="n">
        <f aca="false">SUMIFS('Controle de Entrega'!$E$6:$E$1575,'Controle de Entrega'!$C$6:$C$1575,$A47,'Controle de Entrega'!$G$6:$G$1575,"&gt;="&amp;$C$3,'Controle de Entrega'!$G$6:$G$1575,"&lt;="&amp;$E$3)</f>
        <v>9</v>
      </c>
    </row>
    <row r="48" customFormat="false" ht="15" hidden="false" customHeight="false" outlineLevel="0" collapsed="false">
      <c r="A48" s="26" t="str">
        <f aca="false">Catálogo_Itens!$D$9</f>
        <v>ROTEADOR VIA REAL </v>
      </c>
      <c r="B48" s="25" t="n">
        <f aca="false">SUMIFS('Controle de Entrega'!$E$6:$E$1575,'Controle de Entrega'!$C$6:$C$1575,$A48,'Controle de Entrega'!$G$6:$G$1575,"&gt;="&amp;$C$3,'Controle de Entrega'!$G$6:$G$1575,"&lt;="&amp;$E$3)</f>
        <v>0</v>
      </c>
    </row>
    <row r="49" customFormat="false" ht="15" hidden="false" customHeight="false" outlineLevel="0" collapsed="false">
      <c r="A49" s="26" t="str">
        <f aca="false">Catálogo_Itens!$D$10</f>
        <v>ONT GPON ZYXEL PX3321-T1 AX3000 WIFI 6 SEMINOVO</v>
      </c>
      <c r="B49" s="25" t="n">
        <f aca="false">SUMIFS('Controle de Entrega'!$E$6:$E$1575,'Controle de Entrega'!$C$6:$C$1575,$A49,'Controle de Entrega'!$G$6:$G$1575,"&gt;="&amp;$C$3,'Controle de Entrega'!$G$6:$G$1575,"&lt;="&amp;$E$3)</f>
        <v>0</v>
      </c>
    </row>
    <row r="50" customFormat="false" ht="15" hidden="false" customHeight="false" outlineLevel="0" collapsed="false">
      <c r="A50" s="26" t="str">
        <f aca="false">Catálogo_Itens!$D$11</f>
        <v>ONU GPON ZTE F670L - WIFI AC1200 MBPS 2X2 COM 2 ANTENAS</v>
      </c>
      <c r="B50" s="25" t="n">
        <f aca="false">SUMIFS('Controle de Entrega'!$E$6:$E$1575,'Controle de Entrega'!$C$6:$C$1575,$A50,'Controle de Entrega'!$G$6:$G$1575,"&gt;="&amp;$C$3,'Controle de Entrega'!$G$6:$G$1575,"&lt;="&amp;$E$3)</f>
        <v>0</v>
      </c>
    </row>
    <row r="51" customFormat="false" ht="15" hidden="false" customHeight="false" outlineLevel="0" collapsed="false">
      <c r="A51" s="26" t="str">
        <f aca="false">Catálogo_Itens!$D$12</f>
        <v>REPETIDOR DE SINAL TP-LINK RE305</v>
      </c>
      <c r="B51" s="25" t="n">
        <f aca="false">SUMIFS('Controle de Entrega'!$E$6:$E$1575,'Controle de Entrega'!$C$6:$C$1575,$A51,'Controle de Entrega'!$G$6:$G$1575,"&gt;="&amp;$C$3,'Controle de Entrega'!$G$6:$G$1575,"&lt;="&amp;$E$3)</f>
        <v>10</v>
      </c>
    </row>
    <row r="52" customFormat="false" ht="15" hidden="false" customHeight="false" outlineLevel="0" collapsed="false">
      <c r="A52" s="26" t="str">
        <f aca="false">Catálogo_Itens!$D$13</f>
        <v>REPETIDOR DE SINAL TP-LINK RE305 (SEMI-NOVO)</v>
      </c>
      <c r="B52" s="25" t="n">
        <f aca="false">SUMIFS('Controle de Entrega'!$E$6:$E$1575,'Controle de Entrega'!$C$6:$C$1575,$A52,'Controle de Entrega'!$G$6:$G$1575,"&gt;="&amp;$C$3,'Controle de Entrega'!$G$6:$G$1575,"&lt;="&amp;$E$3)</f>
        <v>0</v>
      </c>
    </row>
    <row r="53" customFormat="false" ht="15" hidden="false" customHeight="false" outlineLevel="0" collapsed="false">
      <c r="A53" s="26" t="str">
        <f aca="false">Catálogo_Itens!$D$14</f>
        <v>ONT GPON ZYXEL PX3321-T1 AX3000 WIFI 6</v>
      </c>
      <c r="B53" s="25" t="n">
        <f aca="false">SUMIFS('Controle de Entrega'!$E$6:$E$1575,'Controle de Entrega'!$C$6:$C$1575,$A53,'Controle de Entrega'!$G$6:$G$1575,"&gt;="&amp;$C$3,'Controle de Entrega'!$G$6:$G$1575,"&lt;="&amp;$E$3)</f>
        <v>11</v>
      </c>
    </row>
    <row r="54" customFormat="false" ht="15" hidden="false" customHeight="false" outlineLevel="0" collapsed="false">
      <c r="A54" s="26" t="str">
        <f aca="false">Catálogo_Itens!$D$15</f>
        <v>ONT NOKIA 2425G B</v>
      </c>
      <c r="B54" s="25" t="n">
        <f aca="false">SUMIFS('Controle de Entrega'!$E$6:$E$1575,'Controle de Entrega'!$C$6:$C$1575,$A54,'Controle de Entrega'!$G$6:$G$1575,"&gt;="&amp;$C$3,'Controle de Entrega'!$G$6:$G$1575,"&lt;="&amp;$E$3)</f>
        <v>0</v>
      </c>
    </row>
    <row r="55" customFormat="false" ht="15" hidden="false" customHeight="false" outlineLevel="0" collapsed="false">
      <c r="A55" s="26" t="str">
        <f aca="false">Catálogo_Itens!$D$16</f>
        <v>ONU GPON ZTE F6600P AX3000 DUAL-BAND WIFI 6</v>
      </c>
      <c r="B55" s="25" t="n">
        <f aca="false">SUMIFS('Controle de Entrega'!$E$6:$E$1575,'Controle de Entrega'!$C$6:$C$1575,$A55,'Controle de Entrega'!$G$6:$G$1575,"&gt;="&amp;$C$3,'Controle de Entrega'!$G$6:$G$1575,"&lt;="&amp;$E$3)</f>
        <v>2</v>
      </c>
    </row>
    <row r="56" customFormat="false" ht="15" hidden="false" customHeight="false" outlineLevel="0" collapsed="false">
      <c r="A56" s="26" t="str">
        <f aca="false">Catálogo_Itens!$D$17</f>
        <v>ONU GPON ZTE F6600P AX3000 DUAL-BAND WIFI 6 SEMINOVO</v>
      </c>
      <c r="B56" s="25" t="n">
        <f aca="false">SUMIFS('Controle de Entrega'!$E$6:$E$1575,'Controle de Entrega'!$C$6:$C$1575,$A56,'Controle de Entrega'!$G$6:$G$1575,"&gt;="&amp;$C$3,'Controle de Entrega'!$G$6:$G$1575,"&lt;="&amp;$E$3)</f>
        <v>0</v>
      </c>
    </row>
    <row r="57" customFormat="false" ht="15" hidden="false" customHeight="false" outlineLevel="0" collapsed="false">
      <c r="A57" s="26" t="str">
        <f aca="false">Catálogo_Itens!$D$18</f>
        <v>ONT HUAWEI EG8145X6-10 AX3000</v>
      </c>
      <c r="B57" s="25" t="n">
        <f aca="false">SUMIFS('Controle de Entrega'!$E$6:$E$1575,'Controle de Entrega'!$C$6:$C$1575,$A57,'Controle de Entrega'!$G$6:$G$1575,"&gt;="&amp;$C$3,'Controle de Entrega'!$G$6:$G$1575,"&lt;="&amp;$E$3)</f>
        <v>0</v>
      </c>
    </row>
    <row r="58" customFormat="false" ht="15" hidden="false" customHeight="false" outlineLevel="0" collapsed="false">
      <c r="A58" s="26" t="str">
        <f aca="false">Catálogo_Itens!$D$19</f>
        <v>WDC ONT NOKIA 1425-GA</v>
      </c>
      <c r="B58" s="25" t="n">
        <f aca="false">SUMIFS('Controle de Entrega'!$E$6:$E$1575,'Controle de Entrega'!$C$6:$C$1575,$A58,'Controle de Entrega'!$G$6:$G$1575,"&gt;="&amp;$C$3,'Controle de Entrega'!$G$6:$G$1575,"&lt;="&amp;$E$3)</f>
        <v>0</v>
      </c>
    </row>
    <row r="59" customFormat="false" ht="15" hidden="false" customHeight="false" outlineLevel="0" collapsed="false">
      <c r="A59" s="26" t="str">
        <f aca="false">Catálogo_Itens!$D$20</f>
        <v>ONU SIMPLES GPON 1 PORTA</v>
      </c>
      <c r="B59" s="25" t="n">
        <f aca="false">SUMIFS('Controle de Entrega'!$E$6:$E$1575,'Controle de Entrega'!$C$6:$C$1575,$A59,'Controle de Entrega'!$G$6:$G$1575,"&gt;="&amp;$C$3,'Controle de Entrega'!$G$6:$G$1575,"&lt;="&amp;$E$3)</f>
        <v>0</v>
      </c>
    </row>
    <row r="60" customFormat="false" ht="15" hidden="false" customHeight="false" outlineLevel="0" collapsed="false">
      <c r="A60" s="26" t="str">
        <f aca="false">Catálogo_Itens!$D$21</f>
        <v>FIBERHOME MODEL AN5506-04</v>
      </c>
      <c r="B60" s="25" t="n">
        <f aca="false">SUMIFS('Controle de Entrega'!$E$6:$E$1575,'Controle de Entrega'!$C$6:$C$1575,$A60,'Controle de Entrega'!$G$6:$G$1575,"&gt;="&amp;$C$3,'Controle de Entrega'!$G$6:$G$1575,"&lt;="&amp;$E$3)</f>
        <v>0</v>
      </c>
    </row>
    <row r="61" customFormat="false" ht="15" hidden="false" customHeight="false" outlineLevel="0" collapsed="false">
      <c r="A61" s="26" t="str">
        <f aca="false">Catálogo_Itens!$D$22</f>
        <v>1GE GPON ONT</v>
      </c>
      <c r="B61" s="25" t="n">
        <f aca="false">SUMIFS('Controle de Entrega'!$E$6:$E$1575,'Controle de Entrega'!$C$6:$C$1575,$A61,'Controle de Entrega'!$G$6:$G$1575,"&gt;="&amp;$C$3,'Controle de Entrega'!$G$6:$G$1575,"&lt;="&amp;$E$3)</f>
        <v>0</v>
      </c>
    </row>
    <row r="62" customFormat="false" ht="15" hidden="false" customHeight="false" outlineLevel="0" collapsed="false">
      <c r="A62" s="26" t="str">
        <f aca="false">Catálogo_Itens!$D$23</f>
        <v>AcAP MESH HUAWEI ECHOLIFE WA8021V5</v>
      </c>
      <c r="B62" s="25" t="n">
        <f aca="false">SUMIFS('Controle de Entrega'!$E$6:$E$1575,'Controle de Entrega'!$C$6:$C$1575,$A62,'Controle de Entrega'!$G$6:$G$1575,"&gt;="&amp;$C$3,'Controle de Entrega'!$G$6:$G$1575,"&lt;="&amp;$E$3)</f>
        <v>0</v>
      </c>
    </row>
    <row r="63" customFormat="false" ht="15" hidden="false" customHeight="false" outlineLevel="0" collapsed="false">
      <c r="A63" s="26" t="str">
        <f aca="false">Catálogo_Itens!$D$24</f>
        <v>ROKU STREAMING SEMINOVO</v>
      </c>
      <c r="B63" s="25" t="n">
        <f aca="false">SUMIFS('Controle de Entrega'!$E$6:$E$1575,'Controle de Entrega'!$C$6:$C$1575,$A63,'Controle de Entrega'!$G$6:$G$1575,"&gt;="&amp;$C$3,'Controle de Entrega'!$G$6:$G$1575,"&lt;="&amp;$E$3)</f>
        <v>0</v>
      </c>
    </row>
    <row r="64" customFormat="false" ht="15" hidden="false" customHeight="false" outlineLevel="0" collapsed="false">
      <c r="A64" s="26" t="str">
        <f aca="false">Catálogo_Itens!$D$25</f>
        <v> ONU GPON ZTE F6600P AX18000 DUAL-BAND WIFI 6</v>
      </c>
      <c r="B64" s="25" t="n">
        <f aca="false">SUMIFS('Controle de Entrega'!$E$6:$E$1575,'Controle de Entrega'!$C$6:$C$1575,$A64,'Controle de Entrega'!$G$6:$G$1575,"&gt;="&amp;$C$3,'Controle de Entrega'!$G$6:$G$1575,"&lt;="&amp;$E$3)</f>
        <v>0</v>
      </c>
    </row>
    <row r="65" customFormat="false" ht="15" hidden="false" customHeight="false" outlineLevel="0" collapsed="false">
      <c r="A65" s="26" t="str">
        <f aca="false">Catálogo_Itens!$D$26</f>
        <v>Mesh ZTE H3601PI AX3000 Wi-Fi 6 SEMINOVO</v>
      </c>
      <c r="B65" s="25" t="n">
        <f aca="false">SUMIFS('Controle de Entrega'!$E$6:$E$1575,'Controle de Entrega'!$C$6:$C$1575,$A65,'Controle de Entrega'!$G$6:$G$1575,"&gt;="&amp;$C$3,'Controle de Entrega'!$G$6:$G$1575,"&lt;="&amp;$E$3)</f>
        <v>0</v>
      </c>
    </row>
    <row r="66" customFormat="false" ht="15" hidden="false" customHeight="false" outlineLevel="0" collapsed="false">
      <c r="A66" s="26" t="str">
        <f aca="false">Catálogo_Itens!$D$27</f>
        <v>ROTEADOR MESH ZYXEL EX3320-T1 AX3000 WIFI 6</v>
      </c>
      <c r="B66" s="25" t="n">
        <f aca="false">SUMIFS('Controle de Entrega'!$E$6:$E$1575,'Controle de Entrega'!$C$6:$C$1575,$A66,'Controle de Entrega'!$G$6:$G$1575,"&gt;="&amp;$C$3,'Controle de Entrega'!$G$6:$G$1575,"&lt;="&amp;$E$3)</f>
        <v>0</v>
      </c>
    </row>
    <row r="67" customFormat="false" ht="15" hidden="false" customHeight="false" outlineLevel="0" collapsed="false">
      <c r="A67" s="26" t="str">
        <f aca="false">Catálogo_Itens!$D$28</f>
        <v>ONT FIBERHOME HG6145F3 AX3000</v>
      </c>
      <c r="B67" s="25" t="n">
        <f aca="false">SUMIFS('Controle de Entrega'!$E$6:$E$1575,'Controle de Entrega'!$C$6:$C$1575,$A67,'Controle de Entrega'!$G$6:$G$1575,"&gt;="&amp;$C$3,'Controle de Entrega'!$G$6:$G$1575,"&lt;="&amp;$E$3)</f>
        <v>0</v>
      </c>
    </row>
    <row r="68" customFormat="false" ht="15" hidden="false" customHeight="false" outlineLevel="0" collapsed="false">
      <c r="A68" s="26" t="str">
        <f aca="false">Catálogo_Itens!$D$29</f>
        <v>ONU GPON WIFI COMPLETA</v>
      </c>
      <c r="B68" s="25" t="n">
        <f aca="false">SUMIFS('Controle de Entrega'!$E$6:$E$1575,'Controle de Entrega'!$C$6:$C$1575,$A68,'Controle de Entrega'!$G$6:$G$1575,"&gt;="&amp;$C$3,'Controle de Entrega'!$G$6:$G$1575,"&lt;="&amp;$E$3)</f>
        <v>0</v>
      </c>
    </row>
    <row r="69" customFormat="false" ht="15" hidden="false" customHeight="false" outlineLevel="0" collapsed="false">
      <c r="A69" s="26" t="str">
        <f aca="false">Catálogo_Itens!$D$30</f>
        <v>ONU VIAREAL</v>
      </c>
      <c r="B69" s="25" t="n">
        <f aca="false">SUMIFS('Controle de Entrega'!$E$6:$E$1575,'Controle de Entrega'!$C$6:$C$1575,$A69,'Controle de Entrega'!$G$6:$G$1575,"&gt;="&amp;$C$3,'Controle de Entrega'!$G$6:$G$1575,"&lt;="&amp;$E$3)</f>
        <v>0</v>
      </c>
    </row>
    <row r="70" customFormat="false" ht="15" hidden="false" customHeight="false" outlineLevel="0" collapsed="false">
      <c r="A70" s="26" t="str">
        <f aca="false">Catálogo_Itens!$D$31</f>
        <v>ONU AN5506-04-FG</v>
      </c>
      <c r="B70" s="25" t="n">
        <f aca="false">SUMIFS('Controle de Entrega'!$E$6:$E$1575,'Controle de Entrega'!$C$6:$C$1575,$A70,'Controle de Entrega'!$G$6:$G$1575,"&gt;="&amp;$C$3,'Controle de Entrega'!$G$6:$G$1575,"&lt;="&amp;$E$3)</f>
        <v>0</v>
      </c>
    </row>
    <row r="71" customFormat="false" ht="15" hidden="false" customHeight="false" outlineLevel="0" collapsed="false">
      <c r="A71" s="26" t="str">
        <f aca="false">Catálogo_Itens!$D$32</f>
        <v>ONU TPLINK</v>
      </c>
      <c r="B71" s="25" t="n">
        <f aca="false">SUMIFS('Controle de Entrega'!$E$6:$E$1575,'Controle de Entrega'!$C$6:$C$1575,$A71,'Controle de Entrega'!$G$6:$G$1575,"&gt;="&amp;$C$3,'Controle de Entrega'!$G$6:$G$1575,"&lt;="&amp;$E$3)</f>
        <v>0</v>
      </c>
    </row>
    <row r="72" customFormat="false" ht="15" hidden="false" customHeight="false" outlineLevel="0" collapsed="false">
      <c r="A72" s="26" t="str">
        <f aca="false">Catálogo_Itens!$D$33</f>
        <v>ONU VIA REAL</v>
      </c>
      <c r="B72" s="25" t="n">
        <f aca="false">SUMIFS('Controle de Entrega'!$E$6:$E$1575,'Controle de Entrega'!$C$6:$C$1575,$A72,'Controle de Entrega'!$G$6:$G$1575,"&gt;="&amp;$C$3,'Controle de Entrega'!$G$6:$G$1575,"&lt;="&amp;$E$3)</f>
        <v>0</v>
      </c>
    </row>
    <row r="73" customFormat="false" ht="15" hidden="false" customHeight="false" outlineLevel="0" collapsed="false">
      <c r="A73" s="26" t="str">
        <f aca="false">Catálogo_Itens!$D$34</f>
        <v>ROTEADOR TP-LINK WIRELESS AC750 ARCHER C20 DUAL BAND 3 ANT</v>
      </c>
      <c r="B73" s="25" t="n">
        <f aca="false">SUMIFS('Controle de Entrega'!$E$6:$E$1575,'Controle de Entrega'!$C$6:$C$1575,$A73,'Controle de Entrega'!$G$6:$G$1575,"&gt;="&amp;$C$3,'Controle de Entrega'!$G$6:$G$1575,"&lt;="&amp;$E$3)</f>
        <v>0</v>
      </c>
    </row>
    <row r="74" customFormat="false" ht="15" hidden="false" customHeight="false" outlineLevel="0" collapsed="false">
      <c r="A74" s="26" t="str">
        <f aca="false">Catálogo_Itens!$D$35</f>
        <v>ONU FIBERHOME </v>
      </c>
      <c r="B74" s="25" t="n">
        <f aca="false">SUMIFS('Controle de Entrega'!$E$6:$E$1575,'Controle de Entrega'!$C$6:$C$1575,$A74,'Controle de Entrega'!$G$6:$G$1575,"&gt;="&amp;$C$3,'Controle de Entrega'!$G$6:$G$1575,"&lt;="&amp;$E$3)</f>
        <v>0</v>
      </c>
    </row>
    <row r="75" customFormat="false" ht="15" hidden="false" customHeight="false" outlineLevel="0" collapsed="false">
      <c r="A75" s="26" t="str">
        <f aca="false">Catálogo_Itens!$D$36</f>
        <v>Mesh ZTE H3601PI AX3000 Wi-Fi 6</v>
      </c>
      <c r="B75" s="25" t="n">
        <f aca="false">SUMIFS('Controle de Entrega'!$E$6:$E$1575,'Controle de Entrega'!$C$6:$C$1575,$A75,'Controle de Entrega'!$G$6:$G$1575,"&gt;="&amp;$C$3,'Controle de Entrega'!$G$6:$G$1575,"&lt;="&amp;$E$3)</f>
        <v>0</v>
      </c>
    </row>
    <row r="76" customFormat="false" ht="15" hidden="false" customHeight="false" outlineLevel="0" collapsed="false">
      <c r="A76" s="26" t="str">
        <f aca="false">Catálogo_Itens!$D$37</f>
        <v>ONU FIBERHOME AN5506</v>
      </c>
      <c r="B76" s="25" t="n">
        <f aca="false">SUMIFS('Controle de Entrega'!$E$6:$E$1575,'Controle de Entrega'!$C$6:$C$1575,$A76,'Controle de Entrega'!$G$6:$G$1575,"&gt;="&amp;$C$3,'Controle de Entrega'!$G$6:$G$1575,"&lt;="&amp;$E$3)</f>
        <v>0</v>
      </c>
    </row>
    <row r="77" customFormat="false" ht="15" hidden="false" customHeight="false" outlineLevel="0" collapsed="false">
      <c r="A77" s="26" t="str">
        <f aca="false">Catálogo_Itens!$D$38</f>
        <v>ONT NOKIA G- 1425-GB</v>
      </c>
      <c r="B77" s="25" t="n">
        <f aca="false">SUMIFS('Controle de Entrega'!$E$6:$E$1575,'Controle de Entrega'!$C$6:$C$1575,$A77,'Controle de Entrega'!$G$6:$G$1575,"&gt;="&amp;$C$3,'Controle de Entrega'!$G$6:$G$1575,"&lt;="&amp;$E$3)</f>
        <v>0</v>
      </c>
    </row>
    <row r="78" customFormat="false" ht="15" hidden="false" customHeight="false" outlineLevel="0" collapsed="false">
      <c r="A78" s="26" t="str">
        <f aca="false">Catálogo_Itens!$D$39</f>
        <v>ONU TP LINK AC1200</v>
      </c>
      <c r="B78" s="25" t="n">
        <f aca="false">SUMIFS('Controle de Entrega'!$E$6:$E$1575,'Controle de Entrega'!$C$6:$C$1575,$A78,'Controle de Entrega'!$G$6:$G$1575,"&gt;="&amp;$C$3,'Controle de Entrega'!$G$6:$G$1575,"&lt;="&amp;$E$3)</f>
        <v>0</v>
      </c>
    </row>
    <row r="79" customFormat="false" ht="15" hidden="false" customHeight="false" outlineLevel="0" collapsed="false">
      <c r="A79" s="26" t="str">
        <f aca="false">Catálogo_Itens!$D$40</f>
        <v>TP LINK AC750N</v>
      </c>
      <c r="B79" s="25" t="n">
        <f aca="false">SUMIFS('Controle de Entrega'!$E$6:$E$1575,'Controle de Entrega'!$C$6:$C$1575,$A79,'Controle de Entrega'!$G$6:$G$1575,"&gt;="&amp;$C$3,'Controle de Entrega'!$G$6:$G$1575,"&lt;="&amp;$E$3)</f>
        <v>0</v>
      </c>
    </row>
    <row r="80" customFormat="false" ht="15" hidden="false" customHeight="false" outlineLevel="0" collapsed="false">
      <c r="A80" s="26" t="str">
        <f aca="false">Catálogo_Itens!$D$41</f>
        <v>GPON ONT ANATEL </v>
      </c>
      <c r="B80" s="25" t="n">
        <f aca="false">SUMIFS('Controle de Entrega'!$E$6:$E$1575,'Controle de Entrega'!$C$6:$C$1575,$A80,'Controle de Entrega'!$G$6:$G$1575,"&gt;="&amp;$C$3,'Controle de Entrega'!$G$6:$G$1575,"&lt;="&amp;$E$3)</f>
        <v>0</v>
      </c>
    </row>
    <row r="81" customFormat="false" ht="15" hidden="false" customHeight="false" outlineLevel="0" collapsed="false">
      <c r="A81" s="26" t="str">
        <f aca="false">Catálogo_Itens!$D$42</f>
        <v>GPON ONT VIAREAL </v>
      </c>
      <c r="B81" s="25" t="n">
        <f aca="false">SUMIFS('Controle de Entrega'!$E$6:$E$1575,'Controle de Entrega'!$C$6:$C$1575,$A81,'Controle de Entrega'!$G$6:$G$1575,"&gt;="&amp;$C$3,'Controle de Entrega'!$G$6:$G$1575,"&lt;="&amp;$E$3)</f>
        <v>0</v>
      </c>
    </row>
    <row r="82" customFormat="false" ht="15" hidden="false" customHeight="false" outlineLevel="0" collapsed="false">
      <c r="A82" s="26" t="str">
        <f aca="false">Catálogo_Itens!$D$43</f>
        <v>GPON ONU FIBER HOME MODEL AN5506</v>
      </c>
      <c r="B82" s="25" t="n">
        <f aca="false">SUMIFS('Controle de Entrega'!$E$6:$E$1575,'Controle de Entrega'!$C$6:$C$1575,$A82,'Controle de Entrega'!$G$6:$G$1575,"&gt;="&amp;$C$3,'Controle de Entrega'!$G$6:$G$1575,"&lt;="&amp;$E$3)</f>
        <v>0</v>
      </c>
    </row>
    <row r="83" customFormat="false" ht="15" hidden="false" customHeight="false" outlineLevel="0" collapsed="false">
      <c r="A83" s="26" t="str">
        <f aca="false">Catálogo_Itens!$D$44</f>
        <v>GPON ONU FIBERHOME AN5506-04</v>
      </c>
      <c r="B83" s="25" t="n">
        <f aca="false">SUMIFS('Controle de Entrega'!$E$6:$E$1575,'Controle de Entrega'!$C$6:$C$1575,$A83,'Controle de Entrega'!$G$6:$G$1575,"&gt;="&amp;$C$3,'Controle de Entrega'!$G$6:$G$1575,"&lt;="&amp;$E$3)</f>
        <v>0</v>
      </c>
    </row>
    <row r="84" customFormat="false" ht="15" hidden="false" customHeight="false" outlineLevel="0" collapsed="false">
      <c r="A84" s="26" t="str">
        <f aca="false">Catálogo_Itens!$D$45</f>
        <v>FIBERHOME ONU HG6143D GPON WI-FI AC 1200M / ENTREGOU EQUIPAMENTO DANIFICADO POR CLIENTE </v>
      </c>
      <c r="B84" s="25" t="n">
        <f aca="false">SUMIFS('Controle de Entrega'!$E$6:$E$1575,'Controle de Entrega'!$C$6:$C$1575,$A84,'Controle de Entrega'!$G$6:$G$1575,"&gt;="&amp;$C$3,'Controle de Entrega'!$G$6:$G$1575,"&lt;="&amp;$E$3)</f>
        <v>0</v>
      </c>
    </row>
    <row r="85" customFormat="false" ht="15" hidden="false" customHeight="false" outlineLevel="0" collapsed="false">
      <c r="A85" s="26" t="str">
        <f aca="false">Catálogo_Itens!$D$46</f>
        <v>TP LINK AC750 </v>
      </c>
      <c r="B85" s="25" t="n">
        <f aca="false">SUMIFS('Controle de Entrega'!$E$6:$E$1575,'Controle de Entrega'!$C$6:$C$1575,$A85,'Controle de Entrega'!$G$6:$G$1575,"&gt;="&amp;$C$3,'Controle de Entrega'!$G$6:$G$1575,"&lt;="&amp;$E$3)</f>
        <v>0</v>
      </c>
    </row>
    <row r="86" customFormat="false" ht="15" hidden="false" customHeight="false" outlineLevel="0" collapsed="false">
      <c r="A86" s="26" t="str">
        <f aca="false">Catálogo_Itens!$D$47</f>
        <v>GPON VIAREAL </v>
      </c>
      <c r="B86" s="25" t="n">
        <f aca="false">SUMIFS('Controle de Entrega'!$E$6:$E$1575,'Controle de Entrega'!$C$6:$C$1575,$A86,'Controle de Entrega'!$G$6:$G$1575,"&gt;="&amp;$C$3,'Controle de Entrega'!$G$6:$G$1575,"&lt;="&amp;$E$3)</f>
        <v>0</v>
      </c>
    </row>
    <row r="87" customFormat="false" ht="15" hidden="false" customHeight="false" outlineLevel="0" collapsed="false">
      <c r="A87" s="26" t="str">
        <f aca="false">Catálogo_Itens!$D$48</f>
        <v>FIBERHOME AN5506-04</v>
      </c>
      <c r="B87" s="25" t="n">
        <f aca="false">SUMIFS('Controle de Entrega'!$E$6:$E$1575,'Controle de Entrega'!$C$6:$C$1575,$A87,'Controle de Entrega'!$G$6:$G$1575,"&gt;="&amp;$C$3,'Controle de Entrega'!$G$6:$G$1575,"&lt;="&amp;$E$3)</f>
        <v>0</v>
      </c>
    </row>
    <row r="88" customFormat="false" ht="15" hidden="false" customHeight="false" outlineLevel="0" collapsed="false">
      <c r="A88" s="26" t="str">
        <f aca="false">Catálogo_Itens!$D$49</f>
        <v>1 GPON ONT ANATEL</v>
      </c>
      <c r="B88" s="25" t="n">
        <f aca="false">SUMIFS('Controle de Entrega'!$E$6:$E$1575,'Controle de Entrega'!$C$6:$C$1575,$A88,'Controle de Entrega'!$G$6:$G$1575,"&gt;="&amp;$C$3,'Controle de Entrega'!$G$6:$G$1575,"&lt;="&amp;$E$3)</f>
        <v>0</v>
      </c>
    </row>
    <row r="89" customFormat="false" ht="15" hidden="false" customHeight="false" outlineLevel="0" collapsed="false">
      <c r="A89" s="26" t="str">
        <f aca="false">Catálogo_Itens!$D$50</f>
        <v>MESH HUAWEI K562 AX3000</v>
      </c>
      <c r="B89" s="25" t="n">
        <f aca="false">SUMIFS('Controle de Entrega'!$E$6:$E$1575,'Controle de Entrega'!$C$6:$C$1575,$A89,'Controle de Entrega'!$G$6:$G$1575,"&gt;="&amp;$C$3,'Controle de Entrega'!$G$6:$G$1575,"&lt;="&amp;$E$3)</f>
        <v>0</v>
      </c>
    </row>
    <row r="90" customFormat="false" ht="15" hidden="false" customHeight="false" outlineLevel="0" collapsed="false">
      <c r="A90" s="26" t="str">
        <f aca="false">Catálogo_Itens!$D$51</f>
        <v>ONU EPON WIFI COMPLETA</v>
      </c>
      <c r="B90" s="25" t="n">
        <f aca="false">SUMIFS('Controle de Entrega'!$E$6:$E$1575,'Controle de Entrega'!$C$6:$C$1575,$A90,'Controle de Entrega'!$G$6:$G$1575,"&gt;="&amp;$C$3,'Controle de Entrega'!$G$6:$G$1575,"&lt;="&amp;$E$3)</f>
        <v>0</v>
      </c>
    </row>
    <row r="91" customFormat="false" ht="15" hidden="false" customHeight="false" outlineLevel="0" collapsed="false">
      <c r="A91" s="26" t="str">
        <f aca="false">Catálogo_Itens!$D$52</f>
        <v>ONU GPON ZTE F6600P AX18000 DUAL-BAND WIFI 6</v>
      </c>
      <c r="B91" s="25" t="n">
        <f aca="false">SUMIFS('Controle de Entrega'!$E$6:$E$1575,'Controle de Entrega'!$C$6:$C$1575,$A91,'Controle de Entrega'!$G$6:$G$1575,"&gt;="&amp;$C$3,'Controle de Entrega'!$G$6:$G$1575,"&lt;="&amp;$E$3)</f>
        <v>0</v>
      </c>
    </row>
    <row r="92" customFormat="false" ht="15" hidden="false" customHeight="false" outlineLevel="0" collapsed="false">
      <c r="A92" s="26" t="str">
        <f aca="false">Catálogo_Itens!$D$53</f>
        <v>GPON INTELBRAS WRN150</v>
      </c>
      <c r="B92" s="25" t="n">
        <f aca="false">SUMIFS('Controle de Entrega'!$E$6:$E$1575,'Controle de Entrega'!$C$6:$C$1575,$A92,'Controle de Entrega'!$G$6:$G$1575,"&gt;="&amp;$C$3,'Controle de Entrega'!$G$6:$G$1575,"&lt;="&amp;$E$3)</f>
        <v>0</v>
      </c>
    </row>
    <row r="93" customFormat="false" ht="15" hidden="false" customHeight="false" outlineLevel="0" collapsed="false">
      <c r="A93" s="26" t="str">
        <f aca="false">Catálogo_Itens!$D$54</f>
        <v>TP LINK ARCHER C5&lt;W&gt; AC1200</v>
      </c>
      <c r="B93" s="25" t="n">
        <f aca="false">SUMIFS('Controle de Entrega'!$E$6:$E$1575,'Controle de Entrega'!$C$6:$C$1575,$A93,'Controle de Entrega'!$G$6:$G$1575,"&gt;="&amp;$C$3,'Controle de Entrega'!$G$6:$G$1575,"&lt;="&amp;$E$3)</f>
        <v>0</v>
      </c>
    </row>
    <row r="94" customFormat="false" ht="15" hidden="false" customHeight="false" outlineLevel="0" collapsed="false">
      <c r="A94" s="26" t="str">
        <f aca="false">Catálogo_Itens!$D$55</f>
        <v>INTELBRAS WRN150</v>
      </c>
      <c r="B94" s="25" t="n">
        <f aca="false">SUMIFS('Controle de Entrega'!$E$6:$E$1575,'Controle de Entrega'!$C$6:$C$1575,$A94,'Controle de Entrega'!$G$6:$G$1575,"&gt;="&amp;$C$3,'Controle de Entrega'!$G$6:$G$1575,"&lt;="&amp;$E$3)</f>
        <v>0</v>
      </c>
    </row>
    <row r="95" customFormat="false" ht="15" hidden="false" customHeight="false" outlineLevel="0" collapsed="false">
      <c r="A95" s="26" t="str">
        <f aca="false">Catálogo_Itens!$D$56</f>
        <v>HG8245W5-6T GPON 1G Terminal,SC/APC</v>
      </c>
      <c r="B95" s="25" t="n">
        <f aca="false">SUMIFS('Controle de Entrega'!$E$6:$E$1575,'Controle de Entrega'!$C$6:$C$1575,$A95,'Controle de Entrega'!$G$6:$G$1575,"&gt;="&amp;$C$3,'Controle de Entrega'!$G$6:$G$1575,"&lt;="&amp;$E$3)</f>
        <v>0</v>
      </c>
    </row>
    <row r="96" customFormat="false" ht="15" hidden="false" customHeight="false" outlineLevel="0" collapsed="false">
      <c r="A96" s="26" t="str">
        <f aca="false">Catálogo_Itens!$D$57</f>
        <v>ONT VIA REAL</v>
      </c>
      <c r="B96" s="25" t="n">
        <f aca="false">SUMIFS('Controle de Entrega'!$E$6:$E$1575,'Controle de Entrega'!$C$6:$C$1575,$A96,'Controle de Entrega'!$G$6:$G$1575,"&gt;="&amp;$C$3,'Controle de Entrega'!$G$6:$G$1575,"&lt;="&amp;$E$3)</f>
        <v>0</v>
      </c>
    </row>
    <row r="97" customFormat="false" ht="15" hidden="false" customHeight="false" outlineLevel="0" collapsed="false">
      <c r="A97" s="26" t="str">
        <f aca="false">Catálogo_Itens!$D$58</f>
        <v>TP LINK TL-WR841HP</v>
      </c>
      <c r="B97" s="25" t="n">
        <f aca="false">SUMIFS('Controle de Entrega'!$E$6:$E$1575,'Controle de Entrega'!$C$6:$C$1575,$A97,'Controle de Entrega'!$G$6:$G$1575,"&gt;="&amp;$C$3,'Controle de Entrega'!$G$6:$G$1575,"&lt;="&amp;$E$3)</f>
        <v>0</v>
      </c>
    </row>
    <row r="98" customFormat="false" ht="15" hidden="false" customHeight="false" outlineLevel="0" collapsed="false">
      <c r="A98" s="26" t="str">
        <f aca="false">Catálogo_Itens!$D$59</f>
        <v>AUDIO CODE</v>
      </c>
      <c r="B98" s="25" t="n">
        <f aca="false">SUMIFS('Controle de Entrega'!$E$6:$E$1575,'Controle de Entrega'!$C$6:$C$1575,$A98,'Controle de Entrega'!$G$6:$G$1575,"&gt;="&amp;$C$3,'Controle de Entrega'!$G$6:$G$1575,"&lt;="&amp;$E$3)</f>
        <v>0</v>
      </c>
    </row>
    <row r="99" customFormat="false" ht="15" hidden="false" customHeight="false" outlineLevel="0" collapsed="false">
      <c r="A99" s="26" t="str">
        <f aca="false">Catálogo_Itens!$D$60</f>
        <v>TP LINK AC1200</v>
      </c>
      <c r="B99" s="25" t="n">
        <f aca="false">SUMIFS('Controle de Entrega'!$E$6:$E$1575,'Controle de Entrega'!$C$6:$C$1575,$A99,'Controle de Entrega'!$G$6:$G$1575,"&gt;="&amp;$C$3,'Controle de Entrega'!$G$6:$G$1575,"&lt;="&amp;$E$3)</f>
        <v>0</v>
      </c>
    </row>
    <row r="100" customFormat="false" ht="15" hidden="false" customHeight="false" outlineLevel="0" collapsed="false">
      <c r="A100" s="26" t="str">
        <f aca="false">Catálogo_Itens!$D$61</f>
        <v>ONU GPON ZTE F6201B AX3000 DUAL-BAND WIFI 6</v>
      </c>
      <c r="B100" s="25" t="n">
        <f aca="false">SUMIFS('Controle de Entrega'!$E$6:$E$1575,'Controle de Entrega'!$C$6:$C$1575,$A100,'Controle de Entrega'!$G$6:$G$1575,"&gt;="&amp;$C$3,'Controle de Entrega'!$G$6:$G$1575,"&lt;="&amp;$E$3)</f>
        <v>0</v>
      </c>
    </row>
    <row r="101" customFormat="false" ht="15" hidden="false" customHeight="false" outlineLevel="0" collapsed="false">
      <c r="A101" s="26" t="str">
        <f aca="false">Catálogo_Itens!$D$62</f>
        <v>ONT VIAREAL </v>
      </c>
      <c r="B101" s="25" t="n">
        <f aca="false">SUMIFS('Controle de Entrega'!$E$6:$E$1575,'Controle de Entrega'!$C$6:$C$1575,$A101,'Controle de Entrega'!$G$6:$G$1575,"&gt;="&amp;$C$3,'Controle de Entrega'!$G$6:$G$1575,"&lt;="&amp;$E$3)</f>
        <v>0</v>
      </c>
    </row>
    <row r="102" customFormat="false" ht="15" hidden="false" customHeight="false" outlineLevel="0" collapsed="false">
      <c r="A102" s="26" t="str">
        <f aca="false">Catálogo_Itens!$D$63</f>
        <v>ONU GPON ZTE F6201B AX3000 DUAL-BAND WIFI 6 SEMINOVO</v>
      </c>
      <c r="B102" s="25" t="n">
        <f aca="false">SUMIFS('Controle de Entrega'!$E$6:$E$1575,'Controle de Entrega'!$C$6:$C$1575,$A102,'Controle de Entrega'!$G$6:$G$1575,"&gt;="&amp;$C$3,'Controle de Entrega'!$G$6:$G$1575,"&lt;="&amp;$E$3)</f>
        <v>0</v>
      </c>
    </row>
    <row r="103" customFormat="false" ht="15" hidden="false" customHeight="false" outlineLevel="0" collapsed="false">
      <c r="A103" s="26" t="str">
        <f aca="false">Catálogo_Itens!$D$64</f>
        <v>GRANDSTREAM </v>
      </c>
      <c r="B103" s="25" t="n">
        <f aca="false">SUMIFS('Controle de Entrega'!$E$6:$E$1575,'Controle de Entrega'!$C$6:$C$1575,$A103,'Controle de Entrega'!$G$6:$G$1575,"&gt;="&amp;$C$3,'Controle de Entrega'!$G$6:$G$1575,"&lt;="&amp;$E$3)</f>
        <v>0</v>
      </c>
    </row>
    <row r="104" customFormat="false" ht="15" hidden="false" customHeight="false" outlineLevel="0" collapsed="false">
      <c r="A104" s="26" t="str">
        <f aca="false">Catálogo_Itens!$D$65</f>
        <v>TPLINK ARCHER C5</v>
      </c>
      <c r="B104" s="25" t="n">
        <f aca="false">SUMIFS('Controle de Entrega'!$E$6:$E$1575,'Controle de Entrega'!$C$6:$C$1575,$A104,'Controle de Entrega'!$G$6:$G$1575,"&gt;="&amp;$C$3,'Controle de Entrega'!$G$6:$G$1575,"&lt;="&amp;$E$3)</f>
        <v>0</v>
      </c>
    </row>
    <row r="105" customFormat="false" ht="15" hidden="false" customHeight="false" outlineLevel="0" collapsed="false">
      <c r="A105" s="26" t="str">
        <f aca="false">Catálogo_Itens!$D$66</f>
        <v>GPON ONT </v>
      </c>
      <c r="B105" s="25" t="n">
        <f aca="false">SUMIFS('Controle de Entrega'!$E$6:$E$1575,'Controle de Entrega'!$C$6:$C$1575,$A105,'Controle de Entrega'!$G$6:$G$1575,"&gt;="&amp;$C$3,'Controle de Entrega'!$G$6:$G$1575,"&lt;="&amp;$E$3)</f>
        <v>0</v>
      </c>
    </row>
    <row r="106" customFormat="false" ht="15" hidden="false" customHeight="false" outlineLevel="0" collapsed="false">
      <c r="A106" s="26" t="str">
        <f aca="false">Catálogo_Itens!$D$67</f>
        <v>1GE GPON ONT ( MAC COM DIFICULDADE DE LEITURA </v>
      </c>
      <c r="B106" s="25" t="n">
        <f aca="false">SUMIFS('Controle de Entrega'!$E$6:$E$1575,'Controle de Entrega'!$C$6:$C$1575,$A106,'Controle de Entrega'!$G$6:$G$1575,"&gt;="&amp;$C$3,'Controle de Entrega'!$G$6:$G$1575,"&lt;="&amp;$E$3)</f>
        <v>0</v>
      </c>
    </row>
    <row r="109" customFormat="false" ht="15" hidden="false" customHeight="false" outlineLevel="0" collapsed="false">
      <c r="A109" s="18" t="s">
        <v>68</v>
      </c>
    </row>
    <row r="110" customFormat="false" ht="30" hidden="false" customHeight="true" outlineLevel="0" collapsed="false">
      <c r="A110" s="3" t="s">
        <v>69</v>
      </c>
      <c r="B110" s="3" t="s">
        <v>70</v>
      </c>
    </row>
    <row r="111" customFormat="false" ht="15" hidden="false" customHeight="false" outlineLevel="0" collapsed="false">
      <c r="A111" s="25" t="s">
        <v>71</v>
      </c>
      <c r="B111" s="25" t="n">
        <f aca="false">SUMIFS('Controle de Entrega'!$E$6:$E$1575,'Controle de Entrega'!$G$6:$G$1575,"&gt;="&amp;DATE(2026,1,1),'Controle de Entrega'!$G$6:$G$1575,"&lt;"&amp;DATE(2026,2,1),'Controle de Entrega'!$I$6:$I$1575,"CLIENTE*")</f>
        <v>0</v>
      </c>
    </row>
    <row r="112" customFormat="false" ht="15" hidden="false" customHeight="false" outlineLevel="0" collapsed="false">
      <c r="A112" s="25" t="s">
        <v>72</v>
      </c>
      <c r="B112" s="25" t="n">
        <f aca="false">SUMIFS('Controle de Entrega'!$E$6:$E$1575,'Controle de Entrega'!$G$6:$G$1575,"&gt;="&amp;DATE(2026,2,1),'Controle de Entrega'!$G$6:$G$1575,"&lt;"&amp;DATE(2026,3,1),'Controle de Entrega'!$I$6:$I$1575,"CLIENTE*")</f>
        <v>0</v>
      </c>
    </row>
    <row r="113" customFormat="false" ht="15" hidden="false" customHeight="false" outlineLevel="0" collapsed="false">
      <c r="A113" s="25" t="s">
        <v>73</v>
      </c>
      <c r="B113" s="25" t="n">
        <f aca="false">SUMIFS('Controle de Entrega'!$E$6:$E$1575,'Controle de Entrega'!$G$6:$G$1575,"&gt;="&amp;DATE(2026,3,1),'Controle de Entrega'!$G$6:$G$1575,"&lt;"&amp;DATE(2026,4,1),'Controle de Entrega'!$I$6:$I$1575,"CLIENTE*")</f>
        <v>0</v>
      </c>
    </row>
    <row r="114" customFormat="false" ht="15" hidden="false" customHeight="false" outlineLevel="0" collapsed="false">
      <c r="A114" s="25" t="s">
        <v>74</v>
      </c>
      <c r="B114" s="25" t="n">
        <f aca="false">SUMIFS('Controle de Entrega'!$E$6:$E$1575,'Controle de Entrega'!$G$6:$G$1575,"&gt;="&amp;DATE(2026,4,1),'Controle de Entrega'!$G$6:$G$1575,"&lt;"&amp;DATE(2026,5,1),'Controle de Entrega'!$I$6:$I$1575,"CLIENTE*")</f>
        <v>22</v>
      </c>
    </row>
    <row r="115" customFormat="false" ht="15" hidden="false" customHeight="false" outlineLevel="0" collapsed="false">
      <c r="A115" s="25" t="s">
        <v>75</v>
      </c>
      <c r="B115" s="25" t="n">
        <f aca="false">SUMIFS('Controle de Entrega'!$E$6:$E$1575,'Controle de Entrega'!$G$6:$G$1575,"&gt;="&amp;DATE(2026,5,1),'Controle de Entrega'!$G$6:$G$1575,"&lt;"&amp;DATE(2026,6,1),'Controle de Entrega'!$I$6:$I$1575,"CLIENTE*")</f>
        <v>0</v>
      </c>
    </row>
    <row r="116" customFormat="false" ht="15" hidden="false" customHeight="false" outlineLevel="0" collapsed="false">
      <c r="A116" s="25" t="s">
        <v>76</v>
      </c>
      <c r="B116" s="25" t="n">
        <f aca="false">SUMIFS('Controle de Entrega'!$E$6:$E$1575,'Controle de Entrega'!$G$6:$G$1575,"&gt;="&amp;DATE(2026,6,1),'Controle de Entrega'!$G$6:$G$1575,"&lt;"&amp;DATE(2026,7,1),'Controle de Entrega'!$I$6:$I$1575,"CLIENTE*")</f>
        <v>0</v>
      </c>
    </row>
    <row r="117" customFormat="false" ht="15" hidden="false" customHeight="false" outlineLevel="0" collapsed="false">
      <c r="A117" s="25" t="s">
        <v>77</v>
      </c>
      <c r="B117" s="25" t="n">
        <f aca="false">SUMIFS('Controle de Entrega'!$E$6:$E$1575,'Controle de Entrega'!$G$6:$G$1575,"&gt;="&amp;DATE(2026,7,1),'Controle de Entrega'!$G$6:$G$1575,"&lt;"&amp;DATE(2026,8,1),'Controle de Entrega'!$I$6:$I$1575,"CLIENTE*")</f>
        <v>0</v>
      </c>
    </row>
    <row r="118" customFormat="false" ht="15" hidden="false" customHeight="false" outlineLevel="0" collapsed="false">
      <c r="A118" s="25" t="s">
        <v>78</v>
      </c>
      <c r="B118" s="25" t="n">
        <f aca="false">SUMIFS('Controle de Entrega'!$E$6:$E$1575,'Controle de Entrega'!$G$6:$G$1575,"&gt;="&amp;DATE(2026,8,1),'Controle de Entrega'!$G$6:$G$1575,"&lt;"&amp;DATE(2026,9,1),'Controle de Entrega'!$I$6:$I$1575,"CLIENTE*")</f>
        <v>0</v>
      </c>
    </row>
    <row r="119" customFormat="false" ht="15" hidden="false" customHeight="false" outlineLevel="0" collapsed="false">
      <c r="A119" s="25" t="s">
        <v>79</v>
      </c>
      <c r="B119" s="25" t="n">
        <f aca="false">SUMIFS('Controle de Entrega'!$E$6:$E$1575,'Controle de Entrega'!$G$6:$G$1575,"&gt;="&amp;DATE(2026,9,1),'Controle de Entrega'!$G$6:$G$1575,"&lt;"&amp;DATE(2026,10,1),'Controle de Entrega'!$I$6:$I$1575,"CLIENTE*")</f>
        <v>0</v>
      </c>
    </row>
    <row r="120" customFormat="false" ht="15" hidden="false" customHeight="false" outlineLevel="0" collapsed="false">
      <c r="A120" s="25" t="s">
        <v>80</v>
      </c>
      <c r="B120" s="25" t="n">
        <f aca="false">SUMIFS('Controle de Entrega'!$E$6:$E$1575,'Controle de Entrega'!$G$6:$G$1575,"&gt;="&amp;DATE(2026,10,1),'Controle de Entrega'!$G$6:$G$1575,"&lt;"&amp;DATE(2026,11,1),'Controle de Entrega'!$I$6:$I$1575,"CLIENTE*")</f>
        <v>0</v>
      </c>
    </row>
    <row r="121" customFormat="false" ht="15" hidden="false" customHeight="false" outlineLevel="0" collapsed="false">
      <c r="A121" s="25" t="s">
        <v>81</v>
      </c>
      <c r="B121" s="25" t="n">
        <f aca="false">SUMIFS('Controle de Entrega'!$E$6:$E$1575,'Controle de Entrega'!$G$6:$G$1575,"&gt;="&amp;DATE(2026,11,1),'Controle de Entrega'!$G$6:$G$1575,"&lt;"&amp;DATE(2026,12,1),'Controle de Entrega'!$I$6:$I$1575,"CLIENTE*")</f>
        <v>0</v>
      </c>
    </row>
    <row r="122" customFormat="false" ht="15" hidden="false" customHeight="false" outlineLevel="0" collapsed="false">
      <c r="A122" s="25" t="s">
        <v>82</v>
      </c>
      <c r="B122" s="25" t="n">
        <f aca="false">SUMIFS('Controle de Entrega'!$E$6:$E$1575,'Controle de Entrega'!$G$6:$G$1575,"&gt;="&amp;DATE(2026,12,1),'Controle de Entrega'!$G$6:$G$1575,"&lt;"&amp;DATE(2027,1,1),'Controle de Entrega'!$I$6:$I$1575,"CLIENTE*")</f>
        <v>0</v>
      </c>
    </row>
    <row r="123" customFormat="false" ht="15" hidden="false" customHeight="false" outlineLevel="0" collapsed="false">
      <c r="A123" s="25" t="s">
        <v>83</v>
      </c>
      <c r="B123" s="25" t="n">
        <f aca="false">SUMIFS('Controle de Entrega'!$E$6:$E$1575,'Controle de Entrega'!$G$6:$G$1575,"&gt;="&amp;DATE(2027,1,1),'Controle de Entrega'!$G$6:$G$1575,"&lt;"&amp;DATE(2027,2,1),'Controle de Entrega'!$I$6:$I$1575,"CLIENTE*")</f>
        <v>0</v>
      </c>
    </row>
    <row r="124" customFormat="false" ht="15" hidden="false" customHeight="false" outlineLevel="0" collapsed="false">
      <c r="A124" s="25" t="s">
        <v>84</v>
      </c>
      <c r="B124" s="25" t="n">
        <f aca="false">SUMIFS('Controle de Entrega'!$E$6:$E$1575,'Controle de Entrega'!$G$6:$G$1575,"&gt;="&amp;DATE(2027,2,1),'Controle de Entrega'!$G$6:$G$1575,"&lt;"&amp;DATE(2027,3,1),'Controle de Entrega'!$I$6:$I$1575,"CLIENTE*")</f>
        <v>0</v>
      </c>
    </row>
    <row r="125" customFormat="false" ht="15" hidden="false" customHeight="false" outlineLevel="0" collapsed="false">
      <c r="A125" s="25" t="s">
        <v>85</v>
      </c>
      <c r="B125" s="25" t="n">
        <f aca="false">SUMIFS('Controle de Entrega'!$E$6:$E$1575,'Controle de Entrega'!$G$6:$G$1575,"&gt;="&amp;DATE(2027,3,1),'Controle de Entrega'!$G$6:$G$1575,"&lt;"&amp;DATE(2027,4,1),'Controle de Entrega'!$I$6:$I$1575,"CLIENTE*")</f>
        <v>0</v>
      </c>
    </row>
    <row r="126" customFormat="false" ht="15" hidden="false" customHeight="false" outlineLevel="0" collapsed="false">
      <c r="A126" s="25" t="s">
        <v>86</v>
      </c>
      <c r="B126" s="25" t="n">
        <f aca="false">SUMIFS('Controle de Entrega'!$E$6:$E$1575,'Controle de Entrega'!$G$6:$G$1575,"&gt;="&amp;DATE(2027,4,1),'Controle de Entrega'!$G$6:$G$1575,"&lt;"&amp;DATE(2027,5,1),'Controle de Entrega'!$I$6:$I$1575,"CLIENTE*")</f>
        <v>0</v>
      </c>
    </row>
    <row r="127" customFormat="false" ht="15" hidden="false" customHeight="false" outlineLevel="0" collapsed="false">
      <c r="A127" s="25" t="s">
        <v>87</v>
      </c>
      <c r="B127" s="25" t="n">
        <f aca="false">SUMIFS('Controle de Entrega'!$E$6:$E$1575,'Controle de Entrega'!$G$6:$G$1575,"&gt;="&amp;DATE(2027,5,1),'Controle de Entrega'!$G$6:$G$1575,"&lt;"&amp;DATE(2027,6,1),'Controle de Entrega'!$I$6:$I$1575,"CLIENTE*")</f>
        <v>0</v>
      </c>
    </row>
    <row r="128" customFormat="false" ht="15" hidden="false" customHeight="false" outlineLevel="0" collapsed="false">
      <c r="A128" s="25" t="s">
        <v>88</v>
      </c>
      <c r="B128" s="25" t="n">
        <f aca="false">SUMIFS('Controle de Entrega'!$E$6:$E$1575,'Controle de Entrega'!$G$6:$G$1575,"&gt;="&amp;DATE(2027,6,1),'Controle de Entrega'!$G$6:$G$1575,"&lt;"&amp;DATE(2027,7,1),'Controle de Entrega'!$I$6:$I$1575,"CLIENTE*")</f>
        <v>0</v>
      </c>
    </row>
    <row r="129" customFormat="false" ht="15" hidden="false" customHeight="false" outlineLevel="0" collapsed="false">
      <c r="A129" s="25" t="s">
        <v>89</v>
      </c>
      <c r="B129" s="25" t="n">
        <f aca="false">SUMIFS('Controle de Entrega'!$E$6:$E$1575,'Controle de Entrega'!$G$6:$G$1575,"&gt;="&amp;DATE(2027,7,1),'Controle de Entrega'!$G$6:$G$1575,"&lt;"&amp;DATE(2027,8,1),'Controle de Entrega'!$I$6:$I$1575,"CLIENTE*")</f>
        <v>0</v>
      </c>
    </row>
    <row r="130" customFormat="false" ht="15" hidden="false" customHeight="false" outlineLevel="0" collapsed="false">
      <c r="A130" s="25" t="s">
        <v>90</v>
      </c>
      <c r="B130" s="25" t="n">
        <f aca="false">SUMIFS('Controle de Entrega'!$E$6:$E$1575,'Controle de Entrega'!$G$6:$G$1575,"&gt;="&amp;DATE(2027,8,1),'Controle de Entrega'!$G$6:$G$1575,"&lt;"&amp;DATE(2027,9,1),'Controle de Entrega'!$I$6:$I$1575,"CLIENTE*")</f>
        <v>0</v>
      </c>
    </row>
    <row r="131" customFormat="false" ht="15" hidden="false" customHeight="false" outlineLevel="0" collapsed="false">
      <c r="A131" s="25" t="s">
        <v>91</v>
      </c>
      <c r="B131" s="25" t="n">
        <f aca="false">SUMIFS('Controle de Entrega'!$E$6:$E$1575,'Controle de Entrega'!$G$6:$G$1575,"&gt;="&amp;DATE(2027,9,1),'Controle de Entrega'!$G$6:$G$1575,"&lt;"&amp;DATE(2027,10,1),'Controle de Entrega'!$I$6:$I$1575,"CLIENTE*")</f>
        <v>0</v>
      </c>
    </row>
    <row r="132" customFormat="false" ht="15" hidden="false" customHeight="false" outlineLevel="0" collapsed="false">
      <c r="A132" s="25" t="s">
        <v>92</v>
      </c>
      <c r="B132" s="25" t="n">
        <f aca="false">SUMIFS('Controle de Entrega'!$E$6:$E$1575,'Controle de Entrega'!$G$6:$G$1575,"&gt;="&amp;DATE(2027,10,1),'Controle de Entrega'!$G$6:$G$1575,"&lt;"&amp;DATE(2027,11,1),'Controle de Entrega'!$I$6:$I$1575,"CLIENTE*")</f>
        <v>0</v>
      </c>
    </row>
    <row r="133" customFormat="false" ht="15" hidden="false" customHeight="false" outlineLevel="0" collapsed="false">
      <c r="A133" s="25" t="s">
        <v>93</v>
      </c>
      <c r="B133" s="25" t="n">
        <f aca="false">SUMIFS('Controle de Entrega'!$E$6:$E$1575,'Controle de Entrega'!$G$6:$G$1575,"&gt;="&amp;DATE(2027,11,1),'Controle de Entrega'!$G$6:$G$1575,"&lt;"&amp;DATE(2027,12,1),'Controle de Entrega'!$I$6:$I$1575,"CLIENTE*")</f>
        <v>0</v>
      </c>
    </row>
    <row r="134" customFormat="false" ht="15" hidden="false" customHeight="false" outlineLevel="0" collapsed="false">
      <c r="A134" s="25" t="s">
        <v>94</v>
      </c>
      <c r="B134" s="25" t="n">
        <f aca="false">SUMIFS('Controle de Entrega'!$E$6:$E$1575,'Controle de Entrega'!$G$6:$G$1575,"&gt;="&amp;DATE(2027,12,1),'Controle de Entrega'!$G$6:$G$1575,"&lt;"&amp;DATE(2028,1,1),'Controle de Entrega'!$I$6:$I$1575,"CLIENTE*")</f>
        <v>0</v>
      </c>
    </row>
    <row r="136" customFormat="false" ht="15" hidden="false" customHeight="false" outlineLevel="0" collapsed="false">
      <c r="A136" s="18" t="s">
        <v>95</v>
      </c>
    </row>
    <row r="137" customFormat="false" ht="30" hidden="false" customHeight="true" outlineLevel="0" collapsed="false">
      <c r="A137" s="3" t="s">
        <v>67</v>
      </c>
      <c r="B137" s="3" t="s">
        <v>70</v>
      </c>
    </row>
    <row r="138" customFormat="false" ht="15" hidden="false" customHeight="false" outlineLevel="0" collapsed="false">
      <c r="A138" s="26" t="str">
        <f aca="false">Catálogo_Itens!$D$2</f>
        <v>FIBERHOME ONU HG6143D GPON WI-FI AC 1200M</v>
      </c>
      <c r="B138" s="25" t="n">
        <f aca="false">SUMIFS('Controle de Entrega'!$E$6:$E$1575,'Controle de Entrega'!$C$6:$C$1575,$A138,'Controle de Entrega'!$I$6:$I$1575,"CLIENTE*")</f>
        <v>0</v>
      </c>
    </row>
    <row r="139" customFormat="false" ht="15" hidden="false" customHeight="false" outlineLevel="0" collapsed="false">
      <c r="A139" s="26" t="str">
        <f aca="false">Catálogo_Itens!$D$3</f>
        <v>FIBRA</v>
      </c>
      <c r="B139" s="25" t="n">
        <f aca="false">SUMIFS('Controle de Entrega'!$E$6:$E$1575,'Controle de Entrega'!$C$6:$C$1575,$A139,'Controle de Entrega'!$I$6:$I$1575,"CLIENTE*")</f>
        <v>0</v>
      </c>
    </row>
    <row r="140" customFormat="false" ht="15" hidden="false" customHeight="false" outlineLevel="0" collapsed="false">
      <c r="A140" s="26" t="str">
        <f aca="false">Catálogo_Itens!$D$4</f>
        <v>ONT ECHOLIFE HG8145V5 GPON/EPON SC/APC</v>
      </c>
      <c r="B140" s="25" t="n">
        <f aca="false">SUMIFS('Controle de Entrega'!$E$6:$E$1575,'Controle de Entrega'!$C$6:$C$1575,$A140,'Controle de Entrega'!$I$6:$I$1575,"CLIENTE*")</f>
        <v>0</v>
      </c>
    </row>
    <row r="141" customFormat="false" ht="15" hidden="false" customHeight="false" outlineLevel="0" collapsed="false">
      <c r="A141" s="26" t="str">
        <f aca="false">Catálogo_Itens!$D$5</f>
        <v>ONT NOKIA 1425-GA</v>
      </c>
      <c r="B141" s="25" t="n">
        <f aca="false">SUMIFS('Controle de Entrega'!$E$6:$E$1575,'Controle de Entrega'!$C$6:$C$1575,$A141,'Controle de Entrega'!$I$6:$I$1575,"CLIENTE*")</f>
        <v>2</v>
      </c>
    </row>
    <row r="142" customFormat="false" ht="15" hidden="false" customHeight="false" outlineLevel="0" collapsed="false">
      <c r="A142" s="26" t="str">
        <f aca="false">Catálogo_Itens!$D$6</f>
        <v>ONT TP-LINK XX230V WIFI 6 AX1800 SEMINOVA</v>
      </c>
      <c r="B142" s="25" t="n">
        <f aca="false">SUMIFS('Controle de Entrega'!$E$6:$E$1575,'Controle de Entrega'!$C$6:$C$1575,$A142,'Controle de Entrega'!$I$6:$I$1575,"CLIENTE*")</f>
        <v>0</v>
      </c>
    </row>
    <row r="143" customFormat="false" ht="15" hidden="false" customHeight="false" outlineLevel="0" collapsed="false">
      <c r="A143" s="26" t="str">
        <f aca="false">Catálogo_Itens!$D$7</f>
        <v>ONU GPON ZTE F6600P AX18000 DUAL-BAND WIFI 6 SEMINOVO</v>
      </c>
      <c r="B143" s="25" t="n">
        <f aca="false">SUMIFS('Controle de Entrega'!$E$6:$E$1575,'Controle de Entrega'!$C$6:$C$1575,$A143,'Controle de Entrega'!$I$6:$I$1575,"CLIENTE*")</f>
        <v>0</v>
      </c>
    </row>
    <row r="144" customFormat="false" ht="15" hidden="false" customHeight="false" outlineLevel="0" collapsed="false">
      <c r="A144" s="26" t="str">
        <f aca="false">Catálogo_Itens!$D$8</f>
        <v>ROTEADOR TP-LINK WIRELESS AC1200 ARCHER C5W GIGABIT DUAL BAND</v>
      </c>
      <c r="B144" s="25" t="n">
        <f aca="false">SUMIFS('Controle de Entrega'!$E$6:$E$1575,'Controle de Entrega'!$C$6:$C$1575,$A144,'Controle de Entrega'!$I$6:$I$1575,"CLIENTE*")</f>
        <v>6</v>
      </c>
    </row>
    <row r="145" customFormat="false" ht="15" hidden="false" customHeight="false" outlineLevel="0" collapsed="false">
      <c r="A145" s="26" t="str">
        <f aca="false">Catálogo_Itens!$D$9</f>
        <v>ROTEADOR VIA REAL </v>
      </c>
      <c r="B145" s="25" t="n">
        <f aca="false">SUMIFS('Controle de Entrega'!$E$6:$E$1575,'Controle de Entrega'!$C$6:$C$1575,$A145,'Controle de Entrega'!$I$6:$I$1575,"CLIENTE*")</f>
        <v>0</v>
      </c>
    </row>
    <row r="146" customFormat="false" ht="15" hidden="false" customHeight="false" outlineLevel="0" collapsed="false">
      <c r="A146" s="26" t="str">
        <f aca="false">Catálogo_Itens!$D$10</f>
        <v>ONT GPON ZYXEL PX3321-T1 AX3000 WIFI 6 SEMINOVO</v>
      </c>
      <c r="B146" s="25" t="n">
        <f aca="false">SUMIFS('Controle de Entrega'!$E$6:$E$1575,'Controle de Entrega'!$C$6:$C$1575,$A146,'Controle de Entrega'!$I$6:$I$1575,"CLIENTE*")</f>
        <v>0</v>
      </c>
    </row>
    <row r="147" customFormat="false" ht="15" hidden="false" customHeight="false" outlineLevel="0" collapsed="false">
      <c r="A147" s="26" t="str">
        <f aca="false">Catálogo_Itens!$D$11</f>
        <v>ONU GPON ZTE F670L - WIFI AC1200 MBPS 2X2 COM 2 ANTENAS</v>
      </c>
      <c r="B147" s="25" t="n">
        <f aca="false">SUMIFS('Controle de Entrega'!$E$6:$E$1575,'Controle de Entrega'!$C$6:$C$1575,$A147,'Controle de Entrega'!$I$6:$I$1575,"CLIENTE*")</f>
        <v>0</v>
      </c>
    </row>
    <row r="148" customFormat="false" ht="15" hidden="false" customHeight="false" outlineLevel="0" collapsed="false">
      <c r="A148" s="26" t="str">
        <f aca="false">Catálogo_Itens!$D$12</f>
        <v>REPETIDOR DE SINAL TP-LINK RE305</v>
      </c>
      <c r="B148" s="25" t="n">
        <f aca="false">SUMIFS('Controle de Entrega'!$E$6:$E$1575,'Controle de Entrega'!$C$6:$C$1575,$A148,'Controle de Entrega'!$I$6:$I$1575,"CLIENTE*")</f>
        <v>7</v>
      </c>
    </row>
    <row r="149" customFormat="false" ht="15" hidden="false" customHeight="false" outlineLevel="0" collapsed="false">
      <c r="A149" s="26" t="str">
        <f aca="false">Catálogo_Itens!$D$13</f>
        <v>REPETIDOR DE SINAL TP-LINK RE305 (SEMI-NOVO)</v>
      </c>
      <c r="B149" s="25" t="n">
        <f aca="false">SUMIFS('Controle de Entrega'!$E$6:$E$1575,'Controle de Entrega'!$C$6:$C$1575,$A149,'Controle de Entrega'!$I$6:$I$1575,"CLIENTE*")</f>
        <v>0</v>
      </c>
    </row>
    <row r="150" customFormat="false" ht="15" hidden="false" customHeight="false" outlineLevel="0" collapsed="false">
      <c r="A150" s="26" t="str">
        <f aca="false">Catálogo_Itens!$D$14</f>
        <v>ONT GPON ZYXEL PX3321-T1 AX3000 WIFI 6</v>
      </c>
      <c r="B150" s="25" t="n">
        <f aca="false">SUMIFS('Controle de Entrega'!$E$6:$E$1575,'Controle de Entrega'!$C$6:$C$1575,$A150,'Controle de Entrega'!$I$6:$I$1575,"CLIENTE*")</f>
        <v>5</v>
      </c>
    </row>
    <row r="151" customFormat="false" ht="15" hidden="false" customHeight="false" outlineLevel="0" collapsed="false">
      <c r="A151" s="26" t="str">
        <f aca="false">Catálogo_Itens!$D$15</f>
        <v>ONT NOKIA 2425G B</v>
      </c>
      <c r="B151" s="25" t="n">
        <f aca="false">SUMIFS('Controle de Entrega'!$E$6:$E$1575,'Controle de Entrega'!$C$6:$C$1575,$A151,'Controle de Entrega'!$I$6:$I$1575,"CLIENTE*")</f>
        <v>0</v>
      </c>
    </row>
    <row r="152" customFormat="false" ht="15" hidden="false" customHeight="false" outlineLevel="0" collapsed="false">
      <c r="A152" s="26" t="str">
        <f aca="false">Catálogo_Itens!$D$16</f>
        <v>ONU GPON ZTE F6600P AX3000 DUAL-BAND WIFI 6</v>
      </c>
      <c r="B152" s="25" t="n">
        <f aca="false">SUMIFS('Controle de Entrega'!$E$6:$E$1575,'Controle de Entrega'!$C$6:$C$1575,$A152,'Controle de Entrega'!$I$6:$I$1575,"CLIENTE*")</f>
        <v>2</v>
      </c>
    </row>
    <row r="153" customFormat="false" ht="15" hidden="false" customHeight="false" outlineLevel="0" collapsed="false">
      <c r="A153" s="26" t="str">
        <f aca="false">Catálogo_Itens!$D$17</f>
        <v>ONU GPON ZTE F6600P AX3000 DUAL-BAND WIFI 6 SEMINOVO</v>
      </c>
      <c r="B153" s="25" t="n">
        <f aca="false">SUMIFS('Controle de Entrega'!$E$6:$E$1575,'Controle de Entrega'!$C$6:$C$1575,$A153,'Controle de Entrega'!$I$6:$I$1575,"CLIENTE*")</f>
        <v>0</v>
      </c>
    </row>
    <row r="154" customFormat="false" ht="15" hidden="false" customHeight="false" outlineLevel="0" collapsed="false">
      <c r="A154" s="26" t="str">
        <f aca="false">Catálogo_Itens!$D$18</f>
        <v>ONT HUAWEI EG8145X6-10 AX3000</v>
      </c>
      <c r="B154" s="25" t="n">
        <f aca="false">SUMIFS('Controle de Entrega'!$E$6:$E$1575,'Controle de Entrega'!$C$6:$C$1575,$A154,'Controle de Entrega'!$I$6:$I$1575,"CLIENTE*")</f>
        <v>0</v>
      </c>
    </row>
    <row r="155" customFormat="false" ht="15" hidden="false" customHeight="false" outlineLevel="0" collapsed="false">
      <c r="A155" s="26" t="str">
        <f aca="false">Catálogo_Itens!$D$19</f>
        <v>WDC ONT NOKIA 1425-GA</v>
      </c>
      <c r="B155" s="25" t="n">
        <f aca="false">SUMIFS('Controle de Entrega'!$E$6:$E$1575,'Controle de Entrega'!$C$6:$C$1575,$A155,'Controle de Entrega'!$I$6:$I$1575,"CLIENTE*")</f>
        <v>0</v>
      </c>
    </row>
    <row r="156" customFormat="false" ht="15" hidden="false" customHeight="false" outlineLevel="0" collapsed="false">
      <c r="A156" s="26" t="str">
        <f aca="false">Catálogo_Itens!$D$20</f>
        <v>ONU SIMPLES GPON 1 PORTA</v>
      </c>
      <c r="B156" s="25" t="n">
        <f aca="false">SUMIFS('Controle de Entrega'!$E$6:$E$1575,'Controle de Entrega'!$C$6:$C$1575,$A156,'Controle de Entrega'!$I$6:$I$1575,"CLIENTE*")</f>
        <v>0</v>
      </c>
    </row>
    <row r="157" customFormat="false" ht="15" hidden="false" customHeight="false" outlineLevel="0" collapsed="false">
      <c r="A157" s="26" t="str">
        <f aca="false">Catálogo_Itens!$D$21</f>
        <v>FIBERHOME MODEL AN5506-04</v>
      </c>
      <c r="B157" s="25" t="n">
        <f aca="false">SUMIFS('Controle de Entrega'!$E$6:$E$1575,'Controle de Entrega'!$C$6:$C$1575,$A157,'Controle de Entrega'!$I$6:$I$1575,"CLIENTE*")</f>
        <v>0</v>
      </c>
    </row>
    <row r="158" customFormat="false" ht="15" hidden="false" customHeight="false" outlineLevel="0" collapsed="false">
      <c r="A158" s="26" t="str">
        <f aca="false">Catálogo_Itens!$D$22</f>
        <v>1GE GPON ONT</v>
      </c>
      <c r="B158" s="25" t="n">
        <f aca="false">SUMIFS('Controle de Entrega'!$E$6:$E$1575,'Controle de Entrega'!$C$6:$C$1575,$A158,'Controle de Entrega'!$I$6:$I$1575,"CLIENTE*")</f>
        <v>0</v>
      </c>
    </row>
    <row r="159" customFormat="false" ht="15" hidden="false" customHeight="false" outlineLevel="0" collapsed="false">
      <c r="A159" s="26" t="str">
        <f aca="false">Catálogo_Itens!$D$23</f>
        <v>AcAP MESH HUAWEI ECHOLIFE WA8021V5</v>
      </c>
      <c r="B159" s="25" t="n">
        <f aca="false">SUMIFS('Controle de Entrega'!$E$6:$E$1575,'Controle de Entrega'!$C$6:$C$1575,$A159,'Controle de Entrega'!$I$6:$I$1575,"CLIENTE*")</f>
        <v>0</v>
      </c>
    </row>
    <row r="160" customFormat="false" ht="15" hidden="false" customHeight="false" outlineLevel="0" collapsed="false">
      <c r="A160" s="26" t="str">
        <f aca="false">Catálogo_Itens!$D$24</f>
        <v>ROKU STREAMING SEMINOVO</v>
      </c>
      <c r="B160" s="25" t="n">
        <f aca="false">SUMIFS('Controle de Entrega'!$E$6:$E$1575,'Controle de Entrega'!$C$6:$C$1575,$A160,'Controle de Entrega'!$I$6:$I$1575,"CLIENTE*")</f>
        <v>0</v>
      </c>
    </row>
    <row r="161" customFormat="false" ht="15" hidden="false" customHeight="false" outlineLevel="0" collapsed="false">
      <c r="A161" s="26" t="str">
        <f aca="false">Catálogo_Itens!$D$25</f>
        <v> ONU GPON ZTE F6600P AX18000 DUAL-BAND WIFI 6</v>
      </c>
      <c r="B161" s="25" t="n">
        <f aca="false">SUMIFS('Controle de Entrega'!$E$6:$E$1575,'Controle de Entrega'!$C$6:$C$1575,$A161,'Controle de Entrega'!$I$6:$I$1575,"CLIENTE*")</f>
        <v>0</v>
      </c>
    </row>
    <row r="162" customFormat="false" ht="15" hidden="false" customHeight="false" outlineLevel="0" collapsed="false">
      <c r="A162" s="26" t="str">
        <f aca="false">Catálogo_Itens!$D$26</f>
        <v>Mesh ZTE H3601PI AX3000 Wi-Fi 6 SEMINOVO</v>
      </c>
      <c r="B162" s="25" t="n">
        <f aca="false">SUMIFS('Controle de Entrega'!$E$6:$E$1575,'Controle de Entrega'!$C$6:$C$1575,$A162,'Controle de Entrega'!$I$6:$I$1575,"CLIENTE*")</f>
        <v>0</v>
      </c>
    </row>
    <row r="163" customFormat="false" ht="15" hidden="false" customHeight="false" outlineLevel="0" collapsed="false">
      <c r="A163" s="26" t="str">
        <f aca="false">Catálogo_Itens!$D$27</f>
        <v>ROTEADOR MESH ZYXEL EX3320-T1 AX3000 WIFI 6</v>
      </c>
      <c r="B163" s="25" t="n">
        <f aca="false">SUMIFS('Controle de Entrega'!$E$6:$E$1575,'Controle de Entrega'!$C$6:$C$1575,$A163,'Controle de Entrega'!$I$6:$I$1575,"CLIENTE*")</f>
        <v>0</v>
      </c>
    </row>
    <row r="164" customFormat="false" ht="15" hidden="false" customHeight="false" outlineLevel="0" collapsed="false">
      <c r="A164" s="26" t="str">
        <f aca="false">Catálogo_Itens!$D$28</f>
        <v>ONT FIBERHOME HG6145F3 AX3000</v>
      </c>
      <c r="B164" s="25" t="n">
        <f aca="false">SUMIFS('Controle de Entrega'!$E$6:$E$1575,'Controle de Entrega'!$C$6:$C$1575,$A164,'Controle de Entrega'!$I$6:$I$1575,"CLIENTE*")</f>
        <v>0</v>
      </c>
    </row>
    <row r="165" customFormat="false" ht="15" hidden="false" customHeight="false" outlineLevel="0" collapsed="false">
      <c r="A165" s="26" t="str">
        <f aca="false">Catálogo_Itens!$D$29</f>
        <v>ONU GPON WIFI COMPLETA</v>
      </c>
      <c r="B165" s="25" t="n">
        <f aca="false">SUMIFS('Controle de Entrega'!$E$6:$E$1575,'Controle de Entrega'!$C$6:$C$1575,$A165,'Controle de Entrega'!$I$6:$I$1575,"CLIENTE*")</f>
        <v>0</v>
      </c>
    </row>
    <row r="166" customFormat="false" ht="15" hidden="false" customHeight="false" outlineLevel="0" collapsed="false">
      <c r="A166" s="26" t="str">
        <f aca="false">Catálogo_Itens!$D$30</f>
        <v>ONU VIAREAL</v>
      </c>
      <c r="B166" s="25" t="n">
        <f aca="false">SUMIFS('Controle de Entrega'!$E$6:$E$1575,'Controle de Entrega'!$C$6:$C$1575,$A166,'Controle de Entrega'!$I$6:$I$1575,"CLIENTE*")</f>
        <v>0</v>
      </c>
    </row>
    <row r="167" customFormat="false" ht="15" hidden="false" customHeight="false" outlineLevel="0" collapsed="false">
      <c r="A167" s="26" t="str">
        <f aca="false">Catálogo_Itens!$D$31</f>
        <v>ONU AN5506-04-FG</v>
      </c>
      <c r="B167" s="25" t="n">
        <f aca="false">SUMIFS('Controle de Entrega'!$E$6:$E$1575,'Controle de Entrega'!$C$6:$C$1575,$A167,'Controle de Entrega'!$I$6:$I$1575,"CLIENTE*")</f>
        <v>0</v>
      </c>
    </row>
    <row r="168" customFormat="false" ht="15" hidden="false" customHeight="false" outlineLevel="0" collapsed="false">
      <c r="A168" s="26" t="str">
        <f aca="false">Catálogo_Itens!$D$32</f>
        <v>ONU TPLINK</v>
      </c>
      <c r="B168" s="25" t="n">
        <f aca="false">SUMIFS('Controle de Entrega'!$E$6:$E$1575,'Controle de Entrega'!$C$6:$C$1575,$A168,'Controle de Entrega'!$I$6:$I$1575,"CLIENTE*")</f>
        <v>0</v>
      </c>
    </row>
    <row r="169" customFormat="false" ht="15" hidden="false" customHeight="false" outlineLevel="0" collapsed="false">
      <c r="A169" s="26" t="str">
        <f aca="false">Catálogo_Itens!$D$33</f>
        <v>ONU VIA REAL</v>
      </c>
      <c r="B169" s="25" t="n">
        <f aca="false">SUMIFS('Controle de Entrega'!$E$6:$E$1575,'Controle de Entrega'!$C$6:$C$1575,$A169,'Controle de Entrega'!$I$6:$I$1575,"CLIENTE*")</f>
        <v>0</v>
      </c>
    </row>
    <row r="170" customFormat="false" ht="15" hidden="false" customHeight="false" outlineLevel="0" collapsed="false">
      <c r="A170" s="26" t="str">
        <f aca="false">Catálogo_Itens!$D$34</f>
        <v>ROTEADOR TP-LINK WIRELESS AC750 ARCHER C20 DUAL BAND 3 ANT</v>
      </c>
      <c r="B170" s="25" t="n">
        <f aca="false">SUMIFS('Controle de Entrega'!$E$6:$E$1575,'Controle de Entrega'!$C$6:$C$1575,$A170,'Controle de Entrega'!$I$6:$I$1575,"CLIENTE*")</f>
        <v>0</v>
      </c>
    </row>
    <row r="171" customFormat="false" ht="15" hidden="false" customHeight="false" outlineLevel="0" collapsed="false">
      <c r="A171" s="26" t="str">
        <f aca="false">Catálogo_Itens!$D$35</f>
        <v>ONU FIBERHOME </v>
      </c>
      <c r="B171" s="25" t="n">
        <f aca="false">SUMIFS('Controle de Entrega'!$E$6:$E$1575,'Controle de Entrega'!$C$6:$C$1575,$A171,'Controle de Entrega'!$I$6:$I$1575,"CLIENTE*")</f>
        <v>0</v>
      </c>
    </row>
    <row r="172" customFormat="false" ht="15" hidden="false" customHeight="false" outlineLevel="0" collapsed="false">
      <c r="A172" s="26" t="str">
        <f aca="false">Catálogo_Itens!$D$36</f>
        <v>Mesh ZTE H3601PI AX3000 Wi-Fi 6</v>
      </c>
      <c r="B172" s="25" t="n">
        <f aca="false">SUMIFS('Controle de Entrega'!$E$6:$E$1575,'Controle de Entrega'!$C$6:$C$1575,$A172,'Controle de Entrega'!$I$6:$I$1575,"CLIENTE*")</f>
        <v>0</v>
      </c>
    </row>
    <row r="173" customFormat="false" ht="15" hidden="false" customHeight="false" outlineLevel="0" collapsed="false">
      <c r="A173" s="26" t="str">
        <f aca="false">Catálogo_Itens!$D$37</f>
        <v>ONU FIBERHOME AN5506</v>
      </c>
      <c r="B173" s="25" t="n">
        <f aca="false">SUMIFS('Controle de Entrega'!$E$6:$E$1575,'Controle de Entrega'!$C$6:$C$1575,$A173,'Controle de Entrega'!$I$6:$I$1575,"CLIENTE*")</f>
        <v>0</v>
      </c>
    </row>
    <row r="174" customFormat="false" ht="15" hidden="false" customHeight="false" outlineLevel="0" collapsed="false">
      <c r="A174" s="26" t="str">
        <f aca="false">Catálogo_Itens!$D$38</f>
        <v>ONT NOKIA G- 1425-GB</v>
      </c>
      <c r="B174" s="25" t="n">
        <f aca="false">SUMIFS('Controle de Entrega'!$E$6:$E$1575,'Controle de Entrega'!$C$6:$C$1575,$A174,'Controle de Entrega'!$I$6:$I$1575,"CLIENTE*")</f>
        <v>0</v>
      </c>
    </row>
    <row r="175" customFormat="false" ht="15" hidden="false" customHeight="false" outlineLevel="0" collapsed="false">
      <c r="A175" s="26" t="str">
        <f aca="false">Catálogo_Itens!$D$39</f>
        <v>ONU TP LINK AC1200</v>
      </c>
      <c r="B175" s="25" t="n">
        <f aca="false">SUMIFS('Controle de Entrega'!$E$6:$E$1575,'Controle de Entrega'!$C$6:$C$1575,$A175,'Controle de Entrega'!$I$6:$I$1575,"CLIENTE*")</f>
        <v>0</v>
      </c>
    </row>
    <row r="176" customFormat="false" ht="15" hidden="false" customHeight="false" outlineLevel="0" collapsed="false">
      <c r="A176" s="26" t="str">
        <f aca="false">Catálogo_Itens!$D$40</f>
        <v>TP LINK AC750N</v>
      </c>
      <c r="B176" s="25" t="n">
        <f aca="false">SUMIFS('Controle de Entrega'!$E$6:$E$1575,'Controle de Entrega'!$C$6:$C$1575,$A176,'Controle de Entrega'!$I$6:$I$1575,"CLIENTE*")</f>
        <v>0</v>
      </c>
    </row>
    <row r="177" customFormat="false" ht="15" hidden="false" customHeight="false" outlineLevel="0" collapsed="false">
      <c r="A177" s="26" t="str">
        <f aca="false">Catálogo_Itens!$D$41</f>
        <v>GPON ONT ANATEL </v>
      </c>
      <c r="B177" s="25" t="n">
        <f aca="false">SUMIFS('Controle de Entrega'!$E$6:$E$1575,'Controle de Entrega'!$C$6:$C$1575,$A177,'Controle de Entrega'!$I$6:$I$1575,"CLIENTE*")</f>
        <v>0</v>
      </c>
    </row>
    <row r="178" customFormat="false" ht="15" hidden="false" customHeight="false" outlineLevel="0" collapsed="false">
      <c r="A178" s="26" t="str">
        <f aca="false">Catálogo_Itens!$D$42</f>
        <v>GPON ONT VIAREAL </v>
      </c>
      <c r="B178" s="25" t="n">
        <f aca="false">SUMIFS('Controle de Entrega'!$E$6:$E$1575,'Controle de Entrega'!$C$6:$C$1575,$A178,'Controle de Entrega'!$I$6:$I$1575,"CLIENTE*")</f>
        <v>0</v>
      </c>
    </row>
    <row r="179" customFormat="false" ht="15" hidden="false" customHeight="false" outlineLevel="0" collapsed="false">
      <c r="A179" s="26" t="str">
        <f aca="false">Catálogo_Itens!$D$43</f>
        <v>GPON ONU FIBER HOME MODEL AN5506</v>
      </c>
      <c r="B179" s="25" t="n">
        <f aca="false">SUMIFS('Controle de Entrega'!$E$6:$E$1575,'Controle de Entrega'!$C$6:$C$1575,$A179,'Controle de Entrega'!$I$6:$I$1575,"CLIENTE*")</f>
        <v>0</v>
      </c>
    </row>
    <row r="180" customFormat="false" ht="15" hidden="false" customHeight="false" outlineLevel="0" collapsed="false">
      <c r="A180" s="26" t="str">
        <f aca="false">Catálogo_Itens!$D$44</f>
        <v>GPON ONU FIBERHOME AN5506-04</v>
      </c>
      <c r="B180" s="25" t="n">
        <f aca="false">SUMIFS('Controle de Entrega'!$E$6:$E$1575,'Controle de Entrega'!$C$6:$C$1575,$A180,'Controle de Entrega'!$I$6:$I$1575,"CLIENTE*")</f>
        <v>0</v>
      </c>
    </row>
    <row r="181" customFormat="false" ht="15" hidden="false" customHeight="false" outlineLevel="0" collapsed="false">
      <c r="A181" s="26" t="str">
        <f aca="false">Catálogo_Itens!$D$45</f>
        <v>FIBERHOME ONU HG6143D GPON WI-FI AC 1200M / ENTREGOU EQUIPAMENTO DANIFICADO POR CLIENTE </v>
      </c>
      <c r="B181" s="25" t="n">
        <f aca="false">SUMIFS('Controle de Entrega'!$E$6:$E$1575,'Controle de Entrega'!$C$6:$C$1575,$A181,'Controle de Entrega'!$I$6:$I$1575,"CLIENTE*")</f>
        <v>0</v>
      </c>
    </row>
    <row r="182" customFormat="false" ht="15" hidden="false" customHeight="false" outlineLevel="0" collapsed="false">
      <c r="A182" s="26" t="str">
        <f aca="false">Catálogo_Itens!$D$46</f>
        <v>TP LINK AC750 </v>
      </c>
      <c r="B182" s="25" t="n">
        <f aca="false">SUMIFS('Controle de Entrega'!$E$6:$E$1575,'Controle de Entrega'!$C$6:$C$1575,$A182,'Controle de Entrega'!$I$6:$I$1575,"CLIENTE*")</f>
        <v>0</v>
      </c>
    </row>
    <row r="183" customFormat="false" ht="15" hidden="false" customHeight="false" outlineLevel="0" collapsed="false">
      <c r="A183" s="26" t="str">
        <f aca="false">Catálogo_Itens!$D$47</f>
        <v>GPON VIAREAL </v>
      </c>
      <c r="B183" s="25" t="n">
        <f aca="false">SUMIFS('Controle de Entrega'!$E$6:$E$1575,'Controle de Entrega'!$C$6:$C$1575,$A183,'Controle de Entrega'!$I$6:$I$1575,"CLIENTE*")</f>
        <v>0</v>
      </c>
    </row>
    <row r="184" customFormat="false" ht="15" hidden="false" customHeight="false" outlineLevel="0" collapsed="false">
      <c r="A184" s="26" t="str">
        <f aca="false">Catálogo_Itens!$D$48</f>
        <v>FIBERHOME AN5506-04</v>
      </c>
      <c r="B184" s="25" t="n">
        <f aca="false">SUMIFS('Controle de Entrega'!$E$6:$E$1575,'Controle de Entrega'!$C$6:$C$1575,$A184,'Controle de Entrega'!$I$6:$I$1575,"CLIENTE*")</f>
        <v>0</v>
      </c>
    </row>
    <row r="185" customFormat="false" ht="15" hidden="false" customHeight="false" outlineLevel="0" collapsed="false">
      <c r="A185" s="26" t="str">
        <f aca="false">Catálogo_Itens!$D$49</f>
        <v>1 GPON ONT ANATEL</v>
      </c>
      <c r="B185" s="25" t="n">
        <f aca="false">SUMIFS('Controle de Entrega'!$E$6:$E$1575,'Controle de Entrega'!$C$6:$C$1575,$A185,'Controle de Entrega'!$I$6:$I$1575,"CLIENTE*")</f>
        <v>0</v>
      </c>
    </row>
    <row r="186" customFormat="false" ht="15" hidden="false" customHeight="false" outlineLevel="0" collapsed="false">
      <c r="A186" s="26" t="str">
        <f aca="false">Catálogo_Itens!$D$50</f>
        <v>MESH HUAWEI K562 AX3000</v>
      </c>
      <c r="B186" s="25" t="n">
        <f aca="false">SUMIFS('Controle de Entrega'!$E$6:$E$1575,'Controle de Entrega'!$C$6:$C$1575,$A186,'Controle de Entrega'!$I$6:$I$1575,"CLIENTE*")</f>
        <v>0</v>
      </c>
    </row>
    <row r="187" customFormat="false" ht="15" hidden="false" customHeight="false" outlineLevel="0" collapsed="false">
      <c r="A187" s="26" t="str">
        <f aca="false">Catálogo_Itens!$D$51</f>
        <v>ONU EPON WIFI COMPLETA</v>
      </c>
      <c r="B187" s="25" t="n">
        <f aca="false">SUMIFS('Controle de Entrega'!$E$6:$E$1575,'Controle de Entrega'!$C$6:$C$1575,$A187,'Controle de Entrega'!$I$6:$I$1575,"CLIENTE*")</f>
        <v>0</v>
      </c>
    </row>
    <row r="188" customFormat="false" ht="15" hidden="false" customHeight="false" outlineLevel="0" collapsed="false">
      <c r="A188" s="26" t="str">
        <f aca="false">Catálogo_Itens!$D$52</f>
        <v>ONU GPON ZTE F6600P AX18000 DUAL-BAND WIFI 6</v>
      </c>
      <c r="B188" s="25" t="n">
        <f aca="false">SUMIFS('Controle de Entrega'!$E$6:$E$1575,'Controle de Entrega'!$C$6:$C$1575,$A188,'Controle de Entrega'!$I$6:$I$1575,"CLIENTE*")</f>
        <v>0</v>
      </c>
    </row>
    <row r="189" customFormat="false" ht="15" hidden="false" customHeight="false" outlineLevel="0" collapsed="false">
      <c r="A189" s="26" t="str">
        <f aca="false">Catálogo_Itens!$D$53</f>
        <v>GPON INTELBRAS WRN150</v>
      </c>
      <c r="B189" s="25" t="n">
        <f aca="false">SUMIFS('Controle de Entrega'!$E$6:$E$1575,'Controle de Entrega'!$C$6:$C$1575,$A189,'Controle de Entrega'!$I$6:$I$1575,"CLIENTE*")</f>
        <v>0</v>
      </c>
    </row>
    <row r="190" customFormat="false" ht="15" hidden="false" customHeight="false" outlineLevel="0" collapsed="false">
      <c r="A190" s="26" t="str">
        <f aca="false">Catálogo_Itens!$D$54</f>
        <v>TP LINK ARCHER C5&lt;W&gt; AC1200</v>
      </c>
      <c r="B190" s="25" t="n">
        <f aca="false">SUMIFS('Controle de Entrega'!$E$6:$E$1575,'Controle de Entrega'!$C$6:$C$1575,$A190,'Controle de Entrega'!$I$6:$I$1575,"CLIENTE*")</f>
        <v>0</v>
      </c>
    </row>
    <row r="191" customFormat="false" ht="15" hidden="false" customHeight="false" outlineLevel="0" collapsed="false">
      <c r="A191" s="26" t="str">
        <f aca="false">Catálogo_Itens!$D$55</f>
        <v>INTELBRAS WRN150</v>
      </c>
      <c r="B191" s="25" t="n">
        <f aca="false">SUMIFS('Controle de Entrega'!$E$6:$E$1575,'Controle de Entrega'!$C$6:$C$1575,$A191,'Controle de Entrega'!$I$6:$I$1575,"CLIENTE*")</f>
        <v>0</v>
      </c>
    </row>
    <row r="192" customFormat="false" ht="15" hidden="false" customHeight="false" outlineLevel="0" collapsed="false">
      <c r="A192" s="26" t="str">
        <f aca="false">Catálogo_Itens!$D$56</f>
        <v>HG8245W5-6T GPON 1G Terminal,SC/APC</v>
      </c>
      <c r="B192" s="25" t="n">
        <f aca="false">SUMIFS('Controle de Entrega'!$E$6:$E$1575,'Controle de Entrega'!$C$6:$C$1575,$A192,'Controle de Entrega'!$I$6:$I$1575,"CLIENTE*")</f>
        <v>0</v>
      </c>
    </row>
    <row r="193" customFormat="false" ht="15" hidden="false" customHeight="false" outlineLevel="0" collapsed="false">
      <c r="A193" s="26" t="str">
        <f aca="false">Catálogo_Itens!$D$57</f>
        <v>ONT VIA REAL</v>
      </c>
      <c r="B193" s="25" t="n">
        <f aca="false">SUMIFS('Controle de Entrega'!$E$6:$E$1575,'Controle de Entrega'!$C$6:$C$1575,$A193,'Controle de Entrega'!$I$6:$I$1575,"CLIENTE*")</f>
        <v>0</v>
      </c>
    </row>
    <row r="194" customFormat="false" ht="15" hidden="false" customHeight="false" outlineLevel="0" collapsed="false">
      <c r="A194" s="26" t="str">
        <f aca="false">Catálogo_Itens!$D$58</f>
        <v>TP LINK TL-WR841HP</v>
      </c>
      <c r="B194" s="25" t="n">
        <f aca="false">SUMIFS('Controle de Entrega'!$E$6:$E$1575,'Controle de Entrega'!$C$6:$C$1575,$A194,'Controle de Entrega'!$I$6:$I$1575,"CLIENTE*")</f>
        <v>0</v>
      </c>
    </row>
    <row r="195" customFormat="false" ht="15" hidden="false" customHeight="false" outlineLevel="0" collapsed="false">
      <c r="A195" s="26" t="str">
        <f aca="false">Catálogo_Itens!$D$59</f>
        <v>AUDIO CODE</v>
      </c>
      <c r="B195" s="25" t="n">
        <f aca="false">SUMIFS('Controle de Entrega'!$E$6:$E$1575,'Controle de Entrega'!$C$6:$C$1575,$A195,'Controle de Entrega'!$I$6:$I$1575,"CLIENTE*")</f>
        <v>0</v>
      </c>
    </row>
    <row r="196" customFormat="false" ht="15" hidden="false" customHeight="false" outlineLevel="0" collapsed="false">
      <c r="A196" s="26" t="str">
        <f aca="false">Catálogo_Itens!$D$60</f>
        <v>TP LINK AC1200</v>
      </c>
      <c r="B196" s="25" t="n">
        <f aca="false">SUMIFS('Controle de Entrega'!$E$6:$E$1575,'Controle de Entrega'!$C$6:$C$1575,$A196,'Controle de Entrega'!$I$6:$I$1575,"CLIENTE*")</f>
        <v>0</v>
      </c>
    </row>
    <row r="197" customFormat="false" ht="15" hidden="false" customHeight="false" outlineLevel="0" collapsed="false">
      <c r="A197" s="26" t="str">
        <f aca="false">Catálogo_Itens!$D$61</f>
        <v>ONU GPON ZTE F6201B AX3000 DUAL-BAND WIFI 6</v>
      </c>
      <c r="B197" s="25" t="n">
        <f aca="false">SUMIFS('Controle de Entrega'!$E$6:$E$1575,'Controle de Entrega'!$C$6:$C$1575,$A197,'Controle de Entrega'!$I$6:$I$1575,"CLIENTE*")</f>
        <v>0</v>
      </c>
    </row>
    <row r="198" customFormat="false" ht="15" hidden="false" customHeight="false" outlineLevel="0" collapsed="false">
      <c r="A198" s="26" t="str">
        <f aca="false">Catálogo_Itens!$D$62</f>
        <v>ONT VIAREAL </v>
      </c>
      <c r="B198" s="25" t="n">
        <f aca="false">SUMIFS('Controle de Entrega'!$E$6:$E$1575,'Controle de Entrega'!$C$6:$C$1575,$A198,'Controle de Entrega'!$I$6:$I$1575,"CLIENTE*")</f>
        <v>0</v>
      </c>
    </row>
    <row r="199" customFormat="false" ht="15" hidden="false" customHeight="false" outlineLevel="0" collapsed="false">
      <c r="A199" s="26" t="str">
        <f aca="false">Catálogo_Itens!$D$63</f>
        <v>ONU GPON ZTE F6201B AX3000 DUAL-BAND WIFI 6 SEMINOVO</v>
      </c>
      <c r="B199" s="25" t="n">
        <f aca="false">SUMIFS('Controle de Entrega'!$E$6:$E$1575,'Controle de Entrega'!$C$6:$C$1575,$A199,'Controle de Entrega'!$I$6:$I$1575,"CLIENTE*")</f>
        <v>0</v>
      </c>
    </row>
    <row r="200" customFormat="false" ht="15" hidden="false" customHeight="false" outlineLevel="0" collapsed="false">
      <c r="A200" s="26" t="str">
        <f aca="false">Catálogo_Itens!$D$64</f>
        <v>GRANDSTREAM </v>
      </c>
      <c r="B200" s="25" t="n">
        <f aca="false">SUMIFS('Controle de Entrega'!$E$6:$E$1575,'Controle de Entrega'!$C$6:$C$1575,$A200,'Controle de Entrega'!$I$6:$I$1575,"CLIENTE*")</f>
        <v>0</v>
      </c>
    </row>
    <row r="201" customFormat="false" ht="15" hidden="false" customHeight="false" outlineLevel="0" collapsed="false">
      <c r="A201" s="26" t="str">
        <f aca="false">Catálogo_Itens!$D$65</f>
        <v>TPLINK ARCHER C5</v>
      </c>
      <c r="B201" s="25" t="n">
        <f aca="false">SUMIFS('Controle de Entrega'!$E$6:$E$1575,'Controle de Entrega'!$C$6:$C$1575,$A201,'Controle de Entrega'!$I$6:$I$1575,"CLIENTE*")</f>
        <v>0</v>
      </c>
    </row>
    <row r="202" customFormat="false" ht="15" hidden="false" customHeight="false" outlineLevel="0" collapsed="false">
      <c r="A202" s="26" t="str">
        <f aca="false">Catálogo_Itens!$D$66</f>
        <v>GPON ONT </v>
      </c>
      <c r="B202" s="25" t="n">
        <f aca="false">SUMIFS('Controle de Entrega'!$E$6:$E$1575,'Controle de Entrega'!$C$6:$C$1575,$A202,'Controle de Entrega'!$I$6:$I$1575,"CLIENTE*")</f>
        <v>0</v>
      </c>
    </row>
    <row r="203" customFormat="false" ht="15" hidden="false" customHeight="false" outlineLevel="0" collapsed="false">
      <c r="A203" s="26" t="str">
        <f aca="false">Catálogo_Itens!$D$67</f>
        <v>1GE GPON ONT ( MAC COM DIFICULDADE DE LEITURA </v>
      </c>
      <c r="B203" s="25" t="n">
        <f aca="false">SUMIFS('Controle de Entrega'!$E$6:$E$1575,'Controle de Entrega'!$C$6:$C$1575,$A203,'Controle de Entrega'!$I$6:$I$1575,"CLIENTE*")</f>
        <v>0</v>
      </c>
    </row>
    <row r="205" customFormat="false" ht="15" hidden="false" customHeight="false" outlineLevel="0" collapsed="false">
      <c r="A205" s="18" t="s">
        <v>96</v>
      </c>
    </row>
    <row r="206" customFormat="false" ht="15" hidden="false" customHeight="false" outlineLevel="0" collapsed="false">
      <c r="A206" s="3" t="s">
        <v>97</v>
      </c>
      <c r="B206" s="3" t="s">
        <v>51</v>
      </c>
    </row>
    <row r="207" customFormat="false" ht="15" hidden="false" customHeight="false" outlineLevel="0" collapsed="false">
      <c r="A207" s="26" t="s">
        <v>98</v>
      </c>
      <c r="B207" s="25" t="n">
        <f aca="false">SUMIFS('Controle de Entrega'!$E$6:$E$1575,'Controle de Entrega'!$G$6:$G$1575,"&gt;="&amp;$C$3,'Controle de Entrega'!$G$6:$G$1575,"&lt;="&amp;$E$3,'Controle de Entrega'!$I$6:$I$1575,"CLIENTE*")</f>
        <v>22</v>
      </c>
    </row>
    <row r="208" customFormat="false" ht="15" hidden="false" customHeight="false" outlineLevel="0" collapsed="false">
      <c r="A208" s="26" t="s">
        <v>99</v>
      </c>
      <c r="B208" s="25" t="n">
        <f aca="false">SUMIFS('Controle de Entrega'!$E$6:$E$1575,'Controle de Entrega'!$G$6:$G$1575,"&gt;="&amp;$C$3,'Controle de Entrega'!$G$6:$G$1575,"&lt;="&amp;$E$3)-B207</f>
        <v>18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53"/>
  <sheetViews>
    <sheetView showFormulas="false" showGridLines="false" showRowColHeaders="true" showZeros="true" rightToLeft="false" tabSelected="false" showOutlineSymbols="true" defaultGridColor="true" view="normal" topLeftCell="A49" colorId="64" zoomScale="100" zoomScaleNormal="100" zoomScalePageLayoutView="100" workbookViewId="0">
      <selection pane="topLeft" activeCell="D7" activeCellId="0" sqref="D7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64.57"/>
    <col collapsed="false" customWidth="true" hidden="false" outlineLevel="0" max="6" min="6" style="0" width="14.71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13.42"/>
  </cols>
  <sheetData>
    <row r="2" customFormat="false" ht="15" hidden="false" customHeight="false" outlineLevel="0" collapsed="false">
      <c r="B2" s="32"/>
      <c r="C2" s="33"/>
      <c r="D2" s="33"/>
      <c r="E2" s="33"/>
    </row>
    <row r="4" customFormat="false" ht="25.5" hidden="false" customHeight="true" outlineLevel="0" collapsed="false">
      <c r="B4" s="34" t="s">
        <v>100</v>
      </c>
      <c r="C4" s="34"/>
      <c r="D4" s="34"/>
      <c r="E4" s="34"/>
      <c r="F4" s="34"/>
      <c r="G4" s="34"/>
      <c r="H4" s="34"/>
    </row>
    <row r="5" customFormat="false" ht="30" hidden="false" customHeight="true" outlineLevel="0" collapsed="false">
      <c r="B5" s="35" t="s">
        <v>101</v>
      </c>
      <c r="C5" s="35"/>
      <c r="D5" s="35"/>
      <c r="E5" s="35"/>
      <c r="F5" s="35"/>
      <c r="G5" s="35"/>
      <c r="H5" s="35"/>
    </row>
    <row r="6" customFormat="false" ht="15" hidden="false" customHeight="false" outlineLevel="0" collapsed="false">
      <c r="C6" s="9" t="s">
        <v>34</v>
      </c>
      <c r="D6" s="10" t="s">
        <v>8</v>
      </c>
      <c r="E6" s="10"/>
      <c r="F6" s="10"/>
    </row>
    <row r="7" customFormat="false" ht="15" hidden="false" customHeight="false" outlineLevel="0" collapsed="false">
      <c r="C7" s="9" t="s">
        <v>102</v>
      </c>
      <c r="D7" s="14" t="n">
        <v>46117</v>
      </c>
    </row>
    <row r="9" customFormat="false" ht="15" hidden="false" customHeight="false" outlineLevel="0" collapsed="false">
      <c r="B9" s="32" t="s">
        <v>103</v>
      </c>
      <c r="C9" s="36" t="str">
        <f aca="false">IF($D$7="","",TEXT(DAY($D$7),"0")&amp;" de "&amp;CHOOSE(MONTH($D$7),"janeiro","fevereiro","março","abril","maio","junho","julho","agosto","setembro","outubro","novembro","dezembro")&amp;" de "&amp;YEAR($D$7))</f>
        <v>5 de abril de 2026</v>
      </c>
      <c r="D9" s="36"/>
      <c r="E9" s="36"/>
    </row>
    <row r="11" customFormat="false" ht="25.5" hidden="false" customHeight="true" outlineLevel="0" collapsed="false">
      <c r="B11" s="37" t="s">
        <v>54</v>
      </c>
      <c r="C11" s="37" t="s">
        <v>55</v>
      </c>
      <c r="D11" s="37" t="s">
        <v>46</v>
      </c>
      <c r="E11" s="37" t="s">
        <v>49</v>
      </c>
      <c r="F11" s="37" t="s">
        <v>56</v>
      </c>
      <c r="G11" s="37" t="s">
        <v>51</v>
      </c>
      <c r="H11" s="37" t="s">
        <v>59</v>
      </c>
      <c r="I11" s="37" t="s">
        <v>60</v>
      </c>
    </row>
    <row r="12" customFormat="false" ht="15" hidden="false" customHeight="false" outlineLevel="0" collapsed="false">
      <c r="B12" s="38" t="n">
        <v>1</v>
      </c>
      <c r="C12" s="38" t="str">
        <f aca="false">IFERROR(INDEX('Controle de Entrega'!$A$6:$A$1575,MATCH($B12,'Controle de Entrega'!$M$6:$M$1575,0)),"")</f>
        <v/>
      </c>
      <c r="D12" s="38" t="str">
        <f aca="false">IFERROR(INDEX('Controle de Entrega'!$B$6:$B$1575,MATCH($B12,'Controle de Entrega'!$M$6:$M$1575,0)),"")</f>
        <v/>
      </c>
      <c r="E12" s="39" t="str">
        <f aca="false">IFERROR(INDEX('Controle de Entrega'!$C$6:$C$1575,MATCH($B12,'Controle de Entrega'!$M$6:$M$1575,0)),"")</f>
        <v/>
      </c>
      <c r="F12" s="38" t="str">
        <f aca="false">IFERROR(INDEX('Controle de Entrega'!$D$6:$D$1575,MATCH($B12,'Controle de Entrega'!$M$6:$M$1575,0)),"")</f>
        <v/>
      </c>
      <c r="G12" s="38" t="str">
        <f aca="false">IFERROR(INDEX('Controle de Entrega'!$E$6:$E$1575,MATCH($B12,'Controle de Entrega'!$M$6:$M$1575,0)),"")</f>
        <v/>
      </c>
      <c r="H12" s="38" t="str">
        <f aca="false">IFERROR(IF(INDEX('Controle de Entrega'!$H$6:$H$1575,MATCH($B12,'Controle de Entrega'!$M$6:$M$1575,0))=0,"",INDEX('Controle de Entrega'!$H$6:$H$1575,MATCH($B12,'Controle de Entrega'!$M$6:$M$1575,0))),"")</f>
        <v/>
      </c>
      <c r="I12" s="39" t="str">
        <f aca="false">IFERROR(IF(INDEX('Controle de Entrega'!$I$6:$I$1575,MATCH($B12,'Controle de Entrega'!$M$6:$M$1575,0))=0,"",INDEX('Controle de Entrega'!$I$6:$I$1575,MATCH($B12,'Controle de Entrega'!$M$6:$M$1575,0))),"")</f>
        <v/>
      </c>
    </row>
    <row r="13" customFormat="false" ht="15" hidden="false" customHeight="false" outlineLevel="0" collapsed="false">
      <c r="B13" s="38" t="n">
        <v>2</v>
      </c>
      <c r="C13" s="38" t="str">
        <f aca="false">IFERROR(INDEX('Controle de Entrega'!$A$6:$A$1575,MATCH($B13,'Controle de Entrega'!$M$6:$M$1575,0)),"")</f>
        <v/>
      </c>
      <c r="D13" s="38" t="str">
        <f aca="false">IFERROR(INDEX('Controle de Entrega'!$B$6:$B$1575,MATCH($B13,'Controle de Entrega'!$M$6:$M$1575,0)),"")</f>
        <v/>
      </c>
      <c r="E13" s="39" t="str">
        <f aca="false">IFERROR(INDEX('Controle de Entrega'!$C$6:$C$1575,MATCH($B13,'Controle de Entrega'!$M$6:$M$1575,0)),"")</f>
        <v/>
      </c>
      <c r="F13" s="38" t="str">
        <f aca="false">IFERROR(INDEX('Controle de Entrega'!$D$6:$D$1575,MATCH($B13,'Controle de Entrega'!$M$6:$M$1575,0)),"")</f>
        <v/>
      </c>
      <c r="G13" s="38" t="str">
        <f aca="false">IFERROR(INDEX('Controle de Entrega'!$E$6:$E$1575,MATCH($B13,'Controle de Entrega'!$M$6:$M$1575,0)),"")</f>
        <v/>
      </c>
      <c r="H13" s="38" t="str">
        <f aca="false">IFERROR(IF(INDEX('Controle de Entrega'!$H$6:$H$1575,MATCH($B13,'Controle de Entrega'!$M$6:$M$1575,0))=0,"",INDEX('Controle de Entrega'!$H$6:$H$1575,MATCH($B13,'Controle de Entrega'!$M$6:$M$1575,0))),"")</f>
        <v/>
      </c>
      <c r="I13" s="39" t="str">
        <f aca="false">IFERROR(IF(INDEX('Controle de Entrega'!$I$6:$I$1575,MATCH($B13,'Controle de Entrega'!$M$6:$M$1575,0))=0,"",INDEX('Controle de Entrega'!$I$6:$I$1575,MATCH($B13,'Controle de Entrega'!$M$6:$M$1575,0))),"")</f>
        <v/>
      </c>
    </row>
    <row r="14" customFormat="false" ht="15" hidden="false" customHeight="false" outlineLevel="0" collapsed="false">
      <c r="B14" s="38" t="n">
        <v>3</v>
      </c>
      <c r="C14" s="38" t="str">
        <f aca="false">IFERROR(INDEX('Controle de Entrega'!$A$6:$A$1575,MATCH($B14,'Controle de Entrega'!$M$6:$M$1575,0)),"")</f>
        <v/>
      </c>
      <c r="D14" s="38" t="str">
        <f aca="false">IFERROR(INDEX('Controle de Entrega'!$B$6:$B$1575,MATCH($B14,'Controle de Entrega'!$M$6:$M$1575,0)),"")</f>
        <v/>
      </c>
      <c r="E14" s="39" t="str">
        <f aca="false">IFERROR(INDEX('Controle de Entrega'!$C$6:$C$1575,MATCH($B14,'Controle de Entrega'!$M$6:$M$1575,0)),"")</f>
        <v/>
      </c>
      <c r="F14" s="38" t="str">
        <f aca="false">IFERROR(INDEX('Controle de Entrega'!$D$6:$D$1575,MATCH($B14,'Controle de Entrega'!$M$6:$M$1575,0)),"")</f>
        <v/>
      </c>
      <c r="G14" s="38" t="str">
        <f aca="false">IFERROR(INDEX('Controle de Entrega'!$E$6:$E$1575,MATCH($B14,'Controle de Entrega'!$M$6:$M$1575,0)),"")</f>
        <v/>
      </c>
      <c r="H14" s="38" t="str">
        <f aca="false">IFERROR(IF(INDEX('Controle de Entrega'!$H$6:$H$1575,MATCH($B14,'Controle de Entrega'!$M$6:$M$1575,0))=0,"",INDEX('Controle de Entrega'!$H$6:$H$1575,MATCH($B14,'Controle de Entrega'!$M$6:$M$1575,0))),"")</f>
        <v/>
      </c>
      <c r="I14" s="39" t="str">
        <f aca="false">IFERROR(IF(INDEX('Controle de Entrega'!$I$6:$I$1575,MATCH($B14,'Controle de Entrega'!$M$6:$M$1575,0))=0,"",INDEX('Controle de Entrega'!$I$6:$I$1575,MATCH($B14,'Controle de Entrega'!$M$6:$M$1575,0))),"")</f>
        <v/>
      </c>
    </row>
    <row r="15" customFormat="false" ht="15" hidden="false" customHeight="false" outlineLevel="0" collapsed="false">
      <c r="B15" s="38" t="n">
        <v>4</v>
      </c>
      <c r="C15" s="38" t="str">
        <f aca="false">IFERROR(INDEX('Controle de Entrega'!$A$6:$A$1575,MATCH($B15,'Controle de Entrega'!$M$6:$M$1575,0)),"")</f>
        <v/>
      </c>
      <c r="D15" s="38" t="str">
        <f aca="false">IFERROR(INDEX('Controle de Entrega'!$B$6:$B$1575,MATCH($B15,'Controle de Entrega'!$M$6:$M$1575,0)),"")</f>
        <v/>
      </c>
      <c r="E15" s="39" t="str">
        <f aca="false">IFERROR(INDEX('Controle de Entrega'!$C$6:$C$1575,MATCH($B15,'Controle de Entrega'!$M$6:$M$1575,0)),"")</f>
        <v/>
      </c>
      <c r="F15" s="38" t="str">
        <f aca="false">IFERROR(INDEX('Controle de Entrega'!$D$6:$D$1575,MATCH($B15,'Controle de Entrega'!$M$6:$M$1575,0)),"")</f>
        <v/>
      </c>
      <c r="G15" s="38" t="str">
        <f aca="false">IFERROR(INDEX('Controle de Entrega'!$E$6:$E$1575,MATCH($B15,'Controle de Entrega'!$M$6:$M$1575,0)),"")</f>
        <v/>
      </c>
      <c r="H15" s="38" t="str">
        <f aca="false">IFERROR(IF(INDEX('Controle de Entrega'!$H$6:$H$1575,MATCH($B15,'Controle de Entrega'!$M$6:$M$1575,0))=0,"",INDEX('Controle de Entrega'!$H$6:$H$1575,MATCH($B15,'Controle de Entrega'!$M$6:$M$1575,0))),"")</f>
        <v/>
      </c>
      <c r="I15" s="39" t="str">
        <f aca="false">IFERROR(IF(INDEX('Controle de Entrega'!$I$6:$I$1575,MATCH($B15,'Controle de Entrega'!$M$6:$M$1575,0))=0,"",INDEX('Controle de Entrega'!$I$6:$I$1575,MATCH($B15,'Controle de Entrega'!$M$6:$M$1575,0))),"")</f>
        <v/>
      </c>
    </row>
    <row r="16" customFormat="false" ht="15" hidden="false" customHeight="false" outlineLevel="0" collapsed="false">
      <c r="B16" s="38" t="n">
        <v>5</v>
      </c>
      <c r="C16" s="38" t="str">
        <f aca="false">IFERROR(INDEX('Controle de Entrega'!$A$6:$A$1575,MATCH($B16,'Controle de Entrega'!$M$6:$M$1575,0)),"")</f>
        <v/>
      </c>
      <c r="D16" s="38" t="str">
        <f aca="false">IFERROR(INDEX('Controle de Entrega'!$B$6:$B$1575,MATCH($B16,'Controle de Entrega'!$M$6:$M$1575,0)),"")</f>
        <v/>
      </c>
      <c r="E16" s="39" t="str">
        <f aca="false">IFERROR(INDEX('Controle de Entrega'!$C$6:$C$1575,MATCH($B16,'Controle de Entrega'!$M$6:$M$1575,0)),"")</f>
        <v/>
      </c>
      <c r="F16" s="38" t="str">
        <f aca="false">IFERROR(INDEX('Controle de Entrega'!$D$6:$D$1575,MATCH($B16,'Controle de Entrega'!$M$6:$M$1575,0)),"")</f>
        <v/>
      </c>
      <c r="G16" s="38" t="str">
        <f aca="false">IFERROR(INDEX('Controle de Entrega'!$E$6:$E$1575,MATCH($B16,'Controle de Entrega'!$M$6:$M$1575,0)),"")</f>
        <v/>
      </c>
      <c r="H16" s="38" t="str">
        <f aca="false">IFERROR(IF(INDEX('Controle de Entrega'!$H$6:$H$1575,MATCH($B16,'Controle de Entrega'!$M$6:$M$1575,0))=0,"",INDEX('Controle de Entrega'!$H$6:$H$1575,MATCH($B16,'Controle de Entrega'!$M$6:$M$1575,0))),"")</f>
        <v/>
      </c>
      <c r="I16" s="39" t="str">
        <f aca="false">IFERROR(IF(INDEX('Controle de Entrega'!$I$6:$I$1575,MATCH($B16,'Controle de Entrega'!$M$6:$M$1575,0))=0,"",INDEX('Controle de Entrega'!$I$6:$I$1575,MATCH($B16,'Controle de Entrega'!$M$6:$M$1575,0))),"")</f>
        <v/>
      </c>
    </row>
    <row r="17" customFormat="false" ht="15" hidden="false" customHeight="false" outlineLevel="0" collapsed="false">
      <c r="B17" s="38" t="n">
        <v>6</v>
      </c>
      <c r="C17" s="38" t="str">
        <f aca="false">IFERROR(INDEX('Controle de Entrega'!$A$6:$A$1575,MATCH($B17,'Controle de Entrega'!$M$6:$M$1575,0)),"")</f>
        <v/>
      </c>
      <c r="D17" s="38" t="str">
        <f aca="false">IFERROR(INDEX('Controle de Entrega'!$B$6:$B$1575,MATCH($B17,'Controle de Entrega'!$M$6:$M$1575,0)),"")</f>
        <v/>
      </c>
      <c r="E17" s="39" t="str">
        <f aca="false">IFERROR(INDEX('Controle de Entrega'!$C$6:$C$1575,MATCH($B17,'Controle de Entrega'!$M$6:$M$1575,0)),"")</f>
        <v/>
      </c>
      <c r="F17" s="38" t="str">
        <f aca="false">IFERROR(INDEX('Controle de Entrega'!$D$6:$D$1575,MATCH($B17,'Controle de Entrega'!$M$6:$M$1575,0)),"")</f>
        <v/>
      </c>
      <c r="G17" s="38" t="str">
        <f aca="false">IFERROR(INDEX('Controle de Entrega'!$E$6:$E$1575,MATCH($B17,'Controle de Entrega'!$M$6:$M$1575,0)),"")</f>
        <v/>
      </c>
      <c r="H17" s="38" t="str">
        <f aca="false">IFERROR(IF(INDEX('Controle de Entrega'!$H$6:$H$1575,MATCH($B17,'Controle de Entrega'!$M$6:$M$1575,0))=0,"",INDEX('Controle de Entrega'!$H$6:$H$1575,MATCH($B17,'Controle de Entrega'!$M$6:$M$1575,0))),"")</f>
        <v/>
      </c>
      <c r="I17" s="39" t="str">
        <f aca="false">IFERROR(IF(INDEX('Controle de Entrega'!$I$6:$I$1575,MATCH($B17,'Controle de Entrega'!$M$6:$M$1575,0))=0,"",INDEX('Controle de Entrega'!$I$6:$I$1575,MATCH($B17,'Controle de Entrega'!$M$6:$M$1575,0))),"")</f>
        <v/>
      </c>
    </row>
    <row r="18" customFormat="false" ht="15" hidden="false" customHeight="false" outlineLevel="0" collapsed="false">
      <c r="B18" s="38" t="n">
        <v>7</v>
      </c>
      <c r="C18" s="38" t="str">
        <f aca="false">IFERROR(INDEX('Controle de Entrega'!$A$6:$A$1575,MATCH($B18,'Controle de Entrega'!$M$6:$M$1575,0)),"")</f>
        <v/>
      </c>
      <c r="D18" s="38" t="str">
        <f aca="false">IFERROR(INDEX('Controle de Entrega'!$B$6:$B$1575,MATCH($B18,'Controle de Entrega'!$M$6:$M$1575,0)),"")</f>
        <v/>
      </c>
      <c r="E18" s="39" t="str">
        <f aca="false">IFERROR(INDEX('Controle de Entrega'!$C$6:$C$1575,MATCH($B18,'Controle de Entrega'!$M$6:$M$1575,0)),"")</f>
        <v/>
      </c>
      <c r="F18" s="38" t="str">
        <f aca="false">IFERROR(INDEX('Controle de Entrega'!$D$6:$D$1575,MATCH($B18,'Controle de Entrega'!$M$6:$M$1575,0)),"")</f>
        <v/>
      </c>
      <c r="G18" s="38" t="str">
        <f aca="false">IFERROR(INDEX('Controle de Entrega'!$E$6:$E$1575,MATCH($B18,'Controle de Entrega'!$M$6:$M$1575,0)),"")</f>
        <v/>
      </c>
      <c r="H18" s="38" t="str">
        <f aca="false">IFERROR(IF(INDEX('Controle de Entrega'!$H$6:$H$1575,MATCH($B18,'Controle de Entrega'!$M$6:$M$1575,0))=0,"",INDEX('Controle de Entrega'!$H$6:$H$1575,MATCH($B18,'Controle de Entrega'!$M$6:$M$1575,0))),"")</f>
        <v/>
      </c>
      <c r="I18" s="39" t="str">
        <f aca="false">IFERROR(IF(INDEX('Controle de Entrega'!$I$6:$I$1575,MATCH($B18,'Controle de Entrega'!$M$6:$M$1575,0))=0,"",INDEX('Controle de Entrega'!$I$6:$I$1575,MATCH($B18,'Controle de Entrega'!$M$6:$M$1575,0))),"")</f>
        <v/>
      </c>
    </row>
    <row r="19" customFormat="false" ht="15" hidden="false" customHeight="false" outlineLevel="0" collapsed="false">
      <c r="B19" s="38" t="n">
        <v>8</v>
      </c>
      <c r="C19" s="38" t="str">
        <f aca="false">IFERROR(INDEX('Controle de Entrega'!$A$6:$A$1575,MATCH($B19,'Controle de Entrega'!$M$6:$M$1575,0)),"")</f>
        <v/>
      </c>
      <c r="D19" s="38" t="str">
        <f aca="false">IFERROR(INDEX('Controle de Entrega'!$B$6:$B$1575,MATCH($B19,'Controle de Entrega'!$M$6:$M$1575,0)),"")</f>
        <v/>
      </c>
      <c r="E19" s="39" t="str">
        <f aca="false">IFERROR(INDEX('Controle de Entrega'!$C$6:$C$1575,MATCH($B19,'Controle de Entrega'!$M$6:$M$1575,0)),"")</f>
        <v/>
      </c>
      <c r="F19" s="38" t="str">
        <f aca="false">IFERROR(INDEX('Controle de Entrega'!$D$6:$D$1575,MATCH($B19,'Controle de Entrega'!$M$6:$M$1575,0)),"")</f>
        <v/>
      </c>
      <c r="G19" s="38" t="str">
        <f aca="false">IFERROR(INDEX('Controle de Entrega'!$E$6:$E$1575,MATCH($B19,'Controle de Entrega'!$M$6:$M$1575,0)),"")</f>
        <v/>
      </c>
      <c r="H19" s="38" t="str">
        <f aca="false">IFERROR(IF(INDEX('Controle de Entrega'!$H$6:$H$1575,MATCH($B19,'Controle de Entrega'!$M$6:$M$1575,0))=0,"",INDEX('Controle de Entrega'!$H$6:$H$1575,MATCH($B19,'Controle de Entrega'!$M$6:$M$1575,0))),"")</f>
        <v/>
      </c>
      <c r="I19" s="39" t="str">
        <f aca="false">IFERROR(IF(INDEX('Controle de Entrega'!$I$6:$I$1575,MATCH($B19,'Controle de Entrega'!$M$6:$M$1575,0))=0,"",INDEX('Controle de Entrega'!$I$6:$I$1575,MATCH($B19,'Controle de Entrega'!$M$6:$M$1575,0))),"")</f>
        <v/>
      </c>
    </row>
    <row r="20" customFormat="false" ht="15" hidden="false" customHeight="false" outlineLevel="0" collapsed="false">
      <c r="B20" s="38" t="n">
        <v>9</v>
      </c>
      <c r="C20" s="38" t="str">
        <f aca="false">IFERROR(INDEX('Controle de Entrega'!$A$6:$A$1575,MATCH($B20,'Controle de Entrega'!$M$6:$M$1575,0)),"")</f>
        <v/>
      </c>
      <c r="D20" s="38" t="str">
        <f aca="false">IFERROR(INDEX('Controle de Entrega'!$B$6:$B$1575,MATCH($B20,'Controle de Entrega'!$M$6:$M$1575,0)),"")</f>
        <v/>
      </c>
      <c r="E20" s="39" t="str">
        <f aca="false">IFERROR(INDEX('Controle de Entrega'!$C$6:$C$1575,MATCH($B20,'Controle de Entrega'!$M$6:$M$1575,0)),"")</f>
        <v/>
      </c>
      <c r="F20" s="38" t="str">
        <f aca="false">IFERROR(INDEX('Controle de Entrega'!$D$6:$D$1575,MATCH($B20,'Controle de Entrega'!$M$6:$M$1575,0)),"")</f>
        <v/>
      </c>
      <c r="G20" s="38" t="str">
        <f aca="false">IFERROR(INDEX('Controle de Entrega'!$E$6:$E$1575,MATCH($B20,'Controle de Entrega'!$M$6:$M$1575,0)),"")</f>
        <v/>
      </c>
      <c r="H20" s="38" t="str">
        <f aca="false">IFERROR(IF(INDEX('Controle de Entrega'!$H$6:$H$1575,MATCH($B20,'Controle de Entrega'!$M$6:$M$1575,0))=0,"",INDEX('Controle de Entrega'!$H$6:$H$1575,MATCH($B20,'Controle de Entrega'!$M$6:$M$1575,0))),"")</f>
        <v/>
      </c>
      <c r="I20" s="39" t="str">
        <f aca="false">IFERROR(IF(INDEX('Controle de Entrega'!$I$6:$I$1575,MATCH($B20,'Controle de Entrega'!$M$6:$M$1575,0))=0,"",INDEX('Controle de Entrega'!$I$6:$I$1575,MATCH($B20,'Controle de Entrega'!$M$6:$M$1575,0))),"")</f>
        <v/>
      </c>
    </row>
    <row r="21" customFormat="false" ht="15" hidden="false" customHeight="false" outlineLevel="0" collapsed="false">
      <c r="B21" s="38" t="n">
        <v>10</v>
      </c>
      <c r="C21" s="38" t="str">
        <f aca="false">IFERROR(INDEX('Controle de Entrega'!$A$6:$A$1575,MATCH($B21,'Controle de Entrega'!$M$6:$M$1575,0)),"")</f>
        <v/>
      </c>
      <c r="D21" s="38" t="str">
        <f aca="false">IFERROR(INDEX('Controle de Entrega'!$B$6:$B$1575,MATCH($B21,'Controle de Entrega'!$M$6:$M$1575,0)),"")</f>
        <v/>
      </c>
      <c r="E21" s="39" t="str">
        <f aca="false">IFERROR(INDEX('Controle de Entrega'!$C$6:$C$1575,MATCH($B21,'Controle de Entrega'!$M$6:$M$1575,0)),"")</f>
        <v/>
      </c>
      <c r="F21" s="38" t="str">
        <f aca="false">IFERROR(INDEX('Controle de Entrega'!$D$6:$D$1575,MATCH($B21,'Controle de Entrega'!$M$6:$M$1575,0)),"")</f>
        <v/>
      </c>
      <c r="G21" s="38" t="str">
        <f aca="false">IFERROR(INDEX('Controle de Entrega'!$E$6:$E$1575,MATCH($B21,'Controle de Entrega'!$M$6:$M$1575,0)),"")</f>
        <v/>
      </c>
      <c r="H21" s="38" t="str">
        <f aca="false">IFERROR(IF(INDEX('Controle de Entrega'!$H$6:$H$1575,MATCH($B21,'Controle de Entrega'!$M$6:$M$1575,0))=0,"",INDEX('Controle de Entrega'!$H$6:$H$1575,MATCH($B21,'Controle de Entrega'!$M$6:$M$1575,0))),"")</f>
        <v/>
      </c>
      <c r="I21" s="39" t="str">
        <f aca="false">IFERROR(IF(INDEX('Controle de Entrega'!$I$6:$I$1575,MATCH($B21,'Controle de Entrega'!$M$6:$M$1575,0))=0,"",INDEX('Controle de Entrega'!$I$6:$I$1575,MATCH($B21,'Controle de Entrega'!$M$6:$M$1575,0))),"")</f>
        <v/>
      </c>
    </row>
    <row r="22" customFormat="false" ht="15" hidden="false" customHeight="false" outlineLevel="0" collapsed="false">
      <c r="B22" s="38" t="n">
        <v>11</v>
      </c>
      <c r="C22" s="38" t="str">
        <f aca="false">IFERROR(INDEX('Controle de Entrega'!$A$6:$A$1575,MATCH($B22,'Controle de Entrega'!$M$6:$M$1575,0)),"")</f>
        <v/>
      </c>
      <c r="D22" s="38" t="str">
        <f aca="false">IFERROR(INDEX('Controle de Entrega'!$B$6:$B$1575,MATCH($B22,'Controle de Entrega'!$M$6:$M$1575,0)),"")</f>
        <v/>
      </c>
      <c r="E22" s="39" t="str">
        <f aca="false">IFERROR(INDEX('Controle de Entrega'!$C$6:$C$1575,MATCH($B22,'Controle de Entrega'!$M$6:$M$1575,0)),"")</f>
        <v/>
      </c>
      <c r="F22" s="38" t="str">
        <f aca="false">IFERROR(INDEX('Controle de Entrega'!$D$6:$D$1575,MATCH($B22,'Controle de Entrega'!$M$6:$M$1575,0)),"")</f>
        <v/>
      </c>
      <c r="G22" s="38" t="str">
        <f aca="false">IFERROR(INDEX('Controle de Entrega'!$E$6:$E$1575,MATCH($B22,'Controle de Entrega'!$M$6:$M$1575,0)),"")</f>
        <v/>
      </c>
      <c r="H22" s="38" t="str">
        <f aca="false">IFERROR(IF(INDEX('Controle de Entrega'!$H$6:$H$1575,MATCH($B22,'Controle de Entrega'!$M$6:$M$1575,0))=0,"",INDEX('Controle de Entrega'!$H$6:$H$1575,MATCH($B22,'Controle de Entrega'!$M$6:$M$1575,0))),"")</f>
        <v/>
      </c>
      <c r="I22" s="39" t="str">
        <f aca="false">IFERROR(IF(INDEX('Controle de Entrega'!$I$6:$I$1575,MATCH($B22,'Controle de Entrega'!$M$6:$M$1575,0))=0,"",INDEX('Controle de Entrega'!$I$6:$I$1575,MATCH($B22,'Controle de Entrega'!$M$6:$M$1575,0))),"")</f>
        <v/>
      </c>
    </row>
    <row r="23" customFormat="false" ht="15" hidden="false" customHeight="false" outlineLevel="0" collapsed="false">
      <c r="B23" s="38" t="n">
        <v>12</v>
      </c>
      <c r="C23" s="38" t="str">
        <f aca="false">IFERROR(INDEX('Controle de Entrega'!$A$6:$A$1575,MATCH($B23,'Controle de Entrega'!$M$6:$M$1575,0)),"")</f>
        <v/>
      </c>
      <c r="D23" s="38" t="str">
        <f aca="false">IFERROR(INDEX('Controle de Entrega'!$B$6:$B$1575,MATCH($B23,'Controle de Entrega'!$M$6:$M$1575,0)),"")</f>
        <v/>
      </c>
      <c r="E23" s="39" t="str">
        <f aca="false">IFERROR(INDEX('Controle de Entrega'!$C$6:$C$1575,MATCH($B23,'Controle de Entrega'!$M$6:$M$1575,0)),"")</f>
        <v/>
      </c>
      <c r="F23" s="38" t="str">
        <f aca="false">IFERROR(INDEX('Controle de Entrega'!$D$6:$D$1575,MATCH($B23,'Controle de Entrega'!$M$6:$M$1575,0)),"")</f>
        <v/>
      </c>
      <c r="G23" s="38" t="str">
        <f aca="false">IFERROR(INDEX('Controle de Entrega'!$E$6:$E$1575,MATCH($B23,'Controle de Entrega'!$M$6:$M$1575,0)),"")</f>
        <v/>
      </c>
      <c r="H23" s="38" t="str">
        <f aca="false">IFERROR(IF(INDEX('Controle de Entrega'!$H$6:$H$1575,MATCH($B23,'Controle de Entrega'!$M$6:$M$1575,0))=0,"",INDEX('Controle de Entrega'!$H$6:$H$1575,MATCH($B23,'Controle de Entrega'!$M$6:$M$1575,0))),"")</f>
        <v/>
      </c>
      <c r="I23" s="39" t="str">
        <f aca="false">IFERROR(IF(INDEX('Controle de Entrega'!$I$6:$I$1575,MATCH($B23,'Controle de Entrega'!$M$6:$M$1575,0))=0,"",INDEX('Controle de Entrega'!$I$6:$I$1575,MATCH($B23,'Controle de Entrega'!$M$6:$M$1575,0))),"")</f>
        <v/>
      </c>
    </row>
    <row r="24" customFormat="false" ht="15" hidden="false" customHeight="false" outlineLevel="0" collapsed="false">
      <c r="B24" s="38" t="n">
        <v>13</v>
      </c>
      <c r="C24" s="38" t="str">
        <f aca="false">IFERROR(INDEX('Controle de Entrega'!$A$6:$A$1575,MATCH($B24,'Controle de Entrega'!$M$6:$M$1575,0)),"")</f>
        <v/>
      </c>
      <c r="D24" s="38" t="str">
        <f aca="false">IFERROR(INDEX('Controle de Entrega'!$B$6:$B$1575,MATCH($B24,'Controle de Entrega'!$M$6:$M$1575,0)),"")</f>
        <v/>
      </c>
      <c r="E24" s="39" t="str">
        <f aca="false">IFERROR(INDEX('Controle de Entrega'!$C$6:$C$1575,MATCH($B24,'Controle de Entrega'!$M$6:$M$1575,0)),"")</f>
        <v/>
      </c>
      <c r="F24" s="38" t="str">
        <f aca="false">IFERROR(INDEX('Controle de Entrega'!$D$6:$D$1575,MATCH($B24,'Controle de Entrega'!$M$6:$M$1575,0)),"")</f>
        <v/>
      </c>
      <c r="G24" s="38" t="str">
        <f aca="false">IFERROR(INDEX('Controle de Entrega'!$E$6:$E$1575,MATCH($B24,'Controle de Entrega'!$M$6:$M$1575,0)),"")</f>
        <v/>
      </c>
      <c r="H24" s="38" t="str">
        <f aca="false">IFERROR(IF(INDEX('Controle de Entrega'!$H$6:$H$1575,MATCH($B24,'Controle de Entrega'!$M$6:$M$1575,0))=0,"",INDEX('Controle de Entrega'!$H$6:$H$1575,MATCH($B24,'Controle de Entrega'!$M$6:$M$1575,0))),"")</f>
        <v/>
      </c>
      <c r="I24" s="39" t="str">
        <f aca="false">IFERROR(IF(INDEX('Controle de Entrega'!$I$6:$I$1575,MATCH($B24,'Controle de Entrega'!$M$6:$M$1575,0))=0,"",INDEX('Controle de Entrega'!$I$6:$I$1575,MATCH($B24,'Controle de Entrega'!$M$6:$M$1575,0))),"")</f>
        <v/>
      </c>
    </row>
    <row r="25" customFormat="false" ht="15" hidden="false" customHeight="false" outlineLevel="0" collapsed="false">
      <c r="B25" s="38" t="n">
        <v>14</v>
      </c>
      <c r="C25" s="38" t="str">
        <f aca="false">IFERROR(INDEX('Controle de Entrega'!$A$6:$A$1575,MATCH($B25,'Controle de Entrega'!$M$6:$M$1575,0)),"")</f>
        <v/>
      </c>
      <c r="D25" s="38" t="str">
        <f aca="false">IFERROR(INDEX('Controle de Entrega'!$B$6:$B$1575,MATCH($B25,'Controle de Entrega'!$M$6:$M$1575,0)),"")</f>
        <v/>
      </c>
      <c r="E25" s="39" t="str">
        <f aca="false">IFERROR(INDEX('Controle de Entrega'!$C$6:$C$1575,MATCH($B25,'Controle de Entrega'!$M$6:$M$1575,0)),"")</f>
        <v/>
      </c>
      <c r="F25" s="38" t="str">
        <f aca="false">IFERROR(INDEX('Controle de Entrega'!$D$6:$D$1575,MATCH($B25,'Controle de Entrega'!$M$6:$M$1575,0)),"")</f>
        <v/>
      </c>
      <c r="G25" s="38" t="str">
        <f aca="false">IFERROR(INDEX('Controle de Entrega'!$E$6:$E$1575,MATCH($B25,'Controle de Entrega'!$M$6:$M$1575,0)),"")</f>
        <v/>
      </c>
      <c r="H25" s="38" t="str">
        <f aca="false">IFERROR(IF(INDEX('Controle de Entrega'!$H$6:$H$1575,MATCH($B25,'Controle de Entrega'!$M$6:$M$1575,0))=0,"",INDEX('Controle de Entrega'!$H$6:$H$1575,MATCH($B25,'Controle de Entrega'!$M$6:$M$1575,0))),"")</f>
        <v/>
      </c>
      <c r="I25" s="39" t="str">
        <f aca="false">IFERROR(IF(INDEX('Controle de Entrega'!$I$6:$I$1575,MATCH($B25,'Controle de Entrega'!$M$6:$M$1575,0))=0,"",INDEX('Controle de Entrega'!$I$6:$I$1575,MATCH($B25,'Controle de Entrega'!$M$6:$M$1575,0))),"")</f>
        <v/>
      </c>
    </row>
    <row r="26" customFormat="false" ht="15" hidden="false" customHeight="false" outlineLevel="0" collapsed="false">
      <c r="B26" s="38" t="n">
        <v>15</v>
      </c>
      <c r="C26" s="38" t="str">
        <f aca="false">IFERROR(INDEX('Controle de Entrega'!$A$6:$A$1575,MATCH($B26,'Controle de Entrega'!$M$6:$M$1575,0)),"")</f>
        <v/>
      </c>
      <c r="D26" s="38" t="str">
        <f aca="false">IFERROR(INDEX('Controle de Entrega'!$B$6:$B$1575,MATCH($B26,'Controle de Entrega'!$M$6:$M$1575,0)),"")</f>
        <v/>
      </c>
      <c r="E26" s="39" t="str">
        <f aca="false">IFERROR(INDEX('Controle de Entrega'!$C$6:$C$1575,MATCH($B26,'Controle de Entrega'!$M$6:$M$1575,0)),"")</f>
        <v/>
      </c>
      <c r="F26" s="38" t="str">
        <f aca="false">IFERROR(INDEX('Controle de Entrega'!$D$6:$D$1575,MATCH($B26,'Controle de Entrega'!$M$6:$M$1575,0)),"")</f>
        <v/>
      </c>
      <c r="G26" s="38" t="str">
        <f aca="false">IFERROR(INDEX('Controle de Entrega'!$E$6:$E$1575,MATCH($B26,'Controle de Entrega'!$M$6:$M$1575,0)),"")</f>
        <v/>
      </c>
      <c r="H26" s="38" t="str">
        <f aca="false">IFERROR(IF(INDEX('Controle de Entrega'!$H$6:$H$1575,MATCH($B26,'Controle de Entrega'!$M$6:$M$1575,0))=0,"",INDEX('Controle de Entrega'!$H$6:$H$1575,MATCH($B26,'Controle de Entrega'!$M$6:$M$1575,0))),"")</f>
        <v/>
      </c>
      <c r="I26" s="39" t="str">
        <f aca="false">IFERROR(IF(INDEX('Controle de Entrega'!$I$6:$I$1575,MATCH($B26,'Controle de Entrega'!$M$6:$M$1575,0))=0,"",INDEX('Controle de Entrega'!$I$6:$I$1575,MATCH($B26,'Controle de Entrega'!$M$6:$M$1575,0))),"")</f>
        <v/>
      </c>
    </row>
    <row r="27" customFormat="false" ht="15" hidden="false" customHeight="false" outlineLevel="0" collapsed="false">
      <c r="B27" s="38" t="n">
        <v>16</v>
      </c>
      <c r="C27" s="38" t="str">
        <f aca="false">IFERROR(INDEX('Controle de Entrega'!$A$6:$A$1575,MATCH($B27,'Controle de Entrega'!$M$6:$M$1575,0)),"")</f>
        <v/>
      </c>
      <c r="D27" s="38" t="str">
        <f aca="false">IFERROR(INDEX('Controle de Entrega'!$B$6:$B$1575,MATCH($B27,'Controle de Entrega'!$M$6:$M$1575,0)),"")</f>
        <v/>
      </c>
      <c r="E27" s="39" t="str">
        <f aca="false">IFERROR(INDEX('Controle de Entrega'!$C$6:$C$1575,MATCH($B27,'Controle de Entrega'!$M$6:$M$1575,0)),"")</f>
        <v/>
      </c>
      <c r="F27" s="38" t="str">
        <f aca="false">IFERROR(INDEX('Controle de Entrega'!$D$6:$D$1575,MATCH($B27,'Controle de Entrega'!$M$6:$M$1575,0)),"")</f>
        <v/>
      </c>
      <c r="G27" s="38" t="str">
        <f aca="false">IFERROR(INDEX('Controle de Entrega'!$E$6:$E$1575,MATCH($B27,'Controle de Entrega'!$M$6:$M$1575,0)),"")</f>
        <v/>
      </c>
      <c r="H27" s="38" t="str">
        <f aca="false">IFERROR(IF(INDEX('Controle de Entrega'!$H$6:$H$1575,MATCH($B27,'Controle de Entrega'!$M$6:$M$1575,0))=0,"",INDEX('Controle de Entrega'!$H$6:$H$1575,MATCH($B27,'Controle de Entrega'!$M$6:$M$1575,0))),"")</f>
        <v/>
      </c>
      <c r="I27" s="39" t="str">
        <f aca="false">IFERROR(IF(INDEX('Controle de Entrega'!$I$6:$I$1575,MATCH($B27,'Controle de Entrega'!$M$6:$M$1575,0))=0,"",INDEX('Controle de Entrega'!$I$6:$I$1575,MATCH($B27,'Controle de Entrega'!$M$6:$M$1575,0))),"")</f>
        <v/>
      </c>
    </row>
    <row r="28" customFormat="false" ht="15" hidden="false" customHeight="false" outlineLevel="0" collapsed="false">
      <c r="B28" s="38" t="n">
        <v>17</v>
      </c>
      <c r="C28" s="38" t="str">
        <f aca="false">IFERROR(INDEX('Controle de Entrega'!$A$6:$A$1575,MATCH($B28,'Controle de Entrega'!$M$6:$M$1575,0)),"")</f>
        <v/>
      </c>
      <c r="D28" s="38" t="str">
        <f aca="false">IFERROR(INDEX('Controle de Entrega'!$B$6:$B$1575,MATCH($B28,'Controle de Entrega'!$M$6:$M$1575,0)),"")</f>
        <v/>
      </c>
      <c r="E28" s="39" t="str">
        <f aca="false">IFERROR(INDEX('Controle de Entrega'!$C$6:$C$1575,MATCH($B28,'Controle de Entrega'!$M$6:$M$1575,0)),"")</f>
        <v/>
      </c>
      <c r="F28" s="38" t="str">
        <f aca="false">IFERROR(INDEX('Controle de Entrega'!$D$6:$D$1575,MATCH($B28,'Controle de Entrega'!$M$6:$M$1575,0)),"")</f>
        <v/>
      </c>
      <c r="G28" s="38" t="str">
        <f aca="false">IFERROR(INDEX('Controle de Entrega'!$E$6:$E$1575,MATCH($B28,'Controle de Entrega'!$M$6:$M$1575,0)),"")</f>
        <v/>
      </c>
      <c r="H28" s="38" t="str">
        <f aca="false">IFERROR(IF(INDEX('Controle de Entrega'!$H$6:$H$1575,MATCH($B28,'Controle de Entrega'!$M$6:$M$1575,0))=0,"",INDEX('Controle de Entrega'!$H$6:$H$1575,MATCH($B28,'Controle de Entrega'!$M$6:$M$1575,0))),"")</f>
        <v/>
      </c>
      <c r="I28" s="39" t="str">
        <f aca="false">IFERROR(IF(INDEX('Controle de Entrega'!$I$6:$I$1575,MATCH($B28,'Controle de Entrega'!$M$6:$M$1575,0))=0,"",INDEX('Controle de Entrega'!$I$6:$I$1575,MATCH($B28,'Controle de Entrega'!$M$6:$M$1575,0))),"")</f>
        <v/>
      </c>
    </row>
    <row r="29" customFormat="false" ht="15" hidden="false" customHeight="false" outlineLevel="0" collapsed="false">
      <c r="B29" s="38" t="n">
        <v>18</v>
      </c>
      <c r="C29" s="38" t="str">
        <f aca="false">IFERROR(INDEX('Controle de Entrega'!$A$6:$A$1575,MATCH($B29,'Controle de Entrega'!$M$6:$M$1575,0)),"")</f>
        <v/>
      </c>
      <c r="D29" s="38" t="str">
        <f aca="false">IFERROR(INDEX('Controle de Entrega'!$B$6:$B$1575,MATCH($B29,'Controle de Entrega'!$M$6:$M$1575,0)),"")</f>
        <v/>
      </c>
      <c r="E29" s="39" t="str">
        <f aca="false">IFERROR(INDEX('Controle de Entrega'!$C$6:$C$1575,MATCH($B29,'Controle de Entrega'!$M$6:$M$1575,0)),"")</f>
        <v/>
      </c>
      <c r="F29" s="38" t="str">
        <f aca="false">IFERROR(INDEX('Controle de Entrega'!$D$6:$D$1575,MATCH($B29,'Controle de Entrega'!$M$6:$M$1575,0)),"")</f>
        <v/>
      </c>
      <c r="G29" s="38" t="str">
        <f aca="false">IFERROR(INDEX('Controle de Entrega'!$E$6:$E$1575,MATCH($B29,'Controle de Entrega'!$M$6:$M$1575,0)),"")</f>
        <v/>
      </c>
      <c r="H29" s="38" t="str">
        <f aca="false">IFERROR(IF(INDEX('Controle de Entrega'!$H$6:$H$1575,MATCH($B29,'Controle de Entrega'!$M$6:$M$1575,0))=0,"",INDEX('Controle de Entrega'!$H$6:$H$1575,MATCH($B29,'Controle de Entrega'!$M$6:$M$1575,0))),"")</f>
        <v/>
      </c>
      <c r="I29" s="39" t="str">
        <f aca="false">IFERROR(IF(INDEX('Controle de Entrega'!$I$6:$I$1575,MATCH($B29,'Controle de Entrega'!$M$6:$M$1575,0))=0,"",INDEX('Controle de Entrega'!$I$6:$I$1575,MATCH($B29,'Controle de Entrega'!$M$6:$M$1575,0))),"")</f>
        <v/>
      </c>
    </row>
    <row r="30" customFormat="false" ht="15" hidden="false" customHeight="false" outlineLevel="0" collapsed="false">
      <c r="B30" s="38" t="n">
        <v>19</v>
      </c>
      <c r="C30" s="38" t="str">
        <f aca="false">IFERROR(INDEX('Controle de Entrega'!$A$6:$A$1575,MATCH($B30,'Controle de Entrega'!$M$6:$M$1575,0)),"")</f>
        <v/>
      </c>
      <c r="D30" s="38" t="str">
        <f aca="false">IFERROR(INDEX('Controle de Entrega'!$B$6:$B$1575,MATCH($B30,'Controle de Entrega'!$M$6:$M$1575,0)),"")</f>
        <v/>
      </c>
      <c r="E30" s="39" t="str">
        <f aca="false">IFERROR(INDEX('Controle de Entrega'!$C$6:$C$1575,MATCH($B30,'Controle de Entrega'!$M$6:$M$1575,0)),"")</f>
        <v/>
      </c>
      <c r="F30" s="38" t="str">
        <f aca="false">IFERROR(INDEX('Controle de Entrega'!$D$6:$D$1575,MATCH($B30,'Controle de Entrega'!$M$6:$M$1575,0)),"")</f>
        <v/>
      </c>
      <c r="G30" s="38" t="str">
        <f aca="false">IFERROR(INDEX('Controle de Entrega'!$E$6:$E$1575,MATCH($B30,'Controle de Entrega'!$M$6:$M$1575,0)),"")</f>
        <v/>
      </c>
      <c r="H30" s="38" t="str">
        <f aca="false">IFERROR(IF(INDEX('Controle de Entrega'!$H$6:$H$1575,MATCH($B30,'Controle de Entrega'!$M$6:$M$1575,0))=0,"",INDEX('Controle de Entrega'!$H$6:$H$1575,MATCH($B30,'Controle de Entrega'!$M$6:$M$1575,0))),"")</f>
        <v/>
      </c>
      <c r="I30" s="39" t="str">
        <f aca="false">IFERROR(IF(INDEX('Controle de Entrega'!$I$6:$I$1575,MATCH($B30,'Controle de Entrega'!$M$6:$M$1575,0))=0,"",INDEX('Controle de Entrega'!$I$6:$I$1575,MATCH($B30,'Controle de Entrega'!$M$6:$M$1575,0))),"")</f>
        <v/>
      </c>
    </row>
    <row r="31" customFormat="false" ht="15" hidden="false" customHeight="false" outlineLevel="0" collapsed="false">
      <c r="B31" s="38" t="n">
        <v>20</v>
      </c>
      <c r="C31" s="38" t="str">
        <f aca="false">IFERROR(INDEX('Controle de Entrega'!$A$6:$A$1575,MATCH($B31,'Controle de Entrega'!$M$6:$M$1575,0)),"")</f>
        <v/>
      </c>
      <c r="D31" s="38" t="str">
        <f aca="false">IFERROR(INDEX('Controle de Entrega'!$B$6:$B$1575,MATCH($B31,'Controle de Entrega'!$M$6:$M$1575,0)),"")</f>
        <v/>
      </c>
      <c r="E31" s="39" t="str">
        <f aca="false">IFERROR(INDEX('Controle de Entrega'!$C$6:$C$1575,MATCH($B31,'Controle de Entrega'!$M$6:$M$1575,0)),"")</f>
        <v/>
      </c>
      <c r="F31" s="38" t="str">
        <f aca="false">IFERROR(INDEX('Controle de Entrega'!$D$6:$D$1575,MATCH($B31,'Controle de Entrega'!$M$6:$M$1575,0)),"")</f>
        <v/>
      </c>
      <c r="G31" s="38" t="str">
        <f aca="false">IFERROR(INDEX('Controle de Entrega'!$E$6:$E$1575,MATCH($B31,'Controle de Entrega'!$M$6:$M$1575,0)),"")</f>
        <v/>
      </c>
      <c r="H31" s="38" t="str">
        <f aca="false">IFERROR(IF(INDEX('Controle de Entrega'!$H$6:$H$1575,MATCH($B31,'Controle de Entrega'!$M$6:$M$1575,0))=0,"",INDEX('Controle de Entrega'!$H$6:$H$1575,MATCH($B31,'Controle de Entrega'!$M$6:$M$1575,0))),"")</f>
        <v/>
      </c>
      <c r="I31" s="39" t="str">
        <f aca="false">IFERROR(IF(INDEX('Controle de Entrega'!$I$6:$I$1575,MATCH($B31,'Controle de Entrega'!$M$6:$M$1575,0))=0,"",INDEX('Controle de Entrega'!$I$6:$I$1575,MATCH($B31,'Controle de Entrega'!$M$6:$M$1575,0))),"")</f>
        <v/>
      </c>
    </row>
    <row r="32" customFormat="false" ht="15" hidden="false" customHeight="false" outlineLevel="0" collapsed="false">
      <c r="B32" s="38" t="n">
        <v>21</v>
      </c>
      <c r="C32" s="38" t="str">
        <f aca="false">IFERROR(INDEX('Controle de Entrega'!$A$6:$A$1575,MATCH($B32,'Controle de Entrega'!$M$6:$M$1575,0)),"")</f>
        <v/>
      </c>
      <c r="D32" s="38" t="str">
        <f aca="false">IFERROR(INDEX('Controle de Entrega'!$B$6:$B$1575,MATCH($B32,'Controle de Entrega'!$M$6:$M$1575,0)),"")</f>
        <v/>
      </c>
      <c r="E32" s="39" t="str">
        <f aca="false">IFERROR(INDEX('Controle de Entrega'!$C$6:$C$1575,MATCH($B32,'Controle de Entrega'!$M$6:$M$1575,0)),"")</f>
        <v/>
      </c>
      <c r="F32" s="38" t="str">
        <f aca="false">IFERROR(INDEX('Controle de Entrega'!$D$6:$D$1575,MATCH($B32,'Controle de Entrega'!$M$6:$M$1575,0)),"")</f>
        <v/>
      </c>
      <c r="G32" s="38" t="str">
        <f aca="false">IFERROR(INDEX('Controle de Entrega'!$E$6:$E$1575,MATCH($B32,'Controle de Entrega'!$M$6:$M$1575,0)),"")</f>
        <v/>
      </c>
      <c r="H32" s="38" t="str">
        <f aca="false">IFERROR(IF(INDEX('Controle de Entrega'!$H$6:$H$1575,MATCH($B32,'Controle de Entrega'!$M$6:$M$1575,0))=0,"",INDEX('Controle de Entrega'!$H$6:$H$1575,MATCH($B32,'Controle de Entrega'!$M$6:$M$1575,0))),"")</f>
        <v/>
      </c>
      <c r="I32" s="39" t="str">
        <f aca="false">IFERROR(IF(INDEX('Controle de Entrega'!$I$6:$I$1575,MATCH($B32,'Controle de Entrega'!$M$6:$M$1575,0))=0,"",INDEX('Controle de Entrega'!$I$6:$I$1575,MATCH($B32,'Controle de Entrega'!$M$6:$M$1575,0))),"")</f>
        <v/>
      </c>
    </row>
    <row r="33" customFormat="false" ht="15" hidden="false" customHeight="false" outlineLevel="0" collapsed="false">
      <c r="B33" s="38" t="n">
        <v>22</v>
      </c>
      <c r="C33" s="38" t="str">
        <f aca="false">IFERROR(INDEX('Controle de Entrega'!$A$6:$A$1575,MATCH($B33,'Controle de Entrega'!$M$6:$M$1575,0)),"")</f>
        <v/>
      </c>
      <c r="D33" s="38" t="str">
        <f aca="false">IFERROR(INDEX('Controle de Entrega'!$B$6:$B$1575,MATCH($B33,'Controle de Entrega'!$M$6:$M$1575,0)),"")</f>
        <v/>
      </c>
      <c r="E33" s="39" t="str">
        <f aca="false">IFERROR(INDEX('Controle de Entrega'!$C$6:$C$1575,MATCH($B33,'Controle de Entrega'!$M$6:$M$1575,0)),"")</f>
        <v/>
      </c>
      <c r="F33" s="38" t="str">
        <f aca="false">IFERROR(INDEX('Controle de Entrega'!$D$6:$D$1575,MATCH($B33,'Controle de Entrega'!$M$6:$M$1575,0)),"")</f>
        <v/>
      </c>
      <c r="G33" s="38" t="str">
        <f aca="false">IFERROR(INDEX('Controle de Entrega'!$E$6:$E$1575,MATCH($B33,'Controle de Entrega'!$M$6:$M$1575,0)),"")</f>
        <v/>
      </c>
      <c r="H33" s="38" t="str">
        <f aca="false">IFERROR(IF(INDEX('Controle de Entrega'!$H$6:$H$1575,MATCH($B33,'Controle de Entrega'!$M$6:$M$1575,0))=0,"",INDEX('Controle de Entrega'!$H$6:$H$1575,MATCH($B33,'Controle de Entrega'!$M$6:$M$1575,0))),"")</f>
        <v/>
      </c>
      <c r="I33" s="39" t="str">
        <f aca="false">IFERROR(IF(INDEX('Controle de Entrega'!$I$6:$I$1575,MATCH($B33,'Controle de Entrega'!$M$6:$M$1575,0))=0,"",INDEX('Controle de Entrega'!$I$6:$I$1575,MATCH($B33,'Controle de Entrega'!$M$6:$M$1575,0))),"")</f>
        <v/>
      </c>
    </row>
    <row r="34" customFormat="false" ht="15" hidden="false" customHeight="false" outlineLevel="0" collapsed="false">
      <c r="B34" s="38" t="n">
        <v>23</v>
      </c>
      <c r="C34" s="38" t="str">
        <f aca="false">IFERROR(INDEX('Controle de Entrega'!$A$6:$A$1575,MATCH($B34,'Controle de Entrega'!$M$6:$M$1575,0)),"")</f>
        <v/>
      </c>
      <c r="D34" s="38" t="str">
        <f aca="false">IFERROR(INDEX('Controle de Entrega'!$B$6:$B$1575,MATCH($B34,'Controle de Entrega'!$M$6:$M$1575,0)),"")</f>
        <v/>
      </c>
      <c r="E34" s="39" t="str">
        <f aca="false">IFERROR(INDEX('Controle de Entrega'!$C$6:$C$1575,MATCH($B34,'Controle de Entrega'!$M$6:$M$1575,0)),"")</f>
        <v/>
      </c>
      <c r="F34" s="38" t="str">
        <f aca="false">IFERROR(INDEX('Controle de Entrega'!$D$6:$D$1575,MATCH($B34,'Controle de Entrega'!$M$6:$M$1575,0)),"")</f>
        <v/>
      </c>
      <c r="G34" s="38" t="str">
        <f aca="false">IFERROR(INDEX('Controle de Entrega'!$E$6:$E$1575,MATCH($B34,'Controle de Entrega'!$M$6:$M$1575,0)),"")</f>
        <v/>
      </c>
      <c r="H34" s="38" t="str">
        <f aca="false">IFERROR(IF(INDEX('Controle de Entrega'!$H$6:$H$1575,MATCH($B34,'Controle de Entrega'!$M$6:$M$1575,0))=0,"",INDEX('Controle de Entrega'!$H$6:$H$1575,MATCH($B34,'Controle de Entrega'!$M$6:$M$1575,0))),"")</f>
        <v/>
      </c>
      <c r="I34" s="39" t="str">
        <f aca="false">IFERROR(IF(INDEX('Controle de Entrega'!$I$6:$I$1575,MATCH($B34,'Controle de Entrega'!$M$6:$M$1575,0))=0,"",INDEX('Controle de Entrega'!$I$6:$I$1575,MATCH($B34,'Controle de Entrega'!$M$6:$M$1575,0))),"")</f>
        <v/>
      </c>
    </row>
    <row r="35" customFormat="false" ht="15" hidden="false" customHeight="false" outlineLevel="0" collapsed="false">
      <c r="B35" s="38" t="n">
        <v>24</v>
      </c>
      <c r="C35" s="38" t="str">
        <f aca="false">IFERROR(INDEX('Controle de Entrega'!$A$6:$A$1575,MATCH($B35,'Controle de Entrega'!$M$6:$M$1575,0)),"")</f>
        <v/>
      </c>
      <c r="D35" s="38" t="str">
        <f aca="false">IFERROR(INDEX('Controle de Entrega'!$B$6:$B$1575,MATCH($B35,'Controle de Entrega'!$M$6:$M$1575,0)),"")</f>
        <v/>
      </c>
      <c r="E35" s="39" t="str">
        <f aca="false">IFERROR(INDEX('Controle de Entrega'!$C$6:$C$1575,MATCH($B35,'Controle de Entrega'!$M$6:$M$1575,0)),"")</f>
        <v/>
      </c>
      <c r="F35" s="38" t="str">
        <f aca="false">IFERROR(INDEX('Controle de Entrega'!$D$6:$D$1575,MATCH($B35,'Controle de Entrega'!$M$6:$M$1575,0)),"")</f>
        <v/>
      </c>
      <c r="G35" s="38" t="str">
        <f aca="false">IFERROR(INDEX('Controle de Entrega'!$E$6:$E$1575,MATCH($B35,'Controle de Entrega'!$M$6:$M$1575,0)),"")</f>
        <v/>
      </c>
      <c r="H35" s="38" t="str">
        <f aca="false">IFERROR(IF(INDEX('Controle de Entrega'!$H$6:$H$1575,MATCH($B35,'Controle de Entrega'!$M$6:$M$1575,0))=0,"",INDEX('Controle de Entrega'!$H$6:$H$1575,MATCH($B35,'Controle de Entrega'!$M$6:$M$1575,0))),"")</f>
        <v/>
      </c>
      <c r="I35" s="39" t="str">
        <f aca="false">IFERROR(IF(INDEX('Controle de Entrega'!$I$6:$I$1575,MATCH($B35,'Controle de Entrega'!$M$6:$M$1575,0))=0,"",INDEX('Controle de Entrega'!$I$6:$I$1575,MATCH($B35,'Controle de Entrega'!$M$6:$M$1575,0))),"")</f>
        <v/>
      </c>
    </row>
    <row r="36" customFormat="false" ht="15" hidden="false" customHeight="false" outlineLevel="0" collapsed="false">
      <c r="B36" s="38" t="n">
        <v>25</v>
      </c>
      <c r="C36" s="38" t="str">
        <f aca="false">IFERROR(INDEX('Controle de Entrega'!$A$6:$A$1575,MATCH($B36,'Controle de Entrega'!$M$6:$M$1575,0)),"")</f>
        <v/>
      </c>
      <c r="D36" s="38" t="str">
        <f aca="false">IFERROR(INDEX('Controle de Entrega'!$B$6:$B$1575,MATCH($B36,'Controle de Entrega'!$M$6:$M$1575,0)),"")</f>
        <v/>
      </c>
      <c r="E36" s="39" t="str">
        <f aca="false">IFERROR(INDEX('Controle de Entrega'!$C$6:$C$1575,MATCH($B36,'Controle de Entrega'!$M$6:$M$1575,0)),"")</f>
        <v/>
      </c>
      <c r="F36" s="38" t="str">
        <f aca="false">IFERROR(INDEX('Controle de Entrega'!$D$6:$D$1575,MATCH($B36,'Controle de Entrega'!$M$6:$M$1575,0)),"")</f>
        <v/>
      </c>
      <c r="G36" s="38" t="str">
        <f aca="false">IFERROR(INDEX('Controle de Entrega'!$E$6:$E$1575,MATCH($B36,'Controle de Entrega'!$M$6:$M$1575,0)),"")</f>
        <v/>
      </c>
      <c r="H36" s="38" t="str">
        <f aca="false">IFERROR(IF(INDEX('Controle de Entrega'!$H$6:$H$1575,MATCH($B36,'Controle de Entrega'!$M$6:$M$1575,0))=0,"",INDEX('Controle de Entrega'!$H$6:$H$1575,MATCH($B36,'Controle de Entrega'!$M$6:$M$1575,0))),"")</f>
        <v/>
      </c>
      <c r="I36" s="39" t="str">
        <f aca="false">IFERROR(IF(INDEX('Controle de Entrega'!$I$6:$I$1575,MATCH($B36,'Controle de Entrega'!$M$6:$M$1575,0))=0,"",INDEX('Controle de Entrega'!$I$6:$I$1575,MATCH($B36,'Controle de Entrega'!$M$6:$M$1575,0))),"")</f>
        <v/>
      </c>
    </row>
    <row r="37" customFormat="false" ht="15" hidden="false" customHeight="false" outlineLevel="0" collapsed="false">
      <c r="B37" s="38" t="n">
        <v>26</v>
      </c>
      <c r="C37" s="38" t="str">
        <f aca="false">IFERROR(INDEX('Controle de Entrega'!$A$6:$A$1575,MATCH($B37,'Controle de Entrega'!$M$6:$M$1575,0)),"")</f>
        <v/>
      </c>
      <c r="D37" s="38" t="str">
        <f aca="false">IFERROR(INDEX('Controle de Entrega'!$B$6:$B$1575,MATCH($B37,'Controle de Entrega'!$M$6:$M$1575,0)),"")</f>
        <v/>
      </c>
      <c r="E37" s="39" t="str">
        <f aca="false">IFERROR(INDEX('Controle de Entrega'!$C$6:$C$1575,MATCH($B37,'Controle de Entrega'!$M$6:$M$1575,0)),"")</f>
        <v/>
      </c>
      <c r="F37" s="38" t="str">
        <f aca="false">IFERROR(INDEX('Controle de Entrega'!$D$6:$D$1575,MATCH($B37,'Controle de Entrega'!$M$6:$M$1575,0)),"")</f>
        <v/>
      </c>
      <c r="G37" s="38" t="str">
        <f aca="false">IFERROR(INDEX('Controle de Entrega'!$E$6:$E$1575,MATCH($B37,'Controle de Entrega'!$M$6:$M$1575,0)),"")</f>
        <v/>
      </c>
      <c r="H37" s="38" t="str">
        <f aca="false">IFERROR(IF(INDEX('Controle de Entrega'!$H$6:$H$1575,MATCH($B37,'Controle de Entrega'!$M$6:$M$1575,0))=0,"",INDEX('Controle de Entrega'!$H$6:$H$1575,MATCH($B37,'Controle de Entrega'!$M$6:$M$1575,0))),"")</f>
        <v/>
      </c>
      <c r="I37" s="39" t="str">
        <f aca="false">IFERROR(IF(INDEX('Controle de Entrega'!$I$6:$I$1575,MATCH($B37,'Controle de Entrega'!$M$6:$M$1575,0))=0,"",INDEX('Controle de Entrega'!$I$6:$I$1575,MATCH($B37,'Controle de Entrega'!$M$6:$M$1575,0))),"")</f>
        <v/>
      </c>
    </row>
    <row r="38" customFormat="false" ht="15" hidden="false" customHeight="false" outlineLevel="0" collapsed="false">
      <c r="B38" s="38" t="n">
        <v>27</v>
      </c>
      <c r="C38" s="38" t="str">
        <f aca="false">IFERROR(INDEX('Controle de Entrega'!$A$6:$A$1575,MATCH($B38,'Controle de Entrega'!$M$6:$M$1575,0)),"")</f>
        <v/>
      </c>
      <c r="D38" s="38" t="str">
        <f aca="false">IFERROR(INDEX('Controle de Entrega'!$B$6:$B$1575,MATCH($B38,'Controle de Entrega'!$M$6:$M$1575,0)),"")</f>
        <v/>
      </c>
      <c r="E38" s="39" t="str">
        <f aca="false">IFERROR(INDEX('Controle de Entrega'!$C$6:$C$1575,MATCH($B38,'Controle de Entrega'!$M$6:$M$1575,0)),"")</f>
        <v/>
      </c>
      <c r="F38" s="38" t="str">
        <f aca="false">IFERROR(INDEX('Controle de Entrega'!$D$6:$D$1575,MATCH($B38,'Controle de Entrega'!$M$6:$M$1575,0)),"")</f>
        <v/>
      </c>
      <c r="G38" s="38" t="str">
        <f aca="false">IFERROR(INDEX('Controle de Entrega'!$E$6:$E$1575,MATCH($B38,'Controle de Entrega'!$M$6:$M$1575,0)),"")</f>
        <v/>
      </c>
      <c r="H38" s="38" t="str">
        <f aca="false">IFERROR(IF(INDEX('Controle de Entrega'!$H$6:$H$1575,MATCH($B38,'Controle de Entrega'!$M$6:$M$1575,0))=0,"",INDEX('Controle de Entrega'!$H$6:$H$1575,MATCH($B38,'Controle de Entrega'!$M$6:$M$1575,0))),"")</f>
        <v/>
      </c>
      <c r="I38" s="39" t="str">
        <f aca="false">IFERROR(IF(INDEX('Controle de Entrega'!$I$6:$I$1575,MATCH($B38,'Controle de Entrega'!$M$6:$M$1575,0))=0,"",INDEX('Controle de Entrega'!$I$6:$I$1575,MATCH($B38,'Controle de Entrega'!$M$6:$M$1575,0))),"")</f>
        <v/>
      </c>
    </row>
    <row r="39" customFormat="false" ht="15" hidden="false" customHeight="false" outlineLevel="0" collapsed="false">
      <c r="B39" s="38" t="n">
        <v>28</v>
      </c>
      <c r="C39" s="38" t="str">
        <f aca="false">IFERROR(INDEX('Controle de Entrega'!$A$6:$A$1575,MATCH($B39,'Controle de Entrega'!$M$6:$M$1575,0)),"")</f>
        <v/>
      </c>
      <c r="D39" s="38" t="str">
        <f aca="false">IFERROR(INDEX('Controle de Entrega'!$B$6:$B$1575,MATCH($B39,'Controle de Entrega'!$M$6:$M$1575,0)),"")</f>
        <v/>
      </c>
      <c r="E39" s="39" t="str">
        <f aca="false">IFERROR(INDEX('Controle de Entrega'!$C$6:$C$1575,MATCH($B39,'Controle de Entrega'!$M$6:$M$1575,0)),"")</f>
        <v/>
      </c>
      <c r="F39" s="38" t="str">
        <f aca="false">IFERROR(INDEX('Controle de Entrega'!$D$6:$D$1575,MATCH($B39,'Controle de Entrega'!$M$6:$M$1575,0)),"")</f>
        <v/>
      </c>
      <c r="G39" s="38" t="str">
        <f aca="false">IFERROR(INDEX('Controle de Entrega'!$E$6:$E$1575,MATCH($B39,'Controle de Entrega'!$M$6:$M$1575,0)),"")</f>
        <v/>
      </c>
      <c r="H39" s="38" t="str">
        <f aca="false">IFERROR(IF(INDEX('Controle de Entrega'!$H$6:$H$1575,MATCH($B39,'Controle de Entrega'!$M$6:$M$1575,0))=0,"",INDEX('Controle de Entrega'!$H$6:$H$1575,MATCH($B39,'Controle de Entrega'!$M$6:$M$1575,0))),"")</f>
        <v/>
      </c>
      <c r="I39" s="39" t="str">
        <f aca="false">IFERROR(IF(INDEX('Controle de Entrega'!$I$6:$I$1575,MATCH($B39,'Controle de Entrega'!$M$6:$M$1575,0))=0,"",INDEX('Controle de Entrega'!$I$6:$I$1575,MATCH($B39,'Controle de Entrega'!$M$6:$M$1575,0))),"")</f>
        <v/>
      </c>
    </row>
    <row r="40" customFormat="false" ht="15" hidden="false" customHeight="false" outlineLevel="0" collapsed="false">
      <c r="B40" s="38" t="n">
        <v>29</v>
      </c>
      <c r="C40" s="38" t="str">
        <f aca="false">IFERROR(INDEX('Controle de Entrega'!$A$6:$A$1575,MATCH($B40,'Controle de Entrega'!$M$6:$M$1575,0)),"")</f>
        <v/>
      </c>
      <c r="D40" s="38" t="str">
        <f aca="false">IFERROR(INDEX('Controle de Entrega'!$B$6:$B$1575,MATCH($B40,'Controle de Entrega'!$M$6:$M$1575,0)),"")</f>
        <v/>
      </c>
      <c r="E40" s="39" t="str">
        <f aca="false">IFERROR(INDEX('Controle de Entrega'!$C$6:$C$1575,MATCH($B40,'Controle de Entrega'!$M$6:$M$1575,0)),"")</f>
        <v/>
      </c>
      <c r="F40" s="38" t="str">
        <f aca="false">IFERROR(INDEX('Controle de Entrega'!$D$6:$D$1575,MATCH($B40,'Controle de Entrega'!$M$6:$M$1575,0)),"")</f>
        <v/>
      </c>
      <c r="G40" s="38" t="str">
        <f aca="false">IFERROR(INDEX('Controle de Entrega'!$E$6:$E$1575,MATCH($B40,'Controle de Entrega'!$M$6:$M$1575,0)),"")</f>
        <v/>
      </c>
      <c r="H40" s="38" t="str">
        <f aca="false">IFERROR(IF(INDEX('Controle de Entrega'!$H$6:$H$1575,MATCH($B40,'Controle de Entrega'!$M$6:$M$1575,0))=0,"",INDEX('Controle de Entrega'!$H$6:$H$1575,MATCH($B40,'Controle de Entrega'!$M$6:$M$1575,0))),"")</f>
        <v/>
      </c>
      <c r="I40" s="39" t="str">
        <f aca="false">IFERROR(IF(INDEX('Controle de Entrega'!$I$6:$I$1575,MATCH($B40,'Controle de Entrega'!$M$6:$M$1575,0))=0,"",INDEX('Controle de Entrega'!$I$6:$I$1575,MATCH($B40,'Controle de Entrega'!$M$6:$M$1575,0))),"")</f>
        <v/>
      </c>
    </row>
    <row r="41" customFormat="false" ht="15" hidden="false" customHeight="false" outlineLevel="0" collapsed="false">
      <c r="B41" s="38" t="n">
        <v>30</v>
      </c>
      <c r="C41" s="38" t="str">
        <f aca="false">IFERROR(INDEX('Controle de Entrega'!$A$6:$A$1575,MATCH($B41,'Controle de Entrega'!$M$6:$M$1575,0)),"")</f>
        <v/>
      </c>
      <c r="D41" s="38" t="str">
        <f aca="false">IFERROR(INDEX('Controle de Entrega'!$B$6:$B$1575,MATCH($B41,'Controle de Entrega'!$M$6:$M$1575,0)),"")</f>
        <v/>
      </c>
      <c r="E41" s="39" t="str">
        <f aca="false">IFERROR(INDEX('Controle de Entrega'!$C$6:$C$1575,MATCH($B41,'Controle de Entrega'!$M$6:$M$1575,0)),"")</f>
        <v/>
      </c>
      <c r="F41" s="38" t="str">
        <f aca="false">IFERROR(INDEX('Controle de Entrega'!$D$6:$D$1575,MATCH($B41,'Controle de Entrega'!$M$6:$M$1575,0)),"")</f>
        <v/>
      </c>
      <c r="G41" s="38" t="str">
        <f aca="false">IFERROR(INDEX('Controle de Entrega'!$E$6:$E$1575,MATCH($B41,'Controle de Entrega'!$M$6:$M$1575,0)),"")</f>
        <v/>
      </c>
      <c r="H41" s="38" t="str">
        <f aca="false">IFERROR(IF(INDEX('Controle de Entrega'!$H$6:$H$1575,MATCH($B41,'Controle de Entrega'!$M$6:$M$1575,0))=0,"",INDEX('Controle de Entrega'!$H$6:$H$1575,MATCH($B41,'Controle de Entrega'!$M$6:$M$1575,0))),"")</f>
        <v/>
      </c>
      <c r="I41" s="39" t="str">
        <f aca="false">IFERROR(IF(INDEX('Controle de Entrega'!$I$6:$I$1575,MATCH($B41,'Controle de Entrega'!$M$6:$M$1575,0))=0,"",INDEX('Controle de Entrega'!$I$6:$I$1575,MATCH($B41,'Controle de Entrega'!$M$6:$M$1575,0))),"")</f>
        <v/>
      </c>
    </row>
    <row r="42" customFormat="false" ht="15" hidden="false" customHeight="false" outlineLevel="0" collapsed="false">
      <c r="D42" s="40" t="s">
        <v>104</v>
      </c>
      <c r="G42" s="41" t="n">
        <f aca="false">IF($D$6="","",COUNTIFS('Controle de Entrega'!$N$6:$N$1575,$D$6,'Controle de Entrega'!$G$6:$G$1575,$D$7))</f>
        <v>0</v>
      </c>
    </row>
    <row r="45" customFormat="false" ht="18" hidden="false" customHeight="true" outlineLevel="0" collapsed="false">
      <c r="B45" s="42" t="s">
        <v>105</v>
      </c>
      <c r="C45" s="42"/>
      <c r="D45" s="42"/>
      <c r="E45" s="42"/>
      <c r="F45" s="42"/>
      <c r="G45" s="42"/>
      <c r="H45" s="42"/>
    </row>
    <row r="46" customFormat="false" ht="18" hidden="false" customHeight="true" outlineLevel="0" collapsed="false">
      <c r="B46" s="42"/>
      <c r="C46" s="42"/>
      <c r="D46" s="42"/>
      <c r="E46" s="42"/>
      <c r="F46" s="42"/>
      <c r="G46" s="42"/>
      <c r="H46" s="42"/>
    </row>
    <row r="47" customFormat="false" ht="15" hidden="false" customHeight="false" outlineLevel="0" collapsed="false">
      <c r="B47" s="42"/>
      <c r="C47" s="42"/>
      <c r="D47" s="42"/>
      <c r="E47" s="42"/>
      <c r="F47" s="42"/>
      <c r="G47" s="42"/>
      <c r="H47" s="42"/>
    </row>
    <row r="50" customFormat="false" ht="15" hidden="false" customHeight="false" outlineLevel="0" collapsed="false">
      <c r="B50" s="43" t="s">
        <v>106</v>
      </c>
      <c r="C50" s="43"/>
      <c r="D50" s="43"/>
      <c r="F50" s="43" t="s">
        <v>106</v>
      </c>
      <c r="G50" s="43"/>
      <c r="H50" s="43"/>
    </row>
    <row r="51" customFormat="false" ht="18" hidden="false" customHeight="true" outlineLevel="0" collapsed="false">
      <c r="B51" s="44" t="s">
        <v>107</v>
      </c>
      <c r="C51" s="44"/>
      <c r="D51" s="44"/>
      <c r="F51" s="44" t="s">
        <v>108</v>
      </c>
      <c r="G51" s="44"/>
      <c r="H51" s="44"/>
    </row>
    <row r="53" customFormat="false" ht="15" hidden="false" customHeight="false" outlineLevel="0" collapsed="false">
      <c r="B53" s="45" t="str">
        <f aca="false">IF($D$7="","",$C$9)</f>
        <v>5 de abril de 2026</v>
      </c>
      <c r="C53" s="45"/>
      <c r="D53" s="45"/>
      <c r="E53" s="45"/>
      <c r="F53" s="45"/>
      <c r="G53" s="45"/>
      <c r="H53" s="45"/>
    </row>
  </sheetData>
  <mergeCells count="11">
    <mergeCell ref="C2:E2"/>
    <mergeCell ref="B4:H4"/>
    <mergeCell ref="B5:H5"/>
    <mergeCell ref="D6:F6"/>
    <mergeCell ref="C9:E9"/>
    <mergeCell ref="B45:H47"/>
    <mergeCell ref="B50:D50"/>
    <mergeCell ref="F50:H50"/>
    <mergeCell ref="B51:D51"/>
    <mergeCell ref="F51:H51"/>
    <mergeCell ref="B53:H53"/>
  </mergeCells>
  <conditionalFormatting sqref="B12:I41">
    <cfRule type="expression" priority="2" aboveAverage="0" equalAverage="0" bottom="0" percent="0" rank="0" text="" dxfId="3">
      <formula>AND($D$6&lt;&gt;"",$D$7&lt;&gt;"",$B12&gt;$G$42)</formula>
    </cfRule>
  </conditionalFormatting>
  <printOptions headings="false" gridLines="false" gridLinesSet="true" horizontalCentered="false" verticalCentered="false"/>
  <pageMargins left="0.5" right="0.5" top="0.6" bottom="0.6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G6" activeCellId="0" sqref="AG6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3.57"/>
    <col collapsed="false" customWidth="true" hidden="false" outlineLevel="0" max="2" min="2" style="0" width="43.14"/>
    <col collapsed="false" customWidth="true" hidden="false" outlineLevel="0" max="3" min="3" style="0" width="21.14"/>
    <col collapsed="false" customWidth="true" hidden="false" outlineLevel="0" max="4" min="4" style="0" width="16.14"/>
    <col collapsed="false" customWidth="true" hidden="false" outlineLevel="0" max="5" min="5" style="0" width="14"/>
    <col collapsed="false" customWidth="true" hidden="true" outlineLevel="0" max="12" min="8" style="0" width="13"/>
  </cols>
  <sheetData>
    <row r="1" customFormat="false" ht="19.5" hidden="false" customHeight="true" outlineLevel="0" collapsed="false">
      <c r="A1" s="46" t="s">
        <v>109</v>
      </c>
      <c r="B1" s="46"/>
      <c r="C1" s="46"/>
      <c r="D1" s="46"/>
      <c r="E1" s="46"/>
    </row>
    <row r="2" customFormat="false" ht="25.5" hidden="false" customHeight="true" outlineLevel="0" collapsed="false">
      <c r="A2" s="2" t="s">
        <v>110</v>
      </c>
      <c r="B2" s="2"/>
      <c r="C2" s="2"/>
      <c r="D2" s="2"/>
      <c r="E2" s="2"/>
    </row>
    <row r="4" customFormat="false" ht="15" hidden="false" customHeight="false" outlineLevel="0" collapsed="false">
      <c r="B4" s="47" t="s">
        <v>39</v>
      </c>
      <c r="C4" s="14" t="n">
        <v>46113</v>
      </c>
      <c r="D4" s="47" t="s">
        <v>40</v>
      </c>
      <c r="E4" s="14" t="n">
        <v>46142</v>
      </c>
      <c r="H4" s="48" t="str">
        <f aca="false">Técnicos!$C$5</f>
        <v>Carlos Eduardo Lima</v>
      </c>
      <c r="I4" s="48" t="n">
        <f aca="false">SUMIFS('Controle de Entrega'!$E$6:$E$1575,'Controle de Entrega'!$N$6:$N$1575,H4,'Controle de Entrega'!$G$6:$G$1575,"&gt;="&amp;$C$4,'Controle de Entrega'!$G$6:$G$1575,"&lt;="&amp;$E$4,'Controle de Entrega'!$I$6:$I$1575,"CLIENTE*")</f>
        <v>5</v>
      </c>
      <c r="J4" s="48" t="n">
        <f aca="false">SUMIFS('Controle de Entrega'!$E$6:$E$1575,'Controle de Entrega'!$N$6:$N$1575,H4,'Controle de Entrega'!$G$6:$G$1575,"&gt;="&amp;$C$4,'Controle de Entrega'!$G$6:$G$1575,"&lt;="&amp;$E$4)</f>
        <v>8</v>
      </c>
      <c r="K4" s="48" t="n">
        <f aca="false">I4-ROW()/100000000</f>
        <v>4.99999996</v>
      </c>
      <c r="L4" s="48" t="n">
        <f aca="false">RANK(K4,$K$4:$K$34)</f>
        <v>1</v>
      </c>
    </row>
    <row r="5" customFormat="false" ht="15" hidden="false" customHeight="false" outlineLevel="0" collapsed="false">
      <c r="H5" s="48" t="str">
        <f aca="false">Técnicos!$C$6</f>
        <v>Rafael Souza Martins</v>
      </c>
      <c r="I5" s="48" t="n">
        <f aca="false">SUMIFS('Controle de Entrega'!$E$6:$E$1575,'Controle de Entrega'!$N$6:$N$1575,H5,'Controle de Entrega'!$G$6:$G$1575,"&gt;="&amp;$C$4,'Controle de Entrega'!$G$6:$G$1575,"&lt;="&amp;$E$4,'Controle de Entrega'!$I$6:$I$1575,"CLIENTE*")</f>
        <v>3</v>
      </c>
      <c r="J5" s="48" t="n">
        <f aca="false">SUMIFS('Controle de Entrega'!$E$6:$E$1575,'Controle de Entrega'!$N$6:$N$1575,H5,'Controle de Entrega'!$G$6:$G$1575,"&gt;="&amp;$C$4,'Controle de Entrega'!$G$6:$G$1575,"&lt;="&amp;$E$4)</f>
        <v>7</v>
      </c>
      <c r="K5" s="48" t="n">
        <f aca="false">I5-ROW()/100000000</f>
        <v>2.99999995</v>
      </c>
      <c r="L5" s="48" t="n">
        <f aca="false">RANK(K5,$K$4:$K$34)</f>
        <v>4</v>
      </c>
    </row>
    <row r="6" customFormat="false" ht="15" hidden="false" customHeight="false" outlineLevel="0" collapsed="false">
      <c r="H6" s="48" t="str">
        <f aca="false">Técnicos!$C$7</f>
        <v>Bruno Henrique Costa</v>
      </c>
      <c r="I6" s="48" t="n">
        <f aca="false">SUMIFS('Controle de Entrega'!$E$6:$E$1575,'Controle de Entrega'!$N$6:$N$1575,H6,'Controle de Entrega'!$G$6:$G$1575,"&gt;="&amp;$C$4,'Controle de Entrega'!$G$6:$G$1575,"&lt;="&amp;$E$4,'Controle de Entrega'!$I$6:$I$1575,"CLIENTE*")</f>
        <v>0</v>
      </c>
      <c r="J6" s="48" t="n">
        <f aca="false">SUMIFS('Controle de Entrega'!$E$6:$E$1575,'Controle de Entrega'!$N$6:$N$1575,H6,'Controle de Entrega'!$G$6:$G$1575,"&gt;="&amp;$C$4,'Controle de Entrega'!$G$6:$G$1575,"&lt;="&amp;$E$4)</f>
        <v>3</v>
      </c>
      <c r="K6" s="48" t="n">
        <f aca="false">I6-ROW()/100000000</f>
        <v>-6E-008</v>
      </c>
      <c r="L6" s="48" t="n">
        <f aca="false">RANK(K6,$K$4:$K$34)</f>
        <v>8</v>
      </c>
    </row>
    <row r="7" customFormat="false" ht="30" hidden="false" customHeight="true" outlineLevel="0" collapsed="false">
      <c r="A7" s="49" t="s">
        <v>111</v>
      </c>
      <c r="B7" s="49" t="s">
        <v>57</v>
      </c>
      <c r="C7" s="50" t="s">
        <v>112</v>
      </c>
      <c r="D7" s="49" t="s">
        <v>113</v>
      </c>
      <c r="E7" s="49" t="s">
        <v>114</v>
      </c>
      <c r="H7" s="48" t="str">
        <f aca="false">Técnicos!$C$8</f>
        <v>Diego Ferreira Alves</v>
      </c>
      <c r="I7" s="48" t="n">
        <f aca="false">SUMIFS('Controle de Entrega'!$E$6:$E$1575,'Controle de Entrega'!$N$6:$N$1575,H7,'Controle de Entrega'!$G$6:$G$1575,"&gt;="&amp;$C$4,'Controle de Entrega'!$G$6:$G$1575,"&lt;="&amp;$E$4,'Controle de Entrega'!$I$6:$I$1575,"CLIENTE*")</f>
        <v>4</v>
      </c>
      <c r="J7" s="48" t="n">
        <f aca="false">SUMIFS('Controle de Entrega'!$E$6:$E$1575,'Controle de Entrega'!$N$6:$N$1575,H7,'Controle de Entrega'!$G$6:$G$1575,"&gt;="&amp;$C$4,'Controle de Entrega'!$G$6:$G$1575,"&lt;="&amp;$E$4)</f>
        <v>7</v>
      </c>
      <c r="K7" s="48" t="n">
        <f aca="false">I7-ROW()/100000000</f>
        <v>3.99999993</v>
      </c>
      <c r="L7" s="48" t="n">
        <f aca="false">RANK(K7,$K$4:$K$34)</f>
        <v>3</v>
      </c>
    </row>
    <row r="8" customFormat="false" ht="15" hidden="false" customHeight="false" outlineLevel="0" collapsed="false">
      <c r="A8" s="51" t="n">
        <v>1</v>
      </c>
      <c r="B8" s="52" t="str">
        <f aca="false">IFERROR(INDEX($H$4:$H$34,MATCH($A8,$L$4:$L$34,0)),"")</f>
        <v>Carlos Eduardo Lima</v>
      </c>
      <c r="C8" s="51" t="n">
        <f aca="false">IFERROR(INDEX($I$4:$I$34,MATCH($A8,$L$4:$L$34,0)),"")</f>
        <v>5</v>
      </c>
      <c r="D8" s="51" t="n">
        <f aca="false">IFERROR(INDEX($J$4:$J$34,MATCH($A8,$L$4:$L$34,0)),"")</f>
        <v>8</v>
      </c>
      <c r="E8" s="53" t="n">
        <f aca="false">IF($D8=0,"-",$C8/$D8)</f>
        <v>0.625</v>
      </c>
      <c r="H8" s="48" t="str">
        <f aca="false">Técnicos!$C$9</f>
        <v>Marcos Vinícius Rocha</v>
      </c>
      <c r="I8" s="48" t="n">
        <f aca="false">SUMIFS('Controle de Entrega'!$E$6:$E$1575,'Controle de Entrega'!$N$6:$N$1575,H8,'Controle de Entrega'!$G$6:$G$1575,"&gt;="&amp;$C$4,'Controle de Entrega'!$G$6:$G$1575,"&lt;="&amp;$E$4,'Controle de Entrega'!$I$6:$I$1575,"CLIENTE*")</f>
        <v>2</v>
      </c>
      <c r="J8" s="48" t="n">
        <f aca="false">SUMIFS('Controle de Entrega'!$E$6:$E$1575,'Controle de Entrega'!$N$6:$N$1575,H8,'Controle de Entrega'!$G$6:$G$1575,"&gt;="&amp;$C$4,'Controle de Entrega'!$G$6:$G$1575,"&lt;="&amp;$E$4)</f>
        <v>3</v>
      </c>
      <c r="K8" s="48" t="n">
        <f aca="false">I8-ROW()/100000000</f>
        <v>1.99999992</v>
      </c>
      <c r="L8" s="48" t="n">
        <f aca="false">RANK(K8,$K$4:$K$34)</f>
        <v>5</v>
      </c>
    </row>
    <row r="9" customFormat="false" ht="15" hidden="false" customHeight="false" outlineLevel="0" collapsed="false">
      <c r="A9" s="51" t="n">
        <v>2</v>
      </c>
      <c r="B9" s="52" t="str">
        <f aca="false">IFERROR(INDEX($H$4:$H$34,MATCH($A9,$L$4:$L$34,0)),"")</f>
        <v>Felipe Augusto Nunes</v>
      </c>
      <c r="C9" s="51" t="n">
        <f aca="false">IFERROR(INDEX($I$4:$I$34,MATCH($A9,$L$4:$L$34,0)),"")</f>
        <v>5</v>
      </c>
      <c r="D9" s="51" t="n">
        <f aca="false">IFERROR(INDEX($J$4:$J$34,MATCH($A9,$L$4:$L$34,0)),"")</f>
        <v>7</v>
      </c>
      <c r="E9" s="53" t="n">
        <f aca="false">IF($D9=0,"-",$C9/$D9)</f>
        <v>0.714285714285714</v>
      </c>
      <c r="H9" s="48" t="str">
        <f aca="false">Técnicos!$C$10</f>
        <v>Felipe Augusto Nunes</v>
      </c>
      <c r="I9" s="48" t="n">
        <f aca="false">SUMIFS('Controle de Entrega'!$E$6:$E$1575,'Controle de Entrega'!$N$6:$N$1575,H9,'Controle de Entrega'!$G$6:$G$1575,"&gt;="&amp;$C$4,'Controle de Entrega'!$G$6:$G$1575,"&lt;="&amp;$E$4,'Controle de Entrega'!$I$6:$I$1575,"CLIENTE*")</f>
        <v>5</v>
      </c>
      <c r="J9" s="48" t="n">
        <f aca="false">SUMIFS('Controle de Entrega'!$E$6:$E$1575,'Controle de Entrega'!$N$6:$N$1575,H9,'Controle de Entrega'!$G$6:$G$1575,"&gt;="&amp;$C$4,'Controle de Entrega'!$G$6:$G$1575,"&lt;="&amp;$E$4)</f>
        <v>7</v>
      </c>
      <c r="K9" s="48" t="n">
        <f aca="false">I9-ROW()/100000000</f>
        <v>4.99999991</v>
      </c>
      <c r="L9" s="48" t="n">
        <f aca="false">RANK(K9,$K$4:$K$34)</f>
        <v>2</v>
      </c>
    </row>
    <row r="10" customFormat="false" ht="15" hidden="false" customHeight="false" outlineLevel="0" collapsed="false">
      <c r="A10" s="51" t="n">
        <v>3</v>
      </c>
      <c r="B10" s="52" t="str">
        <f aca="false">IFERROR(INDEX($H$4:$H$34,MATCH($A10,$L$4:$L$34,0)),"")</f>
        <v>Diego Ferreira Alves</v>
      </c>
      <c r="C10" s="51" t="n">
        <f aca="false">IFERROR(INDEX($I$4:$I$34,MATCH($A10,$L$4:$L$34,0)),"")</f>
        <v>4</v>
      </c>
      <c r="D10" s="51" t="n">
        <f aca="false">IFERROR(INDEX($J$4:$J$34,MATCH($A10,$L$4:$L$34,0)),"")</f>
        <v>7</v>
      </c>
      <c r="E10" s="53" t="n">
        <f aca="false">IF($D10=0,"-",$C10/$D10)</f>
        <v>0.571428571428571</v>
      </c>
      <c r="H10" s="48" t="str">
        <f aca="false">Técnicos!$C$11</f>
        <v>Thiago Ramos Silva</v>
      </c>
      <c r="I10" s="48" t="n">
        <f aca="false">SUMIFS('Controle de Entrega'!$E$6:$E$1575,'Controle de Entrega'!$N$6:$N$1575,H10,'Controle de Entrega'!$G$6:$G$1575,"&gt;="&amp;$C$4,'Controle de Entrega'!$G$6:$G$1575,"&lt;="&amp;$E$4,'Controle de Entrega'!$I$6:$I$1575,"CLIENTE*")</f>
        <v>1</v>
      </c>
      <c r="J10" s="48" t="n">
        <f aca="false">SUMIFS('Controle de Entrega'!$E$6:$E$1575,'Controle de Entrega'!$N$6:$N$1575,H10,'Controle de Entrega'!$G$6:$G$1575,"&gt;="&amp;$C$4,'Controle de Entrega'!$G$6:$G$1575,"&lt;="&amp;$E$4)</f>
        <v>2</v>
      </c>
      <c r="K10" s="48" t="n">
        <f aca="false">I10-ROW()/100000000</f>
        <v>0.9999999</v>
      </c>
      <c r="L10" s="48" t="n">
        <f aca="false">RANK(K10,$K$4:$K$34)</f>
        <v>7</v>
      </c>
    </row>
    <row r="11" customFormat="false" ht="15" hidden="false" customHeight="false" outlineLevel="0" collapsed="false">
      <c r="A11" s="25" t="n">
        <v>4</v>
      </c>
      <c r="B11" s="26" t="str">
        <f aca="false">IFERROR(INDEX($H$4:$H$34,MATCH($A11,$L$4:$L$34,0)),"")</f>
        <v>Rafael Souza Martins</v>
      </c>
      <c r="C11" s="25" t="n">
        <f aca="false">IFERROR(INDEX($I$4:$I$34,MATCH($A11,$L$4:$L$34,0)),"")</f>
        <v>3</v>
      </c>
      <c r="D11" s="25" t="n">
        <f aca="false">IFERROR(INDEX($J$4:$J$34,MATCH($A11,$L$4:$L$34,0)),"")</f>
        <v>7</v>
      </c>
      <c r="E11" s="54" t="n">
        <f aca="false">IF($D11=0,"-",$C11/$D11)</f>
        <v>0.428571428571429</v>
      </c>
      <c r="H11" s="48" t="str">
        <f aca="false">Técnicos!$C$12</f>
        <v>Lucas Pereira Gomes</v>
      </c>
      <c r="I11" s="48" t="n">
        <f aca="false">SUMIFS('Controle de Entrega'!$E$6:$E$1575,'Controle de Entrega'!$N$6:$N$1575,H11,'Controle de Entrega'!$G$6:$G$1575,"&gt;="&amp;$C$4,'Controle de Entrega'!$G$6:$G$1575,"&lt;="&amp;$E$4,'Controle de Entrega'!$I$6:$I$1575,"CLIENTE*")</f>
        <v>2</v>
      </c>
      <c r="J11" s="48" t="n">
        <f aca="false">SUMIFS('Controle de Entrega'!$E$6:$E$1575,'Controle de Entrega'!$N$6:$N$1575,H11,'Controle de Entrega'!$G$6:$G$1575,"&gt;="&amp;$C$4,'Controle de Entrega'!$G$6:$G$1575,"&lt;="&amp;$E$4)</f>
        <v>3</v>
      </c>
      <c r="K11" s="48" t="n">
        <f aca="false">I11-ROW()/100000000</f>
        <v>1.99999989</v>
      </c>
      <c r="L11" s="48" t="n">
        <f aca="false">RANK(K11,$K$4:$K$34)</f>
        <v>6</v>
      </c>
    </row>
    <row r="12" customFormat="false" ht="15" hidden="false" customHeight="false" outlineLevel="0" collapsed="false">
      <c r="A12" s="25" t="n">
        <v>5</v>
      </c>
      <c r="B12" s="26" t="str">
        <f aca="false">IFERROR(INDEX($H$4:$H$34,MATCH($A12,$L$4:$L$34,0)),"")</f>
        <v>Marcos Vinícius Rocha</v>
      </c>
      <c r="C12" s="25" t="n">
        <f aca="false">IFERROR(INDEX($I$4:$I$34,MATCH($A12,$L$4:$L$34,0)),"")</f>
        <v>2</v>
      </c>
      <c r="D12" s="25" t="n">
        <f aca="false">IFERROR(INDEX($J$4:$J$34,MATCH($A12,$L$4:$L$34,0)),"")</f>
        <v>3</v>
      </c>
      <c r="E12" s="54" t="n">
        <f aca="false">IF($D12=0,"-",$C12/$D12)</f>
        <v>0.666666666666667</v>
      </c>
      <c r="H12" s="48" t="n">
        <f aca="false">Técnicos!$C$13</f>
        <v>0</v>
      </c>
      <c r="I12" s="48" t="n">
        <f aca="false">SUMIFS('Controle de Entrega'!$E$6:$E$1575,'Controle de Entrega'!$N$6:$N$1575,H12,'Controle de Entrega'!$G$6:$G$1575,"&gt;="&amp;$C$4,'Controle de Entrega'!$G$6:$G$1575,"&lt;="&amp;$E$4,'Controle de Entrega'!$I$6:$I$1575,"CLIENTE*")</f>
        <v>0</v>
      </c>
      <c r="J12" s="48" t="n">
        <f aca="false">SUMIFS('Controle de Entrega'!$E$6:$E$1575,'Controle de Entrega'!$N$6:$N$1575,H12,'Controle de Entrega'!$G$6:$G$1575,"&gt;="&amp;$C$4,'Controle de Entrega'!$G$6:$G$1575,"&lt;="&amp;$E$4)</f>
        <v>0</v>
      </c>
      <c r="K12" s="48" t="n">
        <f aca="false">I12-ROW()/100000000</f>
        <v>-1.2E-007</v>
      </c>
      <c r="L12" s="48" t="n">
        <f aca="false">RANK(K12,$K$4:$K$34)</f>
        <v>9</v>
      </c>
    </row>
    <row r="13" customFormat="false" ht="15" hidden="false" customHeight="false" outlineLevel="0" collapsed="false">
      <c r="A13" s="25" t="n">
        <v>6</v>
      </c>
      <c r="B13" s="26" t="str">
        <f aca="false">IFERROR(INDEX($H$4:$H$34,MATCH($A13,$L$4:$L$34,0)),"")</f>
        <v>Lucas Pereira Gomes</v>
      </c>
      <c r="C13" s="25" t="n">
        <f aca="false">IFERROR(INDEX($I$4:$I$34,MATCH($A13,$L$4:$L$34,0)),"")</f>
        <v>2</v>
      </c>
      <c r="D13" s="25" t="n">
        <f aca="false">IFERROR(INDEX($J$4:$J$34,MATCH($A13,$L$4:$L$34,0)),"")</f>
        <v>3</v>
      </c>
      <c r="E13" s="54" t="n">
        <f aca="false">IF($D13=0,"-",$C13/$D13)</f>
        <v>0.666666666666667</v>
      </c>
      <c r="H13" s="48" t="n">
        <f aca="false">Técnicos!$C$14</f>
        <v>0</v>
      </c>
      <c r="I13" s="48" t="n">
        <f aca="false">SUMIFS('Controle de Entrega'!$E$6:$E$1575,'Controle de Entrega'!$N$6:$N$1575,H13,'Controle de Entrega'!$G$6:$G$1575,"&gt;="&amp;$C$4,'Controle de Entrega'!$G$6:$G$1575,"&lt;="&amp;$E$4,'Controle de Entrega'!$I$6:$I$1575,"CLIENTE*")</f>
        <v>0</v>
      </c>
      <c r="J13" s="48" t="n">
        <f aca="false">SUMIFS('Controle de Entrega'!$E$6:$E$1575,'Controle de Entrega'!$N$6:$N$1575,H13,'Controle de Entrega'!$G$6:$G$1575,"&gt;="&amp;$C$4,'Controle de Entrega'!$G$6:$G$1575,"&lt;="&amp;$E$4)</f>
        <v>0</v>
      </c>
      <c r="K13" s="48" t="n">
        <f aca="false">I13-ROW()/100000000</f>
        <v>-1.3E-007</v>
      </c>
      <c r="L13" s="48" t="n">
        <f aca="false">RANK(K13,$K$4:$K$34)</f>
        <v>10</v>
      </c>
    </row>
    <row r="14" customFormat="false" ht="15" hidden="false" customHeight="false" outlineLevel="0" collapsed="false">
      <c r="A14" s="25" t="n">
        <v>7</v>
      </c>
      <c r="B14" s="26" t="str">
        <f aca="false">IFERROR(INDEX($H$4:$H$34,MATCH($A14,$L$4:$L$34,0)),"")</f>
        <v>Thiago Ramos Silva</v>
      </c>
      <c r="C14" s="25" t="n">
        <f aca="false">IFERROR(INDEX($I$4:$I$34,MATCH($A14,$L$4:$L$34,0)),"")</f>
        <v>1</v>
      </c>
      <c r="D14" s="25" t="n">
        <f aca="false">IFERROR(INDEX($J$4:$J$34,MATCH($A14,$L$4:$L$34,0)),"")</f>
        <v>2</v>
      </c>
      <c r="E14" s="54" t="n">
        <f aca="false">IF($D14=0,"-",$C14/$D14)</f>
        <v>0.5</v>
      </c>
      <c r="H14" s="48" t="n">
        <f aca="false">Técnicos!$C$15</f>
        <v>0</v>
      </c>
      <c r="I14" s="48" t="n">
        <f aca="false">SUMIFS('Controle de Entrega'!$E$6:$E$1575,'Controle de Entrega'!$N$6:$N$1575,H14,'Controle de Entrega'!$G$6:$G$1575,"&gt;="&amp;$C$4,'Controle de Entrega'!$G$6:$G$1575,"&lt;="&amp;$E$4,'Controle de Entrega'!$I$6:$I$1575,"CLIENTE*")</f>
        <v>0</v>
      </c>
      <c r="J14" s="48" t="n">
        <f aca="false">SUMIFS('Controle de Entrega'!$E$6:$E$1575,'Controle de Entrega'!$N$6:$N$1575,H14,'Controle de Entrega'!$G$6:$G$1575,"&gt;="&amp;$C$4,'Controle de Entrega'!$G$6:$G$1575,"&lt;="&amp;$E$4)</f>
        <v>0</v>
      </c>
      <c r="K14" s="48" t="n">
        <f aca="false">I14-ROW()/100000000</f>
        <v>-1.4E-007</v>
      </c>
      <c r="L14" s="48" t="n">
        <f aca="false">RANK(K14,$K$4:$K$34)</f>
        <v>11</v>
      </c>
    </row>
    <row r="15" customFormat="false" ht="15" hidden="false" customHeight="false" outlineLevel="0" collapsed="false">
      <c r="A15" s="25" t="n">
        <v>8</v>
      </c>
      <c r="B15" s="26" t="str">
        <f aca="false">IFERROR(INDEX($H$4:$H$34,MATCH($A15,$L$4:$L$34,0)),"")</f>
        <v>Bruno Henrique Costa</v>
      </c>
      <c r="C15" s="25" t="n">
        <f aca="false">IFERROR(INDEX($I$4:$I$34,MATCH($A15,$L$4:$L$34,0)),"")</f>
        <v>0</v>
      </c>
      <c r="D15" s="25" t="n">
        <f aca="false">IFERROR(INDEX($J$4:$J$34,MATCH($A15,$L$4:$L$34,0)),"")</f>
        <v>3</v>
      </c>
      <c r="E15" s="54" t="n">
        <f aca="false">IF($D15=0,"-",$C15/$D15)</f>
        <v>0</v>
      </c>
      <c r="H15" s="48" t="n">
        <f aca="false">Técnicos!$C$16</f>
        <v>0</v>
      </c>
      <c r="I15" s="48" t="n">
        <f aca="false">SUMIFS('Controle de Entrega'!$E$6:$E$1575,'Controle de Entrega'!$N$6:$N$1575,H15,'Controle de Entrega'!$G$6:$G$1575,"&gt;="&amp;$C$4,'Controle de Entrega'!$G$6:$G$1575,"&lt;="&amp;$E$4,'Controle de Entrega'!$I$6:$I$1575,"CLIENTE*")</f>
        <v>0</v>
      </c>
      <c r="J15" s="48" t="n">
        <f aca="false">SUMIFS('Controle de Entrega'!$E$6:$E$1575,'Controle de Entrega'!$N$6:$N$1575,H15,'Controle de Entrega'!$G$6:$G$1575,"&gt;="&amp;$C$4,'Controle de Entrega'!$G$6:$G$1575,"&lt;="&amp;$E$4)</f>
        <v>0</v>
      </c>
      <c r="K15" s="48" t="n">
        <f aca="false">I15-ROW()/100000000</f>
        <v>-1.5E-007</v>
      </c>
      <c r="L15" s="48" t="n">
        <f aca="false">RANK(K15,$K$4:$K$34)</f>
        <v>12</v>
      </c>
    </row>
    <row r="16" customFormat="false" ht="15" hidden="false" customHeight="false" outlineLevel="0" collapsed="false">
      <c r="A16" s="25" t="n">
        <v>9</v>
      </c>
      <c r="B16" s="26" t="n">
        <f aca="false">IFERROR(INDEX($H$4:$H$34,MATCH($A16,$L$4:$L$34,0)),"")</f>
        <v>0</v>
      </c>
      <c r="C16" s="25" t="n">
        <f aca="false">IFERROR(INDEX($I$4:$I$34,MATCH($A16,$L$4:$L$34,0)),"")</f>
        <v>0</v>
      </c>
      <c r="D16" s="25" t="n">
        <f aca="false">IFERROR(INDEX($J$4:$J$34,MATCH($A16,$L$4:$L$34,0)),"")</f>
        <v>0</v>
      </c>
      <c r="E16" s="54" t="str">
        <f aca="false">IF($D16=0,"-",$C16/$D16)</f>
        <v>-</v>
      </c>
      <c r="H16" s="48" t="n">
        <f aca="false">Técnicos!$C$17</f>
        <v>0</v>
      </c>
      <c r="I16" s="48" t="n">
        <f aca="false">SUMIFS('Controle de Entrega'!$E$6:$E$1575,'Controle de Entrega'!$N$6:$N$1575,H16,'Controle de Entrega'!$G$6:$G$1575,"&gt;="&amp;$C$4,'Controle de Entrega'!$G$6:$G$1575,"&lt;="&amp;$E$4,'Controle de Entrega'!$I$6:$I$1575,"CLIENTE*")</f>
        <v>0</v>
      </c>
      <c r="J16" s="48" t="n">
        <f aca="false">SUMIFS('Controle de Entrega'!$E$6:$E$1575,'Controle de Entrega'!$N$6:$N$1575,H16,'Controle de Entrega'!$G$6:$G$1575,"&gt;="&amp;$C$4,'Controle de Entrega'!$G$6:$G$1575,"&lt;="&amp;$E$4)</f>
        <v>0</v>
      </c>
      <c r="K16" s="48" t="n">
        <f aca="false">I16-ROW()/100000000</f>
        <v>-1.6E-007</v>
      </c>
      <c r="L16" s="48" t="n">
        <f aca="false">RANK(K16,$K$4:$K$34)</f>
        <v>13</v>
      </c>
    </row>
    <row r="17" customFormat="false" ht="15" hidden="false" customHeight="false" outlineLevel="0" collapsed="false">
      <c r="A17" s="25" t="n">
        <v>10</v>
      </c>
      <c r="B17" s="26" t="n">
        <f aca="false">IFERROR(INDEX($H$4:$H$34,MATCH($A17,$L$4:$L$34,0)),"")</f>
        <v>0</v>
      </c>
      <c r="C17" s="25" t="n">
        <f aca="false">IFERROR(INDEX($I$4:$I$34,MATCH($A17,$L$4:$L$34,0)),"")</f>
        <v>0</v>
      </c>
      <c r="D17" s="25" t="n">
        <f aca="false">IFERROR(INDEX($J$4:$J$34,MATCH($A17,$L$4:$L$34,0)),"")</f>
        <v>0</v>
      </c>
      <c r="E17" s="54" t="str">
        <f aca="false">IF($D17=0,"-",$C17/$D17)</f>
        <v>-</v>
      </c>
      <c r="H17" s="48" t="n">
        <f aca="false">Técnicos!$C$18</f>
        <v>0</v>
      </c>
      <c r="I17" s="48" t="n">
        <f aca="false">SUMIFS('Controle de Entrega'!$E$6:$E$1575,'Controle de Entrega'!$N$6:$N$1575,H17,'Controle de Entrega'!$G$6:$G$1575,"&gt;="&amp;$C$4,'Controle de Entrega'!$G$6:$G$1575,"&lt;="&amp;$E$4,'Controle de Entrega'!$I$6:$I$1575,"CLIENTE*")</f>
        <v>0</v>
      </c>
      <c r="J17" s="48" t="n">
        <f aca="false">SUMIFS('Controle de Entrega'!$E$6:$E$1575,'Controle de Entrega'!$N$6:$N$1575,H17,'Controle de Entrega'!$G$6:$G$1575,"&gt;="&amp;$C$4,'Controle de Entrega'!$G$6:$G$1575,"&lt;="&amp;$E$4)</f>
        <v>0</v>
      </c>
      <c r="K17" s="48" t="n">
        <f aca="false">I17-ROW()/100000000</f>
        <v>-1.7E-007</v>
      </c>
      <c r="L17" s="48" t="n">
        <f aca="false">RANK(K17,$K$4:$K$34)</f>
        <v>14</v>
      </c>
    </row>
    <row r="18" customFormat="false" ht="15" hidden="false" customHeight="false" outlineLevel="0" collapsed="false">
      <c r="A18" s="25" t="n">
        <v>11</v>
      </c>
      <c r="B18" s="26" t="n">
        <f aca="false">IFERROR(INDEX($H$4:$H$34,MATCH($A18,$L$4:$L$34,0)),"")</f>
        <v>0</v>
      </c>
      <c r="C18" s="25" t="n">
        <f aca="false">IFERROR(INDEX($I$4:$I$34,MATCH($A18,$L$4:$L$34,0)),"")</f>
        <v>0</v>
      </c>
      <c r="D18" s="25" t="n">
        <f aca="false">IFERROR(INDEX($J$4:$J$34,MATCH($A18,$L$4:$L$34,0)),"")</f>
        <v>0</v>
      </c>
      <c r="E18" s="54" t="str">
        <f aca="false">IF($D18=0,"-",$C18/$D18)</f>
        <v>-</v>
      </c>
      <c r="H18" s="48" t="n">
        <f aca="false">Técnicos!$C$19</f>
        <v>0</v>
      </c>
      <c r="I18" s="48" t="n">
        <f aca="false">SUMIFS('Controle de Entrega'!$E$6:$E$1575,'Controle de Entrega'!$N$6:$N$1575,H18,'Controle de Entrega'!$G$6:$G$1575,"&gt;="&amp;$C$4,'Controle de Entrega'!$G$6:$G$1575,"&lt;="&amp;$E$4,'Controle de Entrega'!$I$6:$I$1575,"CLIENTE*")</f>
        <v>0</v>
      </c>
      <c r="J18" s="48" t="n">
        <f aca="false">SUMIFS('Controle de Entrega'!$E$6:$E$1575,'Controle de Entrega'!$N$6:$N$1575,H18,'Controle de Entrega'!$G$6:$G$1575,"&gt;="&amp;$C$4,'Controle de Entrega'!$G$6:$G$1575,"&lt;="&amp;$E$4)</f>
        <v>0</v>
      </c>
      <c r="K18" s="48" t="n">
        <f aca="false">I18-ROW()/100000000</f>
        <v>-1.8E-007</v>
      </c>
      <c r="L18" s="48" t="n">
        <f aca="false">RANK(K18,$K$4:$K$34)</f>
        <v>15</v>
      </c>
    </row>
    <row r="19" customFormat="false" ht="15" hidden="false" customHeight="false" outlineLevel="0" collapsed="false">
      <c r="A19" s="25" t="n">
        <v>12</v>
      </c>
      <c r="B19" s="26" t="n">
        <f aca="false">IFERROR(INDEX($H$4:$H$34,MATCH($A19,$L$4:$L$34,0)),"")</f>
        <v>0</v>
      </c>
      <c r="C19" s="25" t="n">
        <f aca="false">IFERROR(INDEX($I$4:$I$34,MATCH($A19,$L$4:$L$34,0)),"")</f>
        <v>0</v>
      </c>
      <c r="D19" s="25" t="n">
        <f aca="false">IFERROR(INDEX($J$4:$J$34,MATCH($A19,$L$4:$L$34,0)),"")</f>
        <v>0</v>
      </c>
      <c r="E19" s="54" t="str">
        <f aca="false">IF($D19=0,"-",$C19/$D19)</f>
        <v>-</v>
      </c>
      <c r="H19" s="48" t="n">
        <f aca="false">Técnicos!$C$20</f>
        <v>0</v>
      </c>
      <c r="I19" s="48" t="n">
        <f aca="false">SUMIFS('Controle de Entrega'!$E$6:$E$1575,'Controle de Entrega'!$N$6:$N$1575,H19,'Controle de Entrega'!$G$6:$G$1575,"&gt;="&amp;$C$4,'Controle de Entrega'!$G$6:$G$1575,"&lt;="&amp;$E$4,'Controle de Entrega'!$I$6:$I$1575,"CLIENTE*")</f>
        <v>0</v>
      </c>
      <c r="J19" s="48" t="n">
        <f aca="false">SUMIFS('Controle de Entrega'!$E$6:$E$1575,'Controle de Entrega'!$N$6:$N$1575,H19,'Controle de Entrega'!$G$6:$G$1575,"&gt;="&amp;$C$4,'Controle de Entrega'!$G$6:$G$1575,"&lt;="&amp;$E$4)</f>
        <v>0</v>
      </c>
      <c r="K19" s="48" t="n">
        <f aca="false">I19-ROW()/100000000</f>
        <v>-1.9E-007</v>
      </c>
      <c r="L19" s="48" t="n">
        <f aca="false">RANK(K19,$K$4:$K$34)</f>
        <v>16</v>
      </c>
    </row>
    <row r="20" customFormat="false" ht="15" hidden="false" customHeight="false" outlineLevel="0" collapsed="false">
      <c r="A20" s="25" t="n">
        <v>13</v>
      </c>
      <c r="B20" s="26" t="n">
        <f aca="false">IFERROR(INDEX($H$4:$H$34,MATCH($A20,$L$4:$L$34,0)),"")</f>
        <v>0</v>
      </c>
      <c r="C20" s="25" t="n">
        <f aca="false">IFERROR(INDEX($I$4:$I$34,MATCH($A20,$L$4:$L$34,0)),"")</f>
        <v>0</v>
      </c>
      <c r="D20" s="25" t="n">
        <f aca="false">IFERROR(INDEX($J$4:$J$34,MATCH($A20,$L$4:$L$34,0)),"")</f>
        <v>0</v>
      </c>
      <c r="E20" s="54" t="str">
        <f aca="false">IF($D20=0,"-",$C20/$D20)</f>
        <v>-</v>
      </c>
      <c r="H20" s="48" t="n">
        <f aca="false">Técnicos!$C$21</f>
        <v>0</v>
      </c>
      <c r="I20" s="48" t="n">
        <f aca="false">SUMIFS('Controle de Entrega'!$E$6:$E$1575,'Controle de Entrega'!$N$6:$N$1575,H20,'Controle de Entrega'!$G$6:$G$1575,"&gt;="&amp;$C$4,'Controle de Entrega'!$G$6:$G$1575,"&lt;="&amp;$E$4,'Controle de Entrega'!$I$6:$I$1575,"CLIENTE*")</f>
        <v>0</v>
      </c>
      <c r="J20" s="48" t="n">
        <f aca="false">SUMIFS('Controle de Entrega'!$E$6:$E$1575,'Controle de Entrega'!$N$6:$N$1575,H20,'Controle de Entrega'!$G$6:$G$1575,"&gt;="&amp;$C$4,'Controle de Entrega'!$G$6:$G$1575,"&lt;="&amp;$E$4)</f>
        <v>0</v>
      </c>
      <c r="K20" s="48" t="n">
        <f aca="false">I20-ROW()/100000000</f>
        <v>-2E-007</v>
      </c>
      <c r="L20" s="48" t="n">
        <f aca="false">RANK(K20,$K$4:$K$34)</f>
        <v>17</v>
      </c>
    </row>
    <row r="21" customFormat="false" ht="15" hidden="false" customHeight="false" outlineLevel="0" collapsed="false">
      <c r="A21" s="25" t="n">
        <v>14</v>
      </c>
      <c r="B21" s="26" t="n">
        <f aca="false">IFERROR(INDEX($H$4:$H$34,MATCH($A21,$L$4:$L$34,0)),"")</f>
        <v>0</v>
      </c>
      <c r="C21" s="25" t="n">
        <f aca="false">IFERROR(INDEX($I$4:$I$34,MATCH($A21,$L$4:$L$34,0)),"")</f>
        <v>0</v>
      </c>
      <c r="D21" s="25" t="n">
        <f aca="false">IFERROR(INDEX($J$4:$J$34,MATCH($A21,$L$4:$L$34,0)),"")</f>
        <v>0</v>
      </c>
      <c r="E21" s="54" t="str">
        <f aca="false">IF($D21=0,"-",$C21/$D21)</f>
        <v>-</v>
      </c>
      <c r="H21" s="48" t="n">
        <f aca="false">Técnicos!$C$22</f>
        <v>0</v>
      </c>
      <c r="I21" s="48" t="n">
        <f aca="false">SUMIFS('Controle de Entrega'!$E$6:$E$1575,'Controle de Entrega'!$N$6:$N$1575,H21,'Controle de Entrega'!$G$6:$G$1575,"&gt;="&amp;$C$4,'Controle de Entrega'!$G$6:$G$1575,"&lt;="&amp;$E$4,'Controle de Entrega'!$I$6:$I$1575,"CLIENTE*")</f>
        <v>0</v>
      </c>
      <c r="J21" s="48" t="n">
        <f aca="false">SUMIFS('Controle de Entrega'!$E$6:$E$1575,'Controle de Entrega'!$N$6:$N$1575,H21,'Controle de Entrega'!$G$6:$G$1575,"&gt;="&amp;$C$4,'Controle de Entrega'!$G$6:$G$1575,"&lt;="&amp;$E$4)</f>
        <v>0</v>
      </c>
      <c r="K21" s="48" t="n">
        <f aca="false">I21-ROW()/100000000</f>
        <v>-2.1E-007</v>
      </c>
      <c r="L21" s="48" t="n">
        <f aca="false">RANK(K21,$K$4:$K$34)</f>
        <v>18</v>
      </c>
    </row>
    <row r="22" customFormat="false" ht="15" hidden="false" customHeight="false" outlineLevel="0" collapsed="false">
      <c r="A22" s="25" t="n">
        <v>15</v>
      </c>
      <c r="B22" s="26" t="n">
        <f aca="false">IFERROR(INDEX($H$4:$H$34,MATCH($A22,$L$4:$L$34,0)),"")</f>
        <v>0</v>
      </c>
      <c r="C22" s="25" t="n">
        <f aca="false">IFERROR(INDEX($I$4:$I$34,MATCH($A22,$L$4:$L$34,0)),"")</f>
        <v>0</v>
      </c>
      <c r="D22" s="25" t="n">
        <f aca="false">IFERROR(INDEX($J$4:$J$34,MATCH($A22,$L$4:$L$34,0)),"")</f>
        <v>0</v>
      </c>
      <c r="E22" s="54" t="str">
        <f aca="false">IF($D22=0,"-",$C22/$D22)</f>
        <v>-</v>
      </c>
      <c r="H22" s="48" t="n">
        <f aca="false">Técnicos!$C$23</f>
        <v>0</v>
      </c>
      <c r="I22" s="48" t="n">
        <f aca="false">SUMIFS('Controle de Entrega'!$E$6:$E$1575,'Controle de Entrega'!$N$6:$N$1575,H22,'Controle de Entrega'!$G$6:$G$1575,"&gt;="&amp;$C$4,'Controle de Entrega'!$G$6:$G$1575,"&lt;="&amp;$E$4,'Controle de Entrega'!$I$6:$I$1575,"CLIENTE*")</f>
        <v>0</v>
      </c>
      <c r="J22" s="48" t="n">
        <f aca="false">SUMIFS('Controle de Entrega'!$E$6:$E$1575,'Controle de Entrega'!$N$6:$N$1575,H22,'Controle de Entrega'!$G$6:$G$1575,"&gt;="&amp;$C$4,'Controle de Entrega'!$G$6:$G$1575,"&lt;="&amp;$E$4)</f>
        <v>0</v>
      </c>
      <c r="K22" s="48" t="n">
        <f aca="false">I22-ROW()/100000000</f>
        <v>-2.2E-007</v>
      </c>
      <c r="L22" s="48" t="n">
        <f aca="false">RANK(K22,$K$4:$K$34)</f>
        <v>19</v>
      </c>
    </row>
    <row r="23" customFormat="false" ht="15" hidden="false" customHeight="false" outlineLevel="0" collapsed="false">
      <c r="A23" s="25" t="n">
        <v>16</v>
      </c>
      <c r="B23" s="26" t="n">
        <f aca="false">IFERROR(INDEX($H$4:$H$34,MATCH($A23,$L$4:$L$34,0)),"")</f>
        <v>0</v>
      </c>
      <c r="C23" s="25" t="n">
        <f aca="false">IFERROR(INDEX($I$4:$I$34,MATCH($A23,$L$4:$L$34,0)),"")</f>
        <v>0</v>
      </c>
      <c r="D23" s="25" t="n">
        <f aca="false">IFERROR(INDEX($J$4:$J$34,MATCH($A23,$L$4:$L$34,0)),"")</f>
        <v>0</v>
      </c>
      <c r="E23" s="54" t="str">
        <f aca="false">IF($D23=0,"-",$C23/$D23)</f>
        <v>-</v>
      </c>
      <c r="H23" s="48" t="n">
        <f aca="false">Técnicos!$C$24</f>
        <v>0</v>
      </c>
      <c r="I23" s="48" t="n">
        <f aca="false">SUMIFS('Controle de Entrega'!$E$6:$E$1575,'Controle de Entrega'!$N$6:$N$1575,H23,'Controle de Entrega'!$G$6:$G$1575,"&gt;="&amp;$C$4,'Controle de Entrega'!$G$6:$G$1575,"&lt;="&amp;$E$4,'Controle de Entrega'!$I$6:$I$1575,"CLIENTE*")</f>
        <v>0</v>
      </c>
      <c r="J23" s="48" t="n">
        <f aca="false">SUMIFS('Controle de Entrega'!$E$6:$E$1575,'Controle de Entrega'!$N$6:$N$1575,H23,'Controle de Entrega'!$G$6:$G$1575,"&gt;="&amp;$C$4,'Controle de Entrega'!$G$6:$G$1575,"&lt;="&amp;$E$4)</f>
        <v>0</v>
      </c>
      <c r="K23" s="48" t="n">
        <f aca="false">I23-ROW()/100000000</f>
        <v>-2.3E-007</v>
      </c>
      <c r="L23" s="48" t="n">
        <f aca="false">RANK(K23,$K$4:$K$34)</f>
        <v>20</v>
      </c>
    </row>
    <row r="24" customFormat="false" ht="15" hidden="false" customHeight="false" outlineLevel="0" collapsed="false">
      <c r="A24" s="25" t="n">
        <v>17</v>
      </c>
      <c r="B24" s="26" t="n">
        <f aca="false">IFERROR(INDEX($H$4:$H$34,MATCH($A24,$L$4:$L$34,0)),"")</f>
        <v>0</v>
      </c>
      <c r="C24" s="25" t="n">
        <f aca="false">IFERROR(INDEX($I$4:$I$34,MATCH($A24,$L$4:$L$34,0)),"")</f>
        <v>0</v>
      </c>
      <c r="D24" s="25" t="n">
        <f aca="false">IFERROR(INDEX($J$4:$J$34,MATCH($A24,$L$4:$L$34,0)),"")</f>
        <v>0</v>
      </c>
      <c r="E24" s="54" t="str">
        <f aca="false">IF($D24=0,"-",$C24/$D24)</f>
        <v>-</v>
      </c>
      <c r="H24" s="48" t="n">
        <f aca="false">Técnicos!$C$25</f>
        <v>0</v>
      </c>
      <c r="I24" s="48" t="n">
        <f aca="false">SUMIFS('Controle de Entrega'!$E$6:$E$1575,'Controle de Entrega'!$N$6:$N$1575,H24,'Controle de Entrega'!$G$6:$G$1575,"&gt;="&amp;$C$4,'Controle de Entrega'!$G$6:$G$1575,"&lt;="&amp;$E$4,'Controle de Entrega'!$I$6:$I$1575,"CLIENTE*")</f>
        <v>0</v>
      </c>
      <c r="J24" s="48" t="n">
        <f aca="false">SUMIFS('Controle de Entrega'!$E$6:$E$1575,'Controle de Entrega'!$N$6:$N$1575,H24,'Controle de Entrega'!$G$6:$G$1575,"&gt;="&amp;$C$4,'Controle de Entrega'!$G$6:$G$1575,"&lt;="&amp;$E$4)</f>
        <v>0</v>
      </c>
      <c r="K24" s="48" t="n">
        <f aca="false">I24-ROW()/100000000</f>
        <v>-2.4E-007</v>
      </c>
      <c r="L24" s="48" t="n">
        <f aca="false">RANK(K24,$K$4:$K$34)</f>
        <v>21</v>
      </c>
    </row>
    <row r="25" customFormat="false" ht="15" hidden="false" customHeight="false" outlineLevel="0" collapsed="false">
      <c r="A25" s="25" t="n">
        <v>18</v>
      </c>
      <c r="B25" s="26" t="n">
        <f aca="false">IFERROR(INDEX($H$4:$H$34,MATCH($A25,$L$4:$L$34,0)),"")</f>
        <v>0</v>
      </c>
      <c r="C25" s="25" t="n">
        <f aca="false">IFERROR(INDEX($I$4:$I$34,MATCH($A25,$L$4:$L$34,0)),"")</f>
        <v>0</v>
      </c>
      <c r="D25" s="25" t="n">
        <f aca="false">IFERROR(INDEX($J$4:$J$34,MATCH($A25,$L$4:$L$34,0)),"")</f>
        <v>0</v>
      </c>
      <c r="E25" s="54" t="str">
        <f aca="false">IF($D25=0,"-",$C25/$D25)</f>
        <v>-</v>
      </c>
      <c r="H25" s="48" t="n">
        <f aca="false">Técnicos!$C$26</f>
        <v>0</v>
      </c>
      <c r="I25" s="48" t="n">
        <f aca="false">SUMIFS('Controle de Entrega'!$E$6:$E$1575,'Controle de Entrega'!$N$6:$N$1575,H25,'Controle de Entrega'!$G$6:$G$1575,"&gt;="&amp;$C$4,'Controle de Entrega'!$G$6:$G$1575,"&lt;="&amp;$E$4,'Controle de Entrega'!$I$6:$I$1575,"CLIENTE*")</f>
        <v>0</v>
      </c>
      <c r="J25" s="48" t="n">
        <f aca="false">SUMIFS('Controle de Entrega'!$E$6:$E$1575,'Controle de Entrega'!$N$6:$N$1575,H25,'Controle de Entrega'!$G$6:$G$1575,"&gt;="&amp;$C$4,'Controle de Entrega'!$G$6:$G$1575,"&lt;="&amp;$E$4)</f>
        <v>0</v>
      </c>
      <c r="K25" s="48" t="n">
        <f aca="false">I25-ROW()/100000000</f>
        <v>-2.5E-007</v>
      </c>
      <c r="L25" s="48" t="n">
        <f aca="false">RANK(K25,$K$4:$K$34)</f>
        <v>22</v>
      </c>
    </row>
    <row r="26" customFormat="false" ht="15" hidden="false" customHeight="false" outlineLevel="0" collapsed="false">
      <c r="A26" s="25" t="n">
        <v>19</v>
      </c>
      <c r="B26" s="26" t="n">
        <f aca="false">IFERROR(INDEX($H$4:$H$34,MATCH($A26,$L$4:$L$34,0)),"")</f>
        <v>0</v>
      </c>
      <c r="C26" s="25" t="n">
        <f aca="false">IFERROR(INDEX($I$4:$I$34,MATCH($A26,$L$4:$L$34,0)),"")</f>
        <v>0</v>
      </c>
      <c r="D26" s="25" t="n">
        <f aca="false">IFERROR(INDEX($J$4:$J$34,MATCH($A26,$L$4:$L$34,0)),"")</f>
        <v>0</v>
      </c>
      <c r="E26" s="54" t="str">
        <f aca="false">IF($D26=0,"-",$C26/$D26)</f>
        <v>-</v>
      </c>
      <c r="H26" s="48" t="n">
        <f aca="false">Técnicos!$C$27</f>
        <v>0</v>
      </c>
      <c r="I26" s="48" t="n">
        <f aca="false">SUMIFS('Controle de Entrega'!$E$6:$E$1575,'Controle de Entrega'!$N$6:$N$1575,H26,'Controle de Entrega'!$G$6:$G$1575,"&gt;="&amp;$C$4,'Controle de Entrega'!$G$6:$G$1575,"&lt;="&amp;$E$4,'Controle de Entrega'!$I$6:$I$1575,"CLIENTE*")</f>
        <v>0</v>
      </c>
      <c r="J26" s="48" t="n">
        <f aca="false">SUMIFS('Controle de Entrega'!$E$6:$E$1575,'Controle de Entrega'!$N$6:$N$1575,H26,'Controle de Entrega'!$G$6:$G$1575,"&gt;="&amp;$C$4,'Controle de Entrega'!$G$6:$G$1575,"&lt;="&amp;$E$4)</f>
        <v>0</v>
      </c>
      <c r="K26" s="48" t="n">
        <f aca="false">I26-ROW()/100000000</f>
        <v>-2.6E-007</v>
      </c>
      <c r="L26" s="48" t="n">
        <f aca="false">RANK(K26,$K$4:$K$34)</f>
        <v>23</v>
      </c>
    </row>
    <row r="27" customFormat="false" ht="15" hidden="false" customHeight="false" outlineLevel="0" collapsed="false">
      <c r="A27" s="25" t="n">
        <v>20</v>
      </c>
      <c r="B27" s="26" t="n">
        <f aca="false">IFERROR(INDEX($H$4:$H$34,MATCH($A27,$L$4:$L$34,0)),"")</f>
        <v>0</v>
      </c>
      <c r="C27" s="25" t="n">
        <f aca="false">IFERROR(INDEX($I$4:$I$34,MATCH($A27,$L$4:$L$34,0)),"")</f>
        <v>0</v>
      </c>
      <c r="D27" s="25" t="n">
        <f aca="false">IFERROR(INDEX($J$4:$J$34,MATCH($A27,$L$4:$L$34,0)),"")</f>
        <v>0</v>
      </c>
      <c r="E27" s="54" t="str">
        <f aca="false">IF($D27=0,"-",$C27/$D27)</f>
        <v>-</v>
      </c>
      <c r="H27" s="48" t="n">
        <f aca="false">Técnicos!$C$28</f>
        <v>0</v>
      </c>
      <c r="I27" s="48" t="n">
        <f aca="false">SUMIFS('Controle de Entrega'!$E$6:$E$1575,'Controle de Entrega'!$N$6:$N$1575,H27,'Controle de Entrega'!$G$6:$G$1575,"&gt;="&amp;$C$4,'Controle de Entrega'!$G$6:$G$1575,"&lt;="&amp;$E$4,'Controle de Entrega'!$I$6:$I$1575,"CLIENTE*")</f>
        <v>0</v>
      </c>
      <c r="J27" s="48" t="n">
        <f aca="false">SUMIFS('Controle de Entrega'!$E$6:$E$1575,'Controle de Entrega'!$N$6:$N$1575,H27,'Controle de Entrega'!$G$6:$G$1575,"&gt;="&amp;$C$4,'Controle de Entrega'!$G$6:$G$1575,"&lt;="&amp;$E$4)</f>
        <v>0</v>
      </c>
      <c r="K27" s="48" t="n">
        <f aca="false">I27-ROW()/100000000</f>
        <v>-2.7E-007</v>
      </c>
      <c r="L27" s="48" t="n">
        <f aca="false">RANK(K27,$K$4:$K$34)</f>
        <v>24</v>
      </c>
    </row>
    <row r="28" customFormat="false" ht="15" hidden="false" customHeight="false" outlineLevel="0" collapsed="false">
      <c r="A28" s="25" t="n">
        <v>21</v>
      </c>
      <c r="B28" s="26" t="n">
        <f aca="false">IFERROR(INDEX($H$4:$H$34,MATCH($A28,$L$4:$L$34,0)),"")</f>
        <v>0</v>
      </c>
      <c r="C28" s="25" t="n">
        <f aca="false">IFERROR(INDEX($I$4:$I$34,MATCH($A28,$L$4:$L$34,0)),"")</f>
        <v>0</v>
      </c>
      <c r="D28" s="25" t="n">
        <f aca="false">IFERROR(INDEX($J$4:$J$34,MATCH($A28,$L$4:$L$34,0)),"")</f>
        <v>0</v>
      </c>
      <c r="E28" s="54" t="str">
        <f aca="false">IF($D28=0,"-",$C28/$D28)</f>
        <v>-</v>
      </c>
      <c r="H28" s="48" t="n">
        <f aca="false">Técnicos!$C$29</f>
        <v>0</v>
      </c>
      <c r="I28" s="48" t="n">
        <f aca="false">SUMIFS('Controle de Entrega'!$E$6:$E$1575,'Controle de Entrega'!$N$6:$N$1575,H28,'Controle de Entrega'!$G$6:$G$1575,"&gt;="&amp;$C$4,'Controle de Entrega'!$G$6:$G$1575,"&lt;="&amp;$E$4,'Controle de Entrega'!$I$6:$I$1575,"CLIENTE*")</f>
        <v>0</v>
      </c>
      <c r="J28" s="48" t="n">
        <f aca="false">SUMIFS('Controle de Entrega'!$E$6:$E$1575,'Controle de Entrega'!$N$6:$N$1575,H28,'Controle de Entrega'!$G$6:$G$1575,"&gt;="&amp;$C$4,'Controle de Entrega'!$G$6:$G$1575,"&lt;="&amp;$E$4)</f>
        <v>0</v>
      </c>
      <c r="K28" s="48" t="n">
        <f aca="false">I28-ROW()/100000000</f>
        <v>-2.8E-007</v>
      </c>
      <c r="L28" s="48" t="n">
        <f aca="false">RANK(K28,$K$4:$K$34)</f>
        <v>25</v>
      </c>
    </row>
    <row r="29" customFormat="false" ht="15" hidden="false" customHeight="false" outlineLevel="0" collapsed="false">
      <c r="A29" s="25" t="n">
        <v>22</v>
      </c>
      <c r="B29" s="26" t="n">
        <f aca="false">IFERROR(INDEX($H$4:$H$34,MATCH($A29,$L$4:$L$34,0)),"")</f>
        <v>0</v>
      </c>
      <c r="C29" s="25" t="n">
        <f aca="false">IFERROR(INDEX($I$4:$I$34,MATCH($A29,$L$4:$L$34,0)),"")</f>
        <v>0</v>
      </c>
      <c r="D29" s="25" t="n">
        <f aca="false">IFERROR(INDEX($J$4:$J$34,MATCH($A29,$L$4:$L$34,0)),"")</f>
        <v>0</v>
      </c>
      <c r="E29" s="54" t="str">
        <f aca="false">IF($D29=0,"-",$C29/$D29)</f>
        <v>-</v>
      </c>
      <c r="H29" s="48" t="n">
        <f aca="false">Técnicos!$C$30</f>
        <v>0</v>
      </c>
      <c r="I29" s="48" t="n">
        <f aca="false">SUMIFS('Controle de Entrega'!$E$6:$E$1575,'Controle de Entrega'!$N$6:$N$1575,H29,'Controle de Entrega'!$G$6:$G$1575,"&gt;="&amp;$C$4,'Controle de Entrega'!$G$6:$G$1575,"&lt;="&amp;$E$4,'Controle de Entrega'!$I$6:$I$1575,"CLIENTE*")</f>
        <v>0</v>
      </c>
      <c r="J29" s="48" t="n">
        <f aca="false">SUMIFS('Controle de Entrega'!$E$6:$E$1575,'Controle de Entrega'!$N$6:$N$1575,H29,'Controle de Entrega'!$G$6:$G$1575,"&gt;="&amp;$C$4,'Controle de Entrega'!$G$6:$G$1575,"&lt;="&amp;$E$4)</f>
        <v>0</v>
      </c>
      <c r="K29" s="48" t="n">
        <f aca="false">I29-ROW()/100000000</f>
        <v>-2.9E-007</v>
      </c>
      <c r="L29" s="48" t="n">
        <f aca="false">RANK(K29,$K$4:$K$34)</f>
        <v>26</v>
      </c>
    </row>
    <row r="30" customFormat="false" ht="15" hidden="false" customHeight="false" outlineLevel="0" collapsed="false">
      <c r="A30" s="25" t="n">
        <v>23</v>
      </c>
      <c r="B30" s="26" t="n">
        <f aca="false">IFERROR(INDEX($H$4:$H$34,MATCH($A30,$L$4:$L$34,0)),"")</f>
        <v>0</v>
      </c>
      <c r="C30" s="25" t="n">
        <f aca="false">IFERROR(INDEX($I$4:$I$34,MATCH($A30,$L$4:$L$34,0)),"")</f>
        <v>0</v>
      </c>
      <c r="D30" s="25" t="n">
        <f aca="false">IFERROR(INDEX($J$4:$J$34,MATCH($A30,$L$4:$L$34,0)),"")</f>
        <v>0</v>
      </c>
      <c r="E30" s="54" t="str">
        <f aca="false">IF($D30=0,"-",$C30/$D30)</f>
        <v>-</v>
      </c>
      <c r="H30" s="48" t="n">
        <f aca="false">Técnicos!$C$31</f>
        <v>0</v>
      </c>
      <c r="I30" s="48" t="n">
        <f aca="false">SUMIFS('Controle de Entrega'!$E$6:$E$1575,'Controle de Entrega'!$N$6:$N$1575,H30,'Controle de Entrega'!$G$6:$G$1575,"&gt;="&amp;$C$4,'Controle de Entrega'!$G$6:$G$1575,"&lt;="&amp;$E$4,'Controle de Entrega'!$I$6:$I$1575,"CLIENTE*")</f>
        <v>0</v>
      </c>
      <c r="J30" s="48" t="n">
        <f aca="false">SUMIFS('Controle de Entrega'!$E$6:$E$1575,'Controle de Entrega'!$N$6:$N$1575,H30,'Controle de Entrega'!$G$6:$G$1575,"&gt;="&amp;$C$4,'Controle de Entrega'!$G$6:$G$1575,"&lt;="&amp;$E$4)</f>
        <v>0</v>
      </c>
      <c r="K30" s="48" t="n">
        <f aca="false">I30-ROW()/100000000</f>
        <v>-3E-007</v>
      </c>
      <c r="L30" s="48" t="n">
        <f aca="false">RANK(K30,$K$4:$K$34)</f>
        <v>27</v>
      </c>
    </row>
    <row r="31" customFormat="false" ht="15" hidden="false" customHeight="false" outlineLevel="0" collapsed="false">
      <c r="A31" s="25" t="n">
        <v>24</v>
      </c>
      <c r="B31" s="26" t="n">
        <f aca="false">IFERROR(INDEX($H$4:$H$34,MATCH($A31,$L$4:$L$34,0)),"")</f>
        <v>0</v>
      </c>
      <c r="C31" s="25" t="n">
        <f aca="false">IFERROR(INDEX($I$4:$I$34,MATCH($A31,$L$4:$L$34,0)),"")</f>
        <v>0</v>
      </c>
      <c r="D31" s="25" t="n">
        <f aca="false">IFERROR(INDEX($J$4:$J$34,MATCH($A31,$L$4:$L$34,0)),"")</f>
        <v>0</v>
      </c>
      <c r="E31" s="54" t="str">
        <f aca="false">IF($D31=0,"-",$C31/$D31)</f>
        <v>-</v>
      </c>
      <c r="H31" s="48" t="n">
        <f aca="false">Técnicos!$C$32</f>
        <v>0</v>
      </c>
      <c r="I31" s="48" t="n">
        <f aca="false">SUMIFS('Controle de Entrega'!$E$6:$E$1575,'Controle de Entrega'!$N$6:$N$1575,H31,'Controle de Entrega'!$G$6:$G$1575,"&gt;="&amp;$C$4,'Controle de Entrega'!$G$6:$G$1575,"&lt;="&amp;$E$4,'Controle de Entrega'!$I$6:$I$1575,"CLIENTE*")</f>
        <v>0</v>
      </c>
      <c r="J31" s="48" t="n">
        <f aca="false">SUMIFS('Controle de Entrega'!$E$6:$E$1575,'Controle de Entrega'!$N$6:$N$1575,H31,'Controle de Entrega'!$G$6:$G$1575,"&gt;="&amp;$C$4,'Controle de Entrega'!$G$6:$G$1575,"&lt;="&amp;$E$4)</f>
        <v>0</v>
      </c>
      <c r="K31" s="48" t="n">
        <f aca="false">I31-ROW()/100000000</f>
        <v>-3.1E-007</v>
      </c>
      <c r="L31" s="48" t="n">
        <f aca="false">RANK(K31,$K$4:$K$34)</f>
        <v>28</v>
      </c>
    </row>
    <row r="32" customFormat="false" ht="15" hidden="false" customHeight="false" outlineLevel="0" collapsed="false">
      <c r="A32" s="25" t="n">
        <v>25</v>
      </c>
      <c r="B32" s="26" t="n">
        <f aca="false">IFERROR(INDEX($H$4:$H$34,MATCH($A32,$L$4:$L$34,0)),"")</f>
        <v>0</v>
      </c>
      <c r="C32" s="25" t="n">
        <f aca="false">IFERROR(INDEX($I$4:$I$34,MATCH($A32,$L$4:$L$34,0)),"")</f>
        <v>0</v>
      </c>
      <c r="D32" s="25" t="n">
        <f aca="false">IFERROR(INDEX($J$4:$J$34,MATCH($A32,$L$4:$L$34,0)),"")</f>
        <v>0</v>
      </c>
      <c r="E32" s="54" t="str">
        <f aca="false">IF($D32=0,"-",$C32/$D32)</f>
        <v>-</v>
      </c>
      <c r="H32" s="48" t="n">
        <f aca="false">Técnicos!$C$33</f>
        <v>0</v>
      </c>
      <c r="I32" s="48" t="n">
        <f aca="false">SUMIFS('Controle de Entrega'!$E$6:$E$1575,'Controle de Entrega'!$N$6:$N$1575,H32,'Controle de Entrega'!$G$6:$G$1575,"&gt;="&amp;$C$4,'Controle de Entrega'!$G$6:$G$1575,"&lt;="&amp;$E$4,'Controle de Entrega'!$I$6:$I$1575,"CLIENTE*")</f>
        <v>0</v>
      </c>
      <c r="J32" s="48" t="n">
        <f aca="false">SUMIFS('Controle de Entrega'!$E$6:$E$1575,'Controle de Entrega'!$N$6:$N$1575,H32,'Controle de Entrega'!$G$6:$G$1575,"&gt;="&amp;$C$4,'Controle de Entrega'!$G$6:$G$1575,"&lt;="&amp;$E$4)</f>
        <v>0</v>
      </c>
      <c r="K32" s="48" t="n">
        <f aca="false">I32-ROW()/100000000</f>
        <v>-3.2E-007</v>
      </c>
      <c r="L32" s="48" t="n">
        <f aca="false">RANK(K32,$K$4:$K$34)</f>
        <v>29</v>
      </c>
    </row>
    <row r="33" customFormat="false" ht="15" hidden="false" customHeight="false" outlineLevel="0" collapsed="false">
      <c r="A33" s="25" t="n">
        <v>26</v>
      </c>
      <c r="B33" s="26" t="n">
        <f aca="false">IFERROR(INDEX($H$4:$H$34,MATCH($A33,$L$4:$L$34,0)),"")</f>
        <v>0</v>
      </c>
      <c r="C33" s="25" t="n">
        <f aca="false">IFERROR(INDEX($I$4:$I$34,MATCH($A33,$L$4:$L$34,0)),"")</f>
        <v>0</v>
      </c>
      <c r="D33" s="25" t="n">
        <f aca="false">IFERROR(INDEX($J$4:$J$34,MATCH($A33,$L$4:$L$34,0)),"")</f>
        <v>0</v>
      </c>
      <c r="E33" s="54" t="str">
        <f aca="false">IF($D33=0,"-",$C33/$D33)</f>
        <v>-</v>
      </c>
      <c r="H33" s="48" t="n">
        <f aca="false">Técnicos!$C$34</f>
        <v>0</v>
      </c>
      <c r="I33" s="48" t="n">
        <f aca="false">SUMIFS('Controle de Entrega'!$E$6:$E$1575,'Controle de Entrega'!$N$6:$N$1575,H33,'Controle de Entrega'!$G$6:$G$1575,"&gt;="&amp;$C$4,'Controle de Entrega'!$G$6:$G$1575,"&lt;="&amp;$E$4,'Controle de Entrega'!$I$6:$I$1575,"CLIENTE*")</f>
        <v>0</v>
      </c>
      <c r="J33" s="48" t="n">
        <f aca="false">SUMIFS('Controle de Entrega'!$E$6:$E$1575,'Controle de Entrega'!$N$6:$N$1575,H33,'Controle de Entrega'!$G$6:$G$1575,"&gt;="&amp;$C$4,'Controle de Entrega'!$G$6:$G$1575,"&lt;="&amp;$E$4)</f>
        <v>0</v>
      </c>
      <c r="K33" s="48" t="n">
        <f aca="false">I33-ROW()/100000000</f>
        <v>-3.3E-007</v>
      </c>
      <c r="L33" s="48" t="n">
        <f aca="false">RANK(K33,$K$4:$K$34)</f>
        <v>30</v>
      </c>
    </row>
    <row r="34" customFormat="false" ht="15" hidden="false" customHeight="false" outlineLevel="0" collapsed="false">
      <c r="A34" s="25" t="n">
        <v>27</v>
      </c>
      <c r="B34" s="26" t="n">
        <f aca="false">IFERROR(INDEX($H$4:$H$34,MATCH($A34,$L$4:$L$34,0)),"")</f>
        <v>0</v>
      </c>
      <c r="C34" s="25" t="n">
        <f aca="false">IFERROR(INDEX($I$4:$I$34,MATCH($A34,$L$4:$L$34,0)),"")</f>
        <v>0</v>
      </c>
      <c r="D34" s="25" t="n">
        <f aca="false">IFERROR(INDEX($J$4:$J$34,MATCH($A34,$L$4:$L$34,0)),"")</f>
        <v>0</v>
      </c>
      <c r="E34" s="54" t="str">
        <f aca="false">IF($D34=0,"-",$C34/$D34)</f>
        <v>-</v>
      </c>
      <c r="H34" s="48" t="n">
        <f aca="false">Técnicos!$C$35</f>
        <v>0</v>
      </c>
      <c r="I34" s="48" t="n">
        <f aca="false">SUMIFS('Controle de Entrega'!$E$6:$E$1575,'Controle de Entrega'!$N$6:$N$1575,H34,'Controle de Entrega'!$G$6:$G$1575,"&gt;="&amp;$C$4,'Controle de Entrega'!$G$6:$G$1575,"&lt;="&amp;$E$4,'Controle de Entrega'!$I$6:$I$1575,"CLIENTE*")</f>
        <v>0</v>
      </c>
      <c r="J34" s="48" t="n">
        <f aca="false">SUMIFS('Controle de Entrega'!$E$6:$E$1575,'Controle de Entrega'!$N$6:$N$1575,H34,'Controle de Entrega'!$G$6:$G$1575,"&gt;="&amp;$C$4,'Controle de Entrega'!$G$6:$G$1575,"&lt;="&amp;$E$4)</f>
        <v>0</v>
      </c>
      <c r="K34" s="48" t="n">
        <f aca="false">I34-ROW()/100000000</f>
        <v>-3.4E-007</v>
      </c>
      <c r="L34" s="48" t="n">
        <f aca="false">RANK(K34,$K$4:$K$34)</f>
        <v>31</v>
      </c>
    </row>
    <row r="35" customFormat="false" ht="15" hidden="false" customHeight="false" outlineLevel="0" collapsed="false">
      <c r="A35" s="25" t="n">
        <v>28</v>
      </c>
      <c r="B35" s="26" t="n">
        <f aca="false">IFERROR(INDEX($H$4:$H$34,MATCH($A35,$L$4:$L$34,0)),"")</f>
        <v>0</v>
      </c>
      <c r="C35" s="25" t="n">
        <f aca="false">IFERROR(INDEX($I$4:$I$34,MATCH($A35,$L$4:$L$34,0)),"")</f>
        <v>0</v>
      </c>
      <c r="D35" s="25" t="n">
        <f aca="false">IFERROR(INDEX($J$4:$J$34,MATCH($A35,$L$4:$L$34,0)),"")</f>
        <v>0</v>
      </c>
      <c r="E35" s="54" t="str">
        <f aca="false">IF($D35=0,"-",$C35/$D35)</f>
        <v>-</v>
      </c>
    </row>
    <row r="36" customFormat="false" ht="15" hidden="false" customHeight="false" outlineLevel="0" collapsed="false">
      <c r="A36" s="25" t="n">
        <v>29</v>
      </c>
      <c r="B36" s="26" t="n">
        <f aca="false">IFERROR(INDEX($H$4:$H$34,MATCH($A36,$L$4:$L$34,0)),"")</f>
        <v>0</v>
      </c>
      <c r="C36" s="25" t="n">
        <f aca="false">IFERROR(INDEX($I$4:$I$34,MATCH($A36,$L$4:$L$34,0)),"")</f>
        <v>0</v>
      </c>
      <c r="D36" s="25" t="n">
        <f aca="false">IFERROR(INDEX($J$4:$J$34,MATCH($A36,$L$4:$L$34,0)),"")</f>
        <v>0</v>
      </c>
      <c r="E36" s="54" t="str">
        <f aca="false">IF($D36=0,"-",$C36/$D36)</f>
        <v>-</v>
      </c>
    </row>
    <row r="37" customFormat="false" ht="15" hidden="false" customHeight="false" outlineLevel="0" collapsed="false">
      <c r="A37" s="25" t="n">
        <v>30</v>
      </c>
      <c r="B37" s="26" t="n">
        <f aca="false">IFERROR(INDEX($H$4:$H$34,MATCH($A37,$L$4:$L$34,0)),"")</f>
        <v>0</v>
      </c>
      <c r="C37" s="25" t="n">
        <f aca="false">IFERROR(INDEX($I$4:$I$34,MATCH($A37,$L$4:$L$34,0)),"")</f>
        <v>0</v>
      </c>
      <c r="D37" s="25" t="n">
        <f aca="false">IFERROR(INDEX($J$4:$J$34,MATCH($A37,$L$4:$L$34,0)),"")</f>
        <v>0</v>
      </c>
      <c r="E37" s="54" t="str">
        <f aca="false">IF($D37=0,"-",$C37/$D37)</f>
        <v>-</v>
      </c>
    </row>
    <row r="38" customFormat="false" ht="15" hidden="false" customHeight="false" outlineLevel="0" collapsed="false">
      <c r="A38" s="25" t="n">
        <v>31</v>
      </c>
      <c r="B38" s="26" t="n">
        <f aca="false">IFERROR(INDEX($H$4:$H$34,MATCH($A38,$L$4:$L$34,0)),"")</f>
        <v>0</v>
      </c>
      <c r="C38" s="25" t="n">
        <f aca="false">IFERROR(INDEX($I$4:$I$34,MATCH($A38,$L$4:$L$34,0)),"")</f>
        <v>0</v>
      </c>
      <c r="D38" s="25" t="n">
        <f aca="false">IFERROR(INDEX($J$4:$J$34,MATCH($A38,$L$4:$L$34,0)),"")</f>
        <v>0</v>
      </c>
      <c r="E38" s="54" t="str">
        <f aca="false">IF($D38=0,"-",$C38/$D38)</f>
        <v>-</v>
      </c>
    </row>
  </sheetData>
  <autoFilter ref="A7:E38"/>
  <mergeCells count="2">
    <mergeCell ref="A1:E1"/>
    <mergeCell ref="A2:E2"/>
  </mergeCells>
  <printOptions headings="false" gridLines="false" gridLinesSet="true" horizontalCentered="false" verticalCentered="false"/>
  <pageMargins left="0.6" right="0.6" top="0.6" bottom="0.6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5"/>
    <col collapsed="false" customWidth="true" hidden="false" outlineLevel="0" max="4" min="4" style="0" width="45"/>
  </cols>
  <sheetData>
    <row r="1" customFormat="false" ht="15" hidden="false" customHeight="false" outlineLevel="0" collapsed="false">
      <c r="A1" s="3" t="s">
        <v>46</v>
      </c>
      <c r="B1" s="3" t="s">
        <v>49</v>
      </c>
      <c r="D1" s="55" t="s">
        <v>115</v>
      </c>
    </row>
    <row r="2" customFormat="false" ht="15" hidden="false" customHeight="false" outlineLevel="0" collapsed="false">
      <c r="A2" s="56" t="s">
        <v>36</v>
      </c>
      <c r="B2" s="56" t="s">
        <v>116</v>
      </c>
      <c r="D2" s="56" t="s">
        <v>117</v>
      </c>
    </row>
    <row r="3" customFormat="false" ht="15" hidden="false" customHeight="false" outlineLevel="0" collapsed="false">
      <c r="A3" s="56" t="s">
        <v>118</v>
      </c>
      <c r="B3" s="56" t="s">
        <v>119</v>
      </c>
      <c r="D3" s="56" t="s">
        <v>120</v>
      </c>
    </row>
    <row r="4" customFormat="false" ht="15" hidden="false" customHeight="false" outlineLevel="0" collapsed="false">
      <c r="A4" s="56" t="s">
        <v>121</v>
      </c>
      <c r="B4" s="56" t="s">
        <v>122</v>
      </c>
      <c r="D4" s="56" t="s">
        <v>123</v>
      </c>
    </row>
    <row r="5" customFormat="false" ht="15" hidden="false" customHeight="false" outlineLevel="0" collapsed="false">
      <c r="A5" s="56" t="s">
        <v>124</v>
      </c>
      <c r="B5" s="56" t="s">
        <v>125</v>
      </c>
      <c r="D5" s="56" t="s">
        <v>125</v>
      </c>
    </row>
    <row r="6" customFormat="false" ht="15" hidden="false" customHeight="false" outlineLevel="0" collapsed="false">
      <c r="A6" s="56" t="s">
        <v>126</v>
      </c>
      <c r="B6" s="56" t="s">
        <v>127</v>
      </c>
      <c r="D6" s="56" t="s">
        <v>128</v>
      </c>
    </row>
    <row r="7" customFormat="false" ht="15" hidden="false" customHeight="false" outlineLevel="0" collapsed="false">
      <c r="A7" s="56" t="s">
        <v>129</v>
      </c>
      <c r="B7" s="56" t="s">
        <v>130</v>
      </c>
      <c r="D7" s="56" t="s">
        <v>131</v>
      </c>
    </row>
    <row r="8" customFormat="false" ht="15" hidden="false" customHeight="false" outlineLevel="0" collapsed="false">
      <c r="A8" s="56" t="s">
        <v>132</v>
      </c>
      <c r="B8" s="56" t="s">
        <v>133</v>
      </c>
      <c r="D8" s="56" t="s">
        <v>116</v>
      </c>
    </row>
    <row r="9" customFormat="false" ht="15" hidden="false" customHeight="false" outlineLevel="0" collapsed="false">
      <c r="A9" s="56" t="s">
        <v>134</v>
      </c>
      <c r="B9" s="56" t="s">
        <v>135</v>
      </c>
      <c r="D9" s="56" t="s">
        <v>136</v>
      </c>
    </row>
    <row r="10" customFormat="false" ht="15" hidden="false" customHeight="false" outlineLevel="0" collapsed="false">
      <c r="A10" s="56" t="s">
        <v>137</v>
      </c>
      <c r="B10" s="56" t="s">
        <v>138</v>
      </c>
      <c r="D10" s="56" t="s">
        <v>139</v>
      </c>
    </row>
    <row r="11" customFormat="false" ht="15" hidden="false" customHeight="false" outlineLevel="0" collapsed="false">
      <c r="A11" s="56" t="s">
        <v>140</v>
      </c>
      <c r="B11" s="56" t="s">
        <v>141</v>
      </c>
      <c r="D11" s="56" t="s">
        <v>127</v>
      </c>
    </row>
    <row r="12" customFormat="false" ht="15" hidden="false" customHeight="false" outlineLevel="0" collapsed="false">
      <c r="A12" s="56" t="s">
        <v>142</v>
      </c>
      <c r="B12" s="56" t="s">
        <v>143</v>
      </c>
      <c r="D12" s="56" t="s">
        <v>119</v>
      </c>
    </row>
    <row r="13" customFormat="false" ht="15" hidden="false" customHeight="false" outlineLevel="0" collapsed="false">
      <c r="A13" s="56" t="s">
        <v>144</v>
      </c>
      <c r="B13" s="56" t="s">
        <v>145</v>
      </c>
      <c r="D13" s="56" t="s">
        <v>146</v>
      </c>
    </row>
    <row r="14" customFormat="false" ht="15" hidden="false" customHeight="false" outlineLevel="0" collapsed="false">
      <c r="A14" s="56" t="s">
        <v>147</v>
      </c>
      <c r="B14" s="56" t="s">
        <v>148</v>
      </c>
      <c r="D14" s="56" t="s">
        <v>138</v>
      </c>
    </row>
    <row r="15" customFormat="false" ht="15" hidden="false" customHeight="false" outlineLevel="0" collapsed="false">
      <c r="A15" s="56" t="s">
        <v>149</v>
      </c>
      <c r="B15" s="56" t="s">
        <v>123</v>
      </c>
      <c r="D15" s="56" t="s">
        <v>150</v>
      </c>
    </row>
    <row r="16" customFormat="false" ht="15" hidden="false" customHeight="false" outlineLevel="0" collapsed="false">
      <c r="A16" s="56" t="s">
        <v>151</v>
      </c>
      <c r="B16" s="56" t="s">
        <v>120</v>
      </c>
      <c r="D16" s="56" t="s">
        <v>133</v>
      </c>
    </row>
    <row r="17" customFormat="false" ht="15" hidden="false" customHeight="false" outlineLevel="0" collapsed="false">
      <c r="A17" s="56" t="s">
        <v>152</v>
      </c>
      <c r="B17" s="56" t="s">
        <v>153</v>
      </c>
      <c r="D17" s="56" t="s">
        <v>154</v>
      </c>
    </row>
    <row r="18" customFormat="false" ht="15" hidden="false" customHeight="false" outlineLevel="0" collapsed="false">
      <c r="A18" s="56" t="s">
        <v>155</v>
      </c>
      <c r="B18" s="56" t="s">
        <v>156</v>
      </c>
      <c r="D18" s="56" t="s">
        <v>145</v>
      </c>
    </row>
    <row r="19" customFormat="false" ht="15" hidden="false" customHeight="false" outlineLevel="0" collapsed="false">
      <c r="A19" s="56" t="s">
        <v>157</v>
      </c>
      <c r="B19" s="56" t="s">
        <v>158</v>
      </c>
      <c r="D19" s="56" t="s">
        <v>130</v>
      </c>
    </row>
    <row r="20" customFormat="false" ht="15" hidden="false" customHeight="false" outlineLevel="0" collapsed="false">
      <c r="A20" s="56" t="s">
        <v>159</v>
      </c>
      <c r="B20" s="56" t="s">
        <v>116</v>
      </c>
      <c r="D20" s="56" t="s">
        <v>158</v>
      </c>
    </row>
    <row r="21" customFormat="false" ht="15" hidden="false" customHeight="false" outlineLevel="0" collapsed="false">
      <c r="A21" s="56" t="s">
        <v>160</v>
      </c>
      <c r="B21" s="56" t="s">
        <v>161</v>
      </c>
      <c r="D21" s="56" t="s">
        <v>162</v>
      </c>
    </row>
    <row r="22" customFormat="false" ht="15" hidden="false" customHeight="false" outlineLevel="0" collapsed="false">
      <c r="A22" s="56" t="s">
        <v>163</v>
      </c>
      <c r="B22" s="56" t="s">
        <v>146</v>
      </c>
      <c r="D22" s="56" t="s">
        <v>164</v>
      </c>
    </row>
    <row r="23" customFormat="false" ht="15" hidden="false" customHeight="false" outlineLevel="0" collapsed="false">
      <c r="A23" s="56" t="s">
        <v>165</v>
      </c>
      <c r="B23" s="56" t="s">
        <v>123</v>
      </c>
      <c r="D23" s="56" t="s">
        <v>166</v>
      </c>
    </row>
    <row r="24" customFormat="false" ht="15" hidden="false" customHeight="false" outlineLevel="0" collapsed="false">
      <c r="A24" s="56" t="s">
        <v>167</v>
      </c>
      <c r="B24" s="56" t="s">
        <v>166</v>
      </c>
      <c r="D24" s="56" t="s">
        <v>168</v>
      </c>
    </row>
    <row r="25" customFormat="false" ht="15" hidden="false" customHeight="false" outlineLevel="0" collapsed="false">
      <c r="A25" s="56" t="s">
        <v>169</v>
      </c>
      <c r="B25" s="56" t="s">
        <v>117</v>
      </c>
      <c r="D25" s="56" t="s">
        <v>170</v>
      </c>
    </row>
    <row r="26" customFormat="false" ht="15" hidden="false" customHeight="false" outlineLevel="0" collapsed="false">
      <c r="A26" s="56" t="s">
        <v>171</v>
      </c>
      <c r="B26" s="56" t="s">
        <v>125</v>
      </c>
      <c r="D26" s="56" t="s">
        <v>172</v>
      </c>
    </row>
    <row r="27" customFormat="false" ht="15" hidden="false" customHeight="false" outlineLevel="0" collapsed="false">
      <c r="A27" s="56" t="s">
        <v>173</v>
      </c>
      <c r="B27" s="56" t="s">
        <v>127</v>
      </c>
      <c r="D27" s="56" t="s">
        <v>141</v>
      </c>
    </row>
    <row r="28" customFormat="false" ht="15" hidden="false" customHeight="false" outlineLevel="0" collapsed="false">
      <c r="A28" s="56" t="s">
        <v>174</v>
      </c>
      <c r="B28" s="56" t="s">
        <v>168</v>
      </c>
      <c r="D28" s="56" t="s">
        <v>175</v>
      </c>
    </row>
    <row r="29" customFormat="false" ht="15" hidden="false" customHeight="false" outlineLevel="0" collapsed="false">
      <c r="A29" s="56" t="s">
        <v>176</v>
      </c>
      <c r="B29" s="56" t="s">
        <v>130</v>
      </c>
      <c r="D29" s="56" t="s">
        <v>156</v>
      </c>
    </row>
    <row r="30" customFormat="false" ht="15" hidden="false" customHeight="false" outlineLevel="0" collapsed="false">
      <c r="A30" s="56" t="s">
        <v>177</v>
      </c>
      <c r="B30" s="56" t="s">
        <v>154</v>
      </c>
      <c r="D30" s="56" t="s">
        <v>178</v>
      </c>
    </row>
    <row r="31" customFormat="false" ht="15" hidden="false" customHeight="false" outlineLevel="0" collapsed="false">
      <c r="A31" s="56" t="s">
        <v>179</v>
      </c>
      <c r="B31" s="56" t="s">
        <v>131</v>
      </c>
      <c r="D31" s="56" t="s">
        <v>180</v>
      </c>
    </row>
    <row r="32" customFormat="false" ht="15" hidden="false" customHeight="false" outlineLevel="0" collapsed="false">
      <c r="A32" s="56" t="s">
        <v>181</v>
      </c>
      <c r="B32" s="56" t="s">
        <v>150</v>
      </c>
      <c r="D32" s="56" t="s">
        <v>182</v>
      </c>
    </row>
    <row r="33" customFormat="false" ht="15" hidden="false" customHeight="false" outlineLevel="0" collapsed="false">
      <c r="A33" s="56" t="s">
        <v>183</v>
      </c>
      <c r="B33" s="56" t="s">
        <v>139</v>
      </c>
      <c r="D33" s="56" t="s">
        <v>184</v>
      </c>
    </row>
    <row r="34" customFormat="false" ht="15" hidden="false" customHeight="false" outlineLevel="0" collapsed="false">
      <c r="A34" s="56" t="s">
        <v>185</v>
      </c>
      <c r="B34" s="56" t="s">
        <v>141</v>
      </c>
      <c r="D34" s="56" t="s">
        <v>161</v>
      </c>
    </row>
    <row r="35" customFormat="false" ht="15" hidden="false" customHeight="false" outlineLevel="0" collapsed="false">
      <c r="A35" s="56" t="s">
        <v>186</v>
      </c>
      <c r="B35" s="56" t="s">
        <v>172</v>
      </c>
      <c r="D35" s="56" t="s">
        <v>187</v>
      </c>
    </row>
    <row r="36" customFormat="false" ht="15" hidden="false" customHeight="false" outlineLevel="0" collapsed="false">
      <c r="A36" s="56" t="s">
        <v>188</v>
      </c>
      <c r="B36" s="56" t="s">
        <v>128</v>
      </c>
      <c r="D36" s="56" t="s">
        <v>143</v>
      </c>
    </row>
    <row r="37" customFormat="false" ht="15" hidden="false" customHeight="false" outlineLevel="0" collapsed="false">
      <c r="A37" s="56" t="s">
        <v>189</v>
      </c>
      <c r="B37" s="56" t="s">
        <v>175</v>
      </c>
      <c r="D37" s="56" t="s">
        <v>190</v>
      </c>
    </row>
    <row r="38" customFormat="false" ht="15" hidden="false" customHeight="false" outlineLevel="0" collapsed="false">
      <c r="A38" s="56" t="s">
        <v>191</v>
      </c>
      <c r="B38" s="56" t="s">
        <v>145</v>
      </c>
      <c r="D38" s="56" t="s">
        <v>192</v>
      </c>
    </row>
    <row r="39" customFormat="false" ht="15" hidden="false" customHeight="false" outlineLevel="0" collapsed="false">
      <c r="A39" s="56" t="s">
        <v>193</v>
      </c>
      <c r="B39" s="56" t="s">
        <v>194</v>
      </c>
      <c r="D39" s="56" t="s">
        <v>195</v>
      </c>
    </row>
    <row r="40" customFormat="false" ht="15" hidden="false" customHeight="false" outlineLevel="0" collapsed="false">
      <c r="A40" s="56" t="s">
        <v>196</v>
      </c>
      <c r="B40" s="56" t="s">
        <v>197</v>
      </c>
      <c r="D40" s="56" t="s">
        <v>198</v>
      </c>
    </row>
    <row r="41" customFormat="false" ht="15" hidden="false" customHeight="false" outlineLevel="0" collapsed="false">
      <c r="A41" s="56" t="s">
        <v>199</v>
      </c>
      <c r="B41" s="56" t="s">
        <v>117</v>
      </c>
      <c r="D41" s="56" t="s">
        <v>200</v>
      </c>
    </row>
    <row r="42" customFormat="false" ht="15" hidden="false" customHeight="false" outlineLevel="0" collapsed="false">
      <c r="D42" s="56" t="s">
        <v>201</v>
      </c>
    </row>
    <row r="43" customFormat="false" ht="15" hidden="false" customHeight="false" outlineLevel="0" collapsed="false">
      <c r="D43" s="56" t="s">
        <v>202</v>
      </c>
    </row>
    <row r="44" customFormat="false" ht="15" hidden="false" customHeight="false" outlineLevel="0" collapsed="false">
      <c r="D44" s="56" t="s">
        <v>203</v>
      </c>
    </row>
    <row r="45" customFormat="false" ht="15" hidden="false" customHeight="false" outlineLevel="0" collapsed="false">
      <c r="D45" s="56" t="s">
        <v>204</v>
      </c>
    </row>
    <row r="46" customFormat="false" ht="15" hidden="false" customHeight="false" outlineLevel="0" collapsed="false">
      <c r="D46" s="56" t="s">
        <v>205</v>
      </c>
    </row>
    <row r="47" customFormat="false" ht="15" hidden="false" customHeight="false" outlineLevel="0" collapsed="false">
      <c r="D47" s="56" t="s">
        <v>206</v>
      </c>
    </row>
    <row r="48" customFormat="false" ht="15" hidden="false" customHeight="false" outlineLevel="0" collapsed="false">
      <c r="D48" s="56" t="s">
        <v>207</v>
      </c>
    </row>
    <row r="49" customFormat="false" ht="15" hidden="false" customHeight="false" outlineLevel="0" collapsed="false">
      <c r="D49" s="56" t="s">
        <v>208</v>
      </c>
    </row>
    <row r="50" customFormat="false" ht="15" hidden="false" customHeight="false" outlineLevel="0" collapsed="false">
      <c r="D50" s="56" t="s">
        <v>194</v>
      </c>
    </row>
    <row r="51" customFormat="false" ht="15" hidden="false" customHeight="false" outlineLevel="0" collapsed="false">
      <c r="D51" s="56" t="s">
        <v>153</v>
      </c>
    </row>
    <row r="52" customFormat="false" ht="15" hidden="false" customHeight="false" outlineLevel="0" collapsed="false">
      <c r="D52" s="56" t="s">
        <v>135</v>
      </c>
    </row>
    <row r="53" customFormat="false" ht="15" hidden="false" customHeight="false" outlineLevel="0" collapsed="false">
      <c r="D53" s="56" t="s">
        <v>209</v>
      </c>
    </row>
    <row r="54" customFormat="false" ht="15" hidden="false" customHeight="false" outlineLevel="0" collapsed="false">
      <c r="D54" s="56" t="s">
        <v>210</v>
      </c>
    </row>
    <row r="55" customFormat="false" ht="15" hidden="false" customHeight="false" outlineLevel="0" collapsed="false">
      <c r="D55" s="56" t="s">
        <v>211</v>
      </c>
    </row>
    <row r="56" customFormat="false" ht="15" hidden="false" customHeight="false" outlineLevel="0" collapsed="false">
      <c r="D56" s="56" t="s">
        <v>122</v>
      </c>
    </row>
    <row r="57" customFormat="false" ht="15" hidden="false" customHeight="false" outlineLevel="0" collapsed="false">
      <c r="D57" s="56" t="s">
        <v>212</v>
      </c>
    </row>
    <row r="58" customFormat="false" ht="15" hidden="false" customHeight="false" outlineLevel="0" collapsed="false">
      <c r="D58" s="56" t="s">
        <v>213</v>
      </c>
    </row>
    <row r="59" customFormat="false" ht="15" hidden="false" customHeight="false" outlineLevel="0" collapsed="false">
      <c r="D59" s="56" t="s">
        <v>214</v>
      </c>
    </row>
    <row r="60" customFormat="false" ht="15" hidden="false" customHeight="false" outlineLevel="0" collapsed="false">
      <c r="D60" s="56" t="s">
        <v>215</v>
      </c>
    </row>
    <row r="61" customFormat="false" ht="15" hidden="false" customHeight="false" outlineLevel="0" collapsed="false">
      <c r="D61" s="56" t="s">
        <v>148</v>
      </c>
    </row>
    <row r="62" customFormat="false" ht="15" hidden="false" customHeight="false" outlineLevel="0" collapsed="false">
      <c r="D62" s="56" t="s">
        <v>216</v>
      </c>
    </row>
    <row r="63" customFormat="false" ht="15" hidden="false" customHeight="false" outlineLevel="0" collapsed="false">
      <c r="D63" s="56" t="s">
        <v>197</v>
      </c>
    </row>
    <row r="64" customFormat="false" ht="15" hidden="false" customHeight="false" outlineLevel="0" collapsed="false">
      <c r="D64" s="56" t="s">
        <v>217</v>
      </c>
    </row>
    <row r="65" customFormat="false" ht="15" hidden="false" customHeight="false" outlineLevel="0" collapsed="false">
      <c r="D65" s="56" t="s">
        <v>218</v>
      </c>
    </row>
    <row r="66" customFormat="false" ht="15" hidden="false" customHeight="false" outlineLevel="0" collapsed="false">
      <c r="D66" s="56" t="s">
        <v>219</v>
      </c>
    </row>
    <row r="67" customFormat="false" ht="15" hidden="false" customHeight="false" outlineLevel="0" collapsed="false">
      <c r="D67" s="56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1547" activePane="bottomLeft" state="frozen"/>
      <selection pane="topLeft" activeCell="A1" activeCellId="0" sqref="A1"/>
      <selection pane="bottomLeft" activeCell="X1557" activeCellId="0" sqref="X1557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45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46.29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22"/>
    <col collapsed="false" customWidth="true" hidden="true" outlineLevel="0" max="14" min="10" style="0" width="13"/>
  </cols>
  <sheetData>
    <row r="1" customFormat="false" ht="18" hidden="false" customHeight="true" outlineLevel="0" collapsed="false">
      <c r="A1" s="6" t="s">
        <v>221</v>
      </c>
      <c r="B1" s="6"/>
      <c r="C1" s="6"/>
      <c r="D1" s="6"/>
      <c r="E1" s="6"/>
      <c r="F1" s="6"/>
      <c r="G1" s="6"/>
      <c r="H1" s="6"/>
      <c r="I1" s="6"/>
    </row>
    <row r="2" customFormat="false" ht="30" hidden="false" customHeight="true" outlineLevel="0" collapsed="false">
      <c r="A2" s="57" t="s">
        <v>222</v>
      </c>
      <c r="B2" s="57"/>
      <c r="C2" s="57"/>
      <c r="D2" s="57"/>
      <c r="E2" s="57"/>
      <c r="F2" s="57"/>
      <c r="G2" s="57"/>
      <c r="H2" s="57"/>
      <c r="I2" s="57"/>
    </row>
    <row r="3" customFormat="false" ht="13.5" hidden="false" customHeight="true" outlineLevel="0" collapsed="false">
      <c r="A3" s="57"/>
      <c r="B3" s="57"/>
      <c r="C3" s="57"/>
      <c r="D3" s="57"/>
      <c r="E3" s="57"/>
      <c r="F3" s="57"/>
      <c r="G3" s="57"/>
      <c r="H3" s="57"/>
      <c r="I3" s="57"/>
    </row>
    <row r="5" customFormat="false" ht="60" hidden="false" customHeight="true" outlineLevel="0" collapsed="false">
      <c r="A5" s="3" t="s">
        <v>55</v>
      </c>
      <c r="B5" s="3" t="s">
        <v>46</v>
      </c>
      <c r="C5" s="3" t="s">
        <v>49</v>
      </c>
      <c r="D5" s="3" t="s">
        <v>56</v>
      </c>
      <c r="E5" s="3" t="s">
        <v>223</v>
      </c>
      <c r="F5" s="3" t="s">
        <v>57</v>
      </c>
      <c r="G5" s="3" t="s">
        <v>224</v>
      </c>
      <c r="H5" s="3" t="s">
        <v>225</v>
      </c>
      <c r="I5" s="3" t="s">
        <v>226</v>
      </c>
      <c r="J5" s="3" t="s">
        <v>227</v>
      </c>
      <c r="K5" s="29" t="s">
        <v>228</v>
      </c>
      <c r="L5" s="30" t="s">
        <v>229</v>
      </c>
      <c r="M5" s="3" t="s">
        <v>230</v>
      </c>
      <c r="N5" s="3" t="s">
        <v>231</v>
      </c>
    </row>
    <row r="6" customFormat="false" ht="15" hidden="false" customHeight="false" outlineLevel="0" collapsed="false">
      <c r="A6" s="25" t="s">
        <v>232</v>
      </c>
      <c r="B6" s="25" t="s">
        <v>36</v>
      </c>
      <c r="C6" s="26" t="s">
        <v>116</v>
      </c>
      <c r="D6" s="25" t="s">
        <v>38</v>
      </c>
      <c r="E6" s="25" t="n">
        <v>1</v>
      </c>
      <c r="F6" s="25" t="s">
        <v>12</v>
      </c>
      <c r="G6" s="27" t="n">
        <v>46120</v>
      </c>
      <c r="H6" s="25" t="n">
        <v>2400000</v>
      </c>
      <c r="I6" s="26" t="s">
        <v>233</v>
      </c>
      <c r="J6" s="48" t="str">
        <f aca="false">IF($N6="","",IF(AND($N6=Consulta!$C$3,$G6&lt;&gt;"",$G6&gt;=Consulta!$C$4,$G6&lt;=Consulta!$C$5),COUNTIFS($N$6:$N6,Consulta!$C$3,$G$6:$G6,"&gt;="&amp;Consulta!$C$4,$G$6:$G6,"&lt;="&amp;Consulta!$C$5),""))</f>
        <v/>
      </c>
      <c r="K6" s="48" t="str">
        <f aca="false">IF($C6="","",IF(AND($C6=Consulta!$L$3,$G6&lt;&gt;"",$G6&gt;=Consulta!$L$4,$G6&lt;=Consulta!$L$5),COUNTIFS($C$6:$C6,Consulta!$L$3,$G$6:$G6,"&gt;="&amp;Consulta!$L$4,$G$6:$G6,"&lt;="&amp;Consulta!$L$5),""))</f>
        <v/>
      </c>
      <c r="L6" s="48" t="n">
        <f aca="false">IF($D6="","",IF($D6=Consulta!$S$3,COUNTIF($D$6:$D6,Consulta!$S$3),""))</f>
        <v>1</v>
      </c>
      <c r="M6" s="48" t="str">
        <f aca="false">IF($N6="","",IF(AND($N6='Comprovante DEV'!$D$6,$G6='Comprovante DEV'!$D$7),COUNTIFS($N$6:$N6,'Comprovante DEV'!$D$6,$G$6:$G6,'Comprovante DEV'!$D$7),""))</f>
        <v/>
      </c>
      <c r="N6" s="48" t="str">
        <f aca="false">IF($F6="","",IFERROR(VLOOKUP($F6,Apelidos_Tecnico!$A:$B,2,0),$F6))</f>
        <v>Rafael Souza Martins</v>
      </c>
    </row>
    <row r="7" customFormat="false" ht="15" hidden="false" customHeight="false" outlineLevel="0" collapsed="false">
      <c r="A7" s="25" t="s">
        <v>232</v>
      </c>
      <c r="B7" s="25" t="s">
        <v>137</v>
      </c>
      <c r="C7" s="26" t="s">
        <v>138</v>
      </c>
      <c r="D7" s="25" t="s">
        <v>234</v>
      </c>
      <c r="E7" s="25" t="n">
        <v>1</v>
      </c>
      <c r="F7" s="25" t="s">
        <v>12</v>
      </c>
      <c r="G7" s="27" t="n">
        <v>46131</v>
      </c>
      <c r="H7" s="25" t="n">
        <v>2400001</v>
      </c>
      <c r="I7" s="26"/>
      <c r="J7" s="48" t="str">
        <f aca="false">IF($N7="","",IF(AND($N7=Consulta!$C$3,$G7&lt;&gt;"",$G7&gt;=Consulta!$C$4,$G7&lt;=Consulta!$C$5),COUNTIFS($N$6:$N7,Consulta!$C$3,$G$6:$G7,"&gt;="&amp;Consulta!$C$4,$G$6:$G7,"&lt;="&amp;Consulta!$C$5),""))</f>
        <v/>
      </c>
      <c r="K7" s="48" t="str">
        <f aca="false">IF($C7="","",IF(AND($C7=Consulta!$L$3,$G7&lt;&gt;"",$G7&gt;=Consulta!$L$4,$G7&lt;=Consulta!$L$5),COUNTIFS($C$6:$C7,Consulta!$L$3,$G$6:$G7,"&gt;="&amp;Consulta!$L$4,$G$6:$G7,"&lt;="&amp;Consulta!$L$5),""))</f>
        <v/>
      </c>
      <c r="L7" s="48" t="str">
        <f aca="false">IF($D7="","",IF($D7=Consulta!$S$3,COUNTIF($D$6:$D7,Consulta!$S$3),""))</f>
        <v/>
      </c>
      <c r="M7" s="48" t="str">
        <f aca="false">IF($N7="","",IF(AND($N7='Comprovante DEV'!$D$6,$G7='Comprovante DEV'!$D$7),COUNTIFS($N$6:$N7,'Comprovante DEV'!$D$6,$G$6:$G7,'Comprovante DEV'!$D$7),""))</f>
        <v/>
      </c>
      <c r="N7" s="48" t="str">
        <f aca="false">IF($F7="","",IFERROR(VLOOKUP($F7,Apelidos_Tecnico!$A:$B,2,0),$F7))</f>
        <v>Rafael Souza Martins</v>
      </c>
    </row>
    <row r="8" customFormat="false" ht="15" hidden="false" customHeight="false" outlineLevel="0" collapsed="false">
      <c r="A8" s="25" t="s">
        <v>235</v>
      </c>
      <c r="B8" s="25" t="s">
        <v>36</v>
      </c>
      <c r="C8" s="26" t="s">
        <v>116</v>
      </c>
      <c r="D8" s="25" t="s">
        <v>236</v>
      </c>
      <c r="E8" s="25" t="n">
        <v>1</v>
      </c>
      <c r="F8" s="25" t="s">
        <v>8</v>
      </c>
      <c r="G8" s="27" t="n">
        <v>46120</v>
      </c>
      <c r="H8" s="25" t="n">
        <v>2400002</v>
      </c>
      <c r="I8" s="26"/>
      <c r="J8" s="48" t="n">
        <f aca="false">IF($N8="","",IF(AND($N8=Consulta!$C$3,$G8&lt;&gt;"",$G8&gt;=Consulta!$C$4,$G8&lt;=Consulta!$C$5),COUNTIFS($N$6:$N8,Consulta!$C$3,$G$6:$G8,"&gt;="&amp;Consulta!$C$4,$G$6:$G8,"&lt;="&amp;Consulta!$C$5),""))</f>
        <v>1</v>
      </c>
      <c r="K8" s="48" t="str">
        <f aca="false">IF($C8="","",IF(AND($C8=Consulta!$L$3,$G8&lt;&gt;"",$G8&gt;=Consulta!$L$4,$G8&lt;=Consulta!$L$5),COUNTIFS($C$6:$C8,Consulta!$L$3,$G$6:$G8,"&gt;="&amp;Consulta!$L$4,$G$6:$G8,"&lt;="&amp;Consulta!$L$5),""))</f>
        <v/>
      </c>
      <c r="L8" s="48" t="str">
        <f aca="false">IF($D8="","",IF($D8=Consulta!$S$3,COUNTIF($D$6:$D8,Consulta!$S$3),""))</f>
        <v/>
      </c>
      <c r="M8" s="48" t="str">
        <f aca="false">IF($N8="","",IF(AND($N8='Comprovante DEV'!$D$6,$G8='Comprovante DEV'!$D$7),COUNTIFS($N$6:$N8,'Comprovante DEV'!$D$6,$G$6:$G8,'Comprovante DEV'!$D$7),""))</f>
        <v/>
      </c>
      <c r="N8" s="48" t="str">
        <f aca="false">IF($F8="","",IFERROR(VLOOKUP($F8,Apelidos_Tecnico!$A:$B,2,0),$F8))</f>
        <v>Carlos Eduardo Lima</v>
      </c>
    </row>
    <row r="9" customFormat="false" ht="15" hidden="false" customHeight="false" outlineLevel="0" collapsed="false">
      <c r="A9" s="25" t="s">
        <v>235</v>
      </c>
      <c r="B9" s="25" t="s">
        <v>137</v>
      </c>
      <c r="C9" s="26" t="s">
        <v>138</v>
      </c>
      <c r="D9" s="25" t="s">
        <v>237</v>
      </c>
      <c r="E9" s="25" t="n">
        <v>1</v>
      </c>
      <c r="F9" s="25" t="s">
        <v>8</v>
      </c>
      <c r="G9" s="27" t="n">
        <v>46135</v>
      </c>
      <c r="H9" s="25" t="n">
        <v>2400003</v>
      </c>
      <c r="I9" s="26"/>
      <c r="J9" s="48" t="n">
        <f aca="false">IF($N9="","",IF(AND($N9=Consulta!$C$3,$G9&lt;&gt;"",$G9&gt;=Consulta!$C$4,$G9&lt;=Consulta!$C$5),COUNTIFS($N$6:$N9,Consulta!$C$3,$G$6:$G9,"&gt;="&amp;Consulta!$C$4,$G$6:$G9,"&lt;="&amp;Consulta!$C$5),""))</f>
        <v>2</v>
      </c>
      <c r="K9" s="48" t="str">
        <f aca="false">IF($C9="","",IF(AND($C9=Consulta!$L$3,$G9&lt;&gt;"",$G9&gt;=Consulta!$L$4,$G9&lt;=Consulta!$L$5),COUNTIFS($C$6:$C9,Consulta!$L$3,$G$6:$G9,"&gt;="&amp;Consulta!$L$4,$G$6:$G9,"&lt;="&amp;Consulta!$L$5),""))</f>
        <v/>
      </c>
      <c r="L9" s="48" t="str">
        <f aca="false">IF($D9="","",IF($D9=Consulta!$S$3,COUNTIF($D$6:$D9,Consulta!$S$3),""))</f>
        <v/>
      </c>
      <c r="M9" s="48" t="str">
        <f aca="false">IF($N9="","",IF(AND($N9='Comprovante DEV'!$D$6,$G9='Comprovante DEV'!$D$7),COUNTIFS($N$6:$N9,'Comprovante DEV'!$D$6,$G$6:$G9,'Comprovante DEV'!$D$7),""))</f>
        <v/>
      </c>
      <c r="N9" s="48" t="str">
        <f aca="false">IF($F9="","",IFERROR(VLOOKUP($F9,Apelidos_Tecnico!$A:$B,2,0),$F9))</f>
        <v>Carlos Eduardo Lima</v>
      </c>
    </row>
    <row r="10" customFormat="false" ht="15" hidden="false" customHeight="false" outlineLevel="0" collapsed="false">
      <c r="A10" s="25" t="s">
        <v>238</v>
      </c>
      <c r="B10" s="25" t="s">
        <v>118</v>
      </c>
      <c r="C10" s="26" t="s">
        <v>119</v>
      </c>
      <c r="D10" s="25" t="s">
        <v>239</v>
      </c>
      <c r="E10" s="25" t="n">
        <v>1</v>
      </c>
      <c r="F10" s="25" t="s">
        <v>240</v>
      </c>
      <c r="G10" s="27" t="n">
        <v>46131</v>
      </c>
      <c r="H10" s="25" t="n">
        <v>2400004</v>
      </c>
      <c r="I10" s="26" t="s">
        <v>233</v>
      </c>
      <c r="J10" s="48" t="str">
        <f aca="false">IF($N10="","",IF(AND($N10=Consulta!$C$3,$G10&lt;&gt;"",$G10&gt;=Consulta!$C$4,$G10&lt;=Consulta!$C$5),COUNTIFS($N$6:$N10,Consulta!$C$3,$G$6:$G10,"&gt;="&amp;Consulta!$C$4,$G$6:$G10,"&lt;="&amp;Consulta!$C$5),""))</f>
        <v/>
      </c>
      <c r="K10" s="48" t="str">
        <f aca="false">IF($C10="","",IF(AND($C10=Consulta!$L$3,$G10&lt;&gt;"",$G10&gt;=Consulta!$L$4,$G10&lt;=Consulta!$L$5),COUNTIFS($C$6:$C10,Consulta!$L$3,$G$6:$G10,"&gt;="&amp;Consulta!$L$4,$G$6:$G10,"&lt;="&amp;Consulta!$L$5),""))</f>
        <v/>
      </c>
      <c r="L10" s="48" t="str">
        <f aca="false">IF($D10="","",IF($D10=Consulta!$S$3,COUNTIF($D$6:$D10,Consulta!$S$3),""))</f>
        <v/>
      </c>
      <c r="M10" s="48" t="str">
        <f aca="false">IF($N10="","",IF(AND($N10='Comprovante DEV'!$D$6,$G10='Comprovante DEV'!$D$7),COUNTIFS($N$6:$N10,'Comprovante DEV'!$D$6,$G$6:$G10,'Comprovante DEV'!$D$7),""))</f>
        <v/>
      </c>
      <c r="N10" s="48" t="str">
        <f aca="false">IF($F10="","",IFERROR(VLOOKUP($F10,Apelidos_Tecnico!$A:$B,2,0),$F10))</f>
        <v>Thiago Ramos Silva</v>
      </c>
    </row>
    <row r="11" customFormat="false" ht="15" hidden="false" customHeight="false" outlineLevel="0" collapsed="false">
      <c r="A11" s="25" t="s">
        <v>235</v>
      </c>
      <c r="B11" s="25" t="s">
        <v>118</v>
      </c>
      <c r="C11" s="26" t="s">
        <v>119</v>
      </c>
      <c r="D11" s="25" t="s">
        <v>241</v>
      </c>
      <c r="E11" s="25" t="n">
        <v>1</v>
      </c>
      <c r="F11" s="25" t="s">
        <v>8</v>
      </c>
      <c r="G11" s="27" t="n">
        <v>46123</v>
      </c>
      <c r="H11" s="25" t="n">
        <v>2400005</v>
      </c>
      <c r="I11" s="26" t="s">
        <v>233</v>
      </c>
      <c r="J11" s="48" t="n">
        <f aca="false">IF($N11="","",IF(AND($N11=Consulta!$C$3,$G11&lt;&gt;"",$G11&gt;=Consulta!$C$4,$G11&lt;=Consulta!$C$5),COUNTIFS($N$6:$N11,Consulta!$C$3,$G$6:$G11,"&gt;="&amp;Consulta!$C$4,$G$6:$G11,"&lt;="&amp;Consulta!$C$5),""))</f>
        <v>3</v>
      </c>
      <c r="K11" s="48" t="str">
        <f aca="false">IF($C11="","",IF(AND($C11=Consulta!$L$3,$G11&lt;&gt;"",$G11&gt;=Consulta!$L$4,$G11&lt;=Consulta!$L$5),COUNTIFS($C$6:$C11,Consulta!$L$3,$G$6:$G11,"&gt;="&amp;Consulta!$L$4,$G$6:$G11,"&lt;="&amp;Consulta!$L$5),""))</f>
        <v/>
      </c>
      <c r="L11" s="48" t="str">
        <f aca="false">IF($D11="","",IF($D11=Consulta!$S$3,COUNTIF($D$6:$D11,Consulta!$S$3),""))</f>
        <v/>
      </c>
      <c r="M11" s="48" t="str">
        <f aca="false">IF($N11="","",IF(AND($N11='Comprovante DEV'!$D$6,$G11='Comprovante DEV'!$D$7),COUNTIFS($N$6:$N11,'Comprovante DEV'!$D$6,$G$6:$G11,'Comprovante DEV'!$D$7),""))</f>
        <v/>
      </c>
      <c r="N11" s="48" t="str">
        <f aca="false">IF($F11="","",IFERROR(VLOOKUP($F11,Apelidos_Tecnico!$A:$B,2,0),$F11))</f>
        <v>Carlos Eduardo Lima</v>
      </c>
    </row>
    <row r="12" customFormat="false" ht="15" hidden="false" customHeight="false" outlineLevel="0" collapsed="false">
      <c r="A12" s="25" t="s">
        <v>242</v>
      </c>
      <c r="B12" s="25" t="s">
        <v>124</v>
      </c>
      <c r="C12" s="26" t="s">
        <v>125</v>
      </c>
      <c r="D12" s="25" t="s">
        <v>243</v>
      </c>
      <c r="E12" s="25" t="n">
        <v>1</v>
      </c>
      <c r="F12" s="25" t="s">
        <v>17</v>
      </c>
      <c r="G12" s="27" t="n">
        <v>46115</v>
      </c>
      <c r="H12" s="25" t="n">
        <v>2400006</v>
      </c>
      <c r="I12" s="26"/>
      <c r="J12" s="48" t="str">
        <f aca="false">IF($N12="","",IF(AND($N12=Consulta!$C$3,$G12&lt;&gt;"",$G12&gt;=Consulta!$C$4,$G12&lt;=Consulta!$C$5),COUNTIFS($N$6:$N12,Consulta!$C$3,$G$6:$G12,"&gt;="&amp;Consulta!$C$4,$G$6:$G12,"&lt;="&amp;Consulta!$C$5),""))</f>
        <v/>
      </c>
      <c r="K12" s="48" t="str">
        <f aca="false">IF($C12="","",IF(AND($C12=Consulta!$L$3,$G12&lt;&gt;"",$G12&gt;=Consulta!$L$4,$G12&lt;=Consulta!$L$5),COUNTIFS($C$6:$C12,Consulta!$L$3,$G$6:$G12,"&gt;="&amp;Consulta!$L$4,$G$6:$G12,"&lt;="&amp;Consulta!$L$5),""))</f>
        <v/>
      </c>
      <c r="L12" s="48" t="str">
        <f aca="false">IF($D12="","",IF($D12=Consulta!$S$3,COUNTIF($D$6:$D12,Consulta!$S$3),""))</f>
        <v/>
      </c>
      <c r="M12" s="48" t="str">
        <f aca="false">IF($N12="","",IF(AND($N12='Comprovante DEV'!$D$6,$G12='Comprovante DEV'!$D$7),COUNTIFS($N$6:$N12,'Comprovante DEV'!$D$6,$G$6:$G12,'Comprovante DEV'!$D$7),""))</f>
        <v/>
      </c>
      <c r="N12" s="48" t="str">
        <f aca="false">IF($F12="","",IFERROR(VLOOKUP($F12,Apelidos_Tecnico!$A:$B,2,0),$F12))</f>
        <v>Diego Ferreira Alves</v>
      </c>
    </row>
    <row r="13" customFormat="false" ht="15" hidden="false" customHeight="false" outlineLevel="0" collapsed="false">
      <c r="A13" s="25" t="s">
        <v>244</v>
      </c>
      <c r="B13" s="25" t="s">
        <v>124</v>
      </c>
      <c r="C13" s="26" t="s">
        <v>125</v>
      </c>
      <c r="D13" s="25" t="s">
        <v>245</v>
      </c>
      <c r="E13" s="25" t="n">
        <v>1</v>
      </c>
      <c r="F13" s="25" t="s">
        <v>22</v>
      </c>
      <c r="G13" s="27" t="n">
        <v>46121</v>
      </c>
      <c r="H13" s="25" t="n">
        <v>2400007</v>
      </c>
      <c r="I13" s="26"/>
      <c r="J13" s="48" t="str">
        <f aca="false">IF($N13="","",IF(AND($N13=Consulta!$C$3,$G13&lt;&gt;"",$G13&gt;=Consulta!$C$4,$G13&lt;=Consulta!$C$5),COUNTIFS($N$6:$N13,Consulta!$C$3,$G$6:$G13,"&gt;="&amp;Consulta!$C$4,$G$6:$G13,"&lt;="&amp;Consulta!$C$5),""))</f>
        <v/>
      </c>
      <c r="K13" s="48" t="str">
        <f aca="false">IF($C13="","",IF(AND($C13=Consulta!$L$3,$G13&lt;&gt;"",$G13&gt;=Consulta!$L$4,$G13&lt;=Consulta!$L$5),COUNTIFS($C$6:$C13,Consulta!$L$3,$G$6:$G13,"&gt;="&amp;Consulta!$L$4,$G$6:$G13,"&lt;="&amp;Consulta!$L$5),""))</f>
        <v/>
      </c>
      <c r="L13" s="48" t="str">
        <f aca="false">IF($D13="","",IF($D13=Consulta!$S$3,COUNTIF($D$6:$D13,Consulta!$S$3),""))</f>
        <v/>
      </c>
      <c r="M13" s="48" t="str">
        <f aca="false">IF($N13="","",IF(AND($N13='Comprovante DEV'!$D$6,$G13='Comprovante DEV'!$D$7),COUNTIFS($N$6:$N13,'Comprovante DEV'!$D$6,$G$6:$G13,'Comprovante DEV'!$D$7),""))</f>
        <v/>
      </c>
      <c r="N13" s="48" t="str">
        <f aca="false">IF($F13="","",IFERROR(VLOOKUP($F13,Apelidos_Tecnico!$A:$B,2,0),$F13))</f>
        <v>Felipe Augusto Nunes</v>
      </c>
    </row>
    <row r="14" customFormat="false" ht="15" hidden="false" customHeight="false" outlineLevel="0" collapsed="false">
      <c r="A14" s="25" t="s">
        <v>246</v>
      </c>
      <c r="B14" s="25" t="s">
        <v>137</v>
      </c>
      <c r="C14" s="26" t="s">
        <v>138</v>
      </c>
      <c r="D14" s="25" t="s">
        <v>247</v>
      </c>
      <c r="E14" s="25" t="n">
        <v>1</v>
      </c>
      <c r="F14" s="25" t="s">
        <v>248</v>
      </c>
      <c r="G14" s="27" t="n">
        <v>46125</v>
      </c>
      <c r="H14" s="25" t="n">
        <v>2400008</v>
      </c>
      <c r="I14" s="26" t="s">
        <v>233</v>
      </c>
      <c r="J14" s="48" t="str">
        <f aca="false">IF($N14="","",IF(AND($N14=Consulta!$C$3,$G14&lt;&gt;"",$G14&gt;=Consulta!$C$4,$G14&lt;=Consulta!$C$5),COUNTIFS($N$6:$N14,Consulta!$C$3,$G$6:$G14,"&gt;="&amp;Consulta!$C$4,$G$6:$G14,"&lt;="&amp;Consulta!$C$5),""))</f>
        <v/>
      </c>
      <c r="K14" s="48" t="str">
        <f aca="false">IF($C14="","",IF(AND($C14=Consulta!$L$3,$G14&lt;&gt;"",$G14&gt;=Consulta!$L$4,$G14&lt;=Consulta!$L$5),COUNTIFS($C$6:$C14,Consulta!$L$3,$G$6:$G14,"&gt;="&amp;Consulta!$L$4,$G$6:$G14,"&lt;="&amp;Consulta!$L$5),""))</f>
        <v/>
      </c>
      <c r="L14" s="48" t="str">
        <f aca="false">IF($D14="","",IF($D14=Consulta!$S$3,COUNTIF($D$6:$D14,Consulta!$S$3),""))</f>
        <v/>
      </c>
      <c r="M14" s="48" t="str">
        <f aca="false">IF($N14="","",IF(AND($N14='Comprovante DEV'!$D$6,$G14='Comprovante DEV'!$D$7),COUNTIFS($N$6:$N14,'Comprovante DEV'!$D$6,$G$6:$G14,'Comprovante DEV'!$D$7),""))</f>
        <v/>
      </c>
      <c r="N14" s="48" t="str">
        <f aca="false">IF($F14="","",IFERROR(VLOOKUP($F14,Apelidos_Tecnico!$A:$B,2,0),$F14))</f>
        <v>Lucas Pereira Gomes</v>
      </c>
    </row>
    <row r="15" customFormat="false" ht="15" hidden="false" customHeight="false" outlineLevel="0" collapsed="false">
      <c r="A15" s="25" t="s">
        <v>249</v>
      </c>
      <c r="B15" s="25" t="s">
        <v>137</v>
      </c>
      <c r="C15" s="26" t="s">
        <v>138</v>
      </c>
      <c r="D15" s="25" t="s">
        <v>250</v>
      </c>
      <c r="E15" s="25" t="n">
        <v>1</v>
      </c>
      <c r="F15" s="25" t="s">
        <v>19</v>
      </c>
      <c r="G15" s="27" t="n">
        <v>46131</v>
      </c>
      <c r="H15" s="25" t="n">
        <v>2400009</v>
      </c>
      <c r="I15" s="26" t="s">
        <v>233</v>
      </c>
      <c r="J15" s="48" t="str">
        <f aca="false">IF($N15="","",IF(AND($N15=Consulta!$C$3,$G15&lt;&gt;"",$G15&gt;=Consulta!$C$4,$G15&lt;=Consulta!$C$5),COUNTIFS($N$6:$N15,Consulta!$C$3,$G$6:$G15,"&gt;="&amp;Consulta!$C$4,$G$6:$G15,"&lt;="&amp;Consulta!$C$5),""))</f>
        <v/>
      </c>
      <c r="K15" s="48" t="str">
        <f aca="false">IF($C15="","",IF(AND($C15=Consulta!$L$3,$G15&lt;&gt;"",$G15&gt;=Consulta!$L$4,$G15&lt;=Consulta!$L$5),COUNTIFS($C$6:$C15,Consulta!$L$3,$G$6:$G15,"&gt;="&amp;Consulta!$L$4,$G$6:$G15,"&lt;="&amp;Consulta!$L$5),""))</f>
        <v/>
      </c>
      <c r="L15" s="48" t="str">
        <f aca="false">IF($D15="","",IF($D15=Consulta!$S$3,COUNTIF($D$6:$D15,Consulta!$S$3),""))</f>
        <v/>
      </c>
      <c r="M15" s="48" t="str">
        <f aca="false">IF($N15="","",IF(AND($N15='Comprovante DEV'!$D$6,$G15='Comprovante DEV'!$D$7),COUNTIFS($N$6:$N15,'Comprovante DEV'!$D$6,$G$6:$G15,'Comprovante DEV'!$D$7),""))</f>
        <v/>
      </c>
      <c r="N15" s="48" t="str">
        <f aca="false">IF($F15="","",IFERROR(VLOOKUP($F15,Apelidos_Tecnico!$A:$B,2,0),$F15))</f>
        <v>Marcos Vinícius Rocha</v>
      </c>
    </row>
    <row r="16" customFormat="false" ht="15" hidden="false" customHeight="false" outlineLevel="0" collapsed="false">
      <c r="A16" s="25" t="s">
        <v>232</v>
      </c>
      <c r="B16" s="25" t="s">
        <v>36</v>
      </c>
      <c r="C16" s="26" t="s">
        <v>116</v>
      </c>
      <c r="D16" s="25" t="s">
        <v>251</v>
      </c>
      <c r="E16" s="25" t="n">
        <v>1</v>
      </c>
      <c r="F16" s="25" t="s">
        <v>12</v>
      </c>
      <c r="G16" s="27" t="n">
        <v>46120</v>
      </c>
      <c r="H16" s="25" t="n">
        <v>2400010</v>
      </c>
      <c r="I16" s="26"/>
      <c r="J16" s="48" t="str">
        <f aca="false">IF($N16="","",IF(AND($N16=Consulta!$C$3,$G16&lt;&gt;"",$G16&gt;=Consulta!$C$4,$G16&lt;=Consulta!$C$5),COUNTIFS($N$6:$N16,Consulta!$C$3,$G$6:$G16,"&gt;="&amp;Consulta!$C$4,$G$6:$G16,"&lt;="&amp;Consulta!$C$5),""))</f>
        <v/>
      </c>
      <c r="K16" s="48" t="str">
        <f aca="false">IF($C16="","",IF(AND($C16=Consulta!$L$3,$G16&lt;&gt;"",$G16&gt;=Consulta!$L$4,$G16&lt;=Consulta!$L$5),COUNTIFS($C$6:$C16,Consulta!$L$3,$G$6:$G16,"&gt;="&amp;Consulta!$L$4,$G$6:$G16,"&lt;="&amp;Consulta!$L$5),""))</f>
        <v/>
      </c>
      <c r="L16" s="48" t="str">
        <f aca="false">IF($D16="","",IF($D16=Consulta!$S$3,COUNTIF($D$6:$D16,Consulta!$S$3),""))</f>
        <v/>
      </c>
      <c r="M16" s="48" t="str">
        <f aca="false">IF($N16="","",IF(AND($N16='Comprovante DEV'!$D$6,$G16='Comprovante DEV'!$D$7),COUNTIFS($N$6:$N16,'Comprovante DEV'!$D$6,$G$6:$G16,'Comprovante DEV'!$D$7),""))</f>
        <v/>
      </c>
      <c r="N16" s="48" t="str">
        <f aca="false">IF($F16="","",IFERROR(VLOOKUP($F16,Apelidos_Tecnico!$A:$B,2,0),$F16))</f>
        <v>Rafael Souza Martins</v>
      </c>
    </row>
    <row r="17" customFormat="false" ht="15" hidden="false" customHeight="false" outlineLevel="0" collapsed="false">
      <c r="A17" s="25" t="s">
        <v>232</v>
      </c>
      <c r="B17" s="25" t="s">
        <v>118</v>
      </c>
      <c r="C17" s="26" t="s">
        <v>119</v>
      </c>
      <c r="D17" s="25" t="s">
        <v>252</v>
      </c>
      <c r="E17" s="25" t="n">
        <v>1</v>
      </c>
      <c r="F17" s="25" t="s">
        <v>12</v>
      </c>
      <c r="G17" s="27" t="n">
        <v>46125</v>
      </c>
      <c r="H17" s="25" t="n">
        <v>2400011</v>
      </c>
      <c r="I17" s="26" t="s">
        <v>233</v>
      </c>
      <c r="J17" s="48" t="str">
        <f aca="false">IF($N17="","",IF(AND($N17=Consulta!$C$3,$G17&lt;&gt;"",$G17&gt;=Consulta!$C$4,$G17&lt;=Consulta!$C$5),COUNTIFS($N$6:$N17,Consulta!$C$3,$G$6:$G17,"&gt;="&amp;Consulta!$C$4,$G$6:$G17,"&lt;="&amp;Consulta!$C$5),""))</f>
        <v/>
      </c>
      <c r="K17" s="48" t="str">
        <f aca="false">IF($C17="","",IF(AND($C17=Consulta!$L$3,$G17&lt;&gt;"",$G17&gt;=Consulta!$L$4,$G17&lt;=Consulta!$L$5),COUNTIFS($C$6:$C17,Consulta!$L$3,$G$6:$G17,"&gt;="&amp;Consulta!$L$4,$G$6:$G17,"&lt;="&amp;Consulta!$L$5),""))</f>
        <v/>
      </c>
      <c r="L17" s="48" t="str">
        <f aca="false">IF($D17="","",IF($D17=Consulta!$S$3,COUNTIF($D$6:$D17,Consulta!$S$3),""))</f>
        <v/>
      </c>
      <c r="M17" s="48" t="str">
        <f aca="false">IF($N17="","",IF(AND($N17='Comprovante DEV'!$D$6,$G17='Comprovante DEV'!$D$7),COUNTIFS($N$6:$N17,'Comprovante DEV'!$D$6,$G$6:$G17,'Comprovante DEV'!$D$7),""))</f>
        <v/>
      </c>
      <c r="N17" s="48" t="str">
        <f aca="false">IF($F17="","",IFERROR(VLOOKUP($F17,Apelidos_Tecnico!$A:$B,2,0),$F17))</f>
        <v>Rafael Souza Martins</v>
      </c>
    </row>
    <row r="18" customFormat="false" ht="15" hidden="false" customHeight="false" outlineLevel="0" collapsed="false">
      <c r="A18" s="25" t="s">
        <v>244</v>
      </c>
      <c r="B18" s="25" t="s">
        <v>118</v>
      </c>
      <c r="C18" s="26" t="s">
        <v>119</v>
      </c>
      <c r="D18" s="25" t="s">
        <v>253</v>
      </c>
      <c r="E18" s="25" t="n">
        <v>1</v>
      </c>
      <c r="F18" s="25" t="s">
        <v>22</v>
      </c>
      <c r="G18" s="27" t="n">
        <v>46124</v>
      </c>
      <c r="H18" s="25" t="n">
        <v>2400012</v>
      </c>
      <c r="I18" s="26" t="s">
        <v>233</v>
      </c>
      <c r="J18" s="48" t="str">
        <f aca="false">IF($N18="","",IF(AND($N18=Consulta!$C$3,$G18&lt;&gt;"",$G18&gt;=Consulta!$C$4,$G18&lt;=Consulta!$C$5),COUNTIFS($N$6:$N18,Consulta!$C$3,$G$6:$G18,"&gt;="&amp;Consulta!$C$4,$G$6:$G18,"&lt;="&amp;Consulta!$C$5),""))</f>
        <v/>
      </c>
      <c r="K18" s="48" t="str">
        <f aca="false">IF($C18="","",IF(AND($C18=Consulta!$L$3,$G18&lt;&gt;"",$G18&gt;=Consulta!$L$4,$G18&lt;=Consulta!$L$5),COUNTIFS($C$6:$C18,Consulta!$L$3,$G$6:$G18,"&gt;="&amp;Consulta!$L$4,$G$6:$G18,"&lt;="&amp;Consulta!$L$5),""))</f>
        <v/>
      </c>
      <c r="L18" s="48" t="str">
        <f aca="false">IF($D18="","",IF($D18=Consulta!$S$3,COUNTIF($D$6:$D18,Consulta!$S$3),""))</f>
        <v/>
      </c>
      <c r="M18" s="48" t="str">
        <f aca="false">IF($N18="","",IF(AND($N18='Comprovante DEV'!$D$6,$G18='Comprovante DEV'!$D$7),COUNTIFS($N$6:$N18,'Comprovante DEV'!$D$6,$G$6:$G18,'Comprovante DEV'!$D$7),""))</f>
        <v/>
      </c>
      <c r="N18" s="48" t="str">
        <f aca="false">IF($F18="","",IFERROR(VLOOKUP($F18,Apelidos_Tecnico!$A:$B,2,0),$F18))</f>
        <v>Felipe Augusto Nunes</v>
      </c>
    </row>
    <row r="19" customFormat="false" ht="15" hidden="false" customHeight="false" outlineLevel="0" collapsed="false">
      <c r="A19" s="25" t="s">
        <v>249</v>
      </c>
      <c r="B19" s="25" t="s">
        <v>36</v>
      </c>
      <c r="C19" s="26" t="s">
        <v>116</v>
      </c>
      <c r="D19" s="25" t="s">
        <v>254</v>
      </c>
      <c r="E19" s="25" t="n">
        <v>1</v>
      </c>
      <c r="F19" s="25" t="s">
        <v>19</v>
      </c>
      <c r="G19" s="27" t="n">
        <v>46133</v>
      </c>
      <c r="H19" s="25" t="n">
        <v>2400013</v>
      </c>
      <c r="I19" s="26" t="s">
        <v>233</v>
      </c>
      <c r="J19" s="48" t="str">
        <f aca="false">IF($N19="","",IF(AND($N19=Consulta!$C$3,$G19&lt;&gt;"",$G19&gt;=Consulta!$C$4,$G19&lt;=Consulta!$C$5),COUNTIFS($N$6:$N19,Consulta!$C$3,$G$6:$G19,"&gt;="&amp;Consulta!$C$4,$G$6:$G19,"&lt;="&amp;Consulta!$C$5),""))</f>
        <v/>
      </c>
      <c r="K19" s="48" t="str">
        <f aca="false">IF($C19="","",IF(AND($C19=Consulta!$L$3,$G19&lt;&gt;"",$G19&gt;=Consulta!$L$4,$G19&lt;=Consulta!$L$5),COUNTIFS($C$6:$C19,Consulta!$L$3,$G$6:$G19,"&gt;="&amp;Consulta!$L$4,$G$6:$G19,"&lt;="&amp;Consulta!$L$5),""))</f>
        <v/>
      </c>
      <c r="L19" s="48" t="str">
        <f aca="false">IF($D19="","",IF($D19=Consulta!$S$3,COUNTIF($D$6:$D19,Consulta!$S$3),""))</f>
        <v/>
      </c>
      <c r="M19" s="48" t="str">
        <f aca="false">IF($N19="","",IF(AND($N19='Comprovante DEV'!$D$6,$G19='Comprovante DEV'!$D$7),COUNTIFS($N$6:$N19,'Comprovante DEV'!$D$6,$G$6:$G19,'Comprovante DEV'!$D$7),""))</f>
        <v/>
      </c>
      <c r="N19" s="48" t="str">
        <f aca="false">IF($F19="","",IFERROR(VLOOKUP($F19,Apelidos_Tecnico!$A:$B,2,0),$F19))</f>
        <v>Marcos Vinícius Rocha</v>
      </c>
    </row>
    <row r="20" customFormat="false" ht="15" hidden="false" customHeight="false" outlineLevel="0" collapsed="false">
      <c r="A20" s="25" t="s">
        <v>242</v>
      </c>
      <c r="B20" s="25" t="s">
        <v>118</v>
      </c>
      <c r="C20" s="26" t="s">
        <v>119</v>
      </c>
      <c r="D20" s="25" t="s">
        <v>255</v>
      </c>
      <c r="E20" s="25" t="n">
        <v>1</v>
      </c>
      <c r="F20" s="25" t="s">
        <v>17</v>
      </c>
      <c r="G20" s="27" t="n">
        <v>46125</v>
      </c>
      <c r="H20" s="25" t="n">
        <v>2400014</v>
      </c>
      <c r="I20" s="26" t="s">
        <v>233</v>
      </c>
      <c r="J20" s="48" t="str">
        <f aca="false">IF($N20="","",IF(AND($N20=Consulta!$C$3,$G20&lt;&gt;"",$G20&gt;=Consulta!$C$4,$G20&lt;=Consulta!$C$5),COUNTIFS($N$6:$N20,Consulta!$C$3,$G$6:$G20,"&gt;="&amp;Consulta!$C$4,$G$6:$G20,"&lt;="&amp;Consulta!$C$5),""))</f>
        <v/>
      </c>
      <c r="K20" s="48" t="str">
        <f aca="false">IF($C20="","",IF(AND($C20=Consulta!$L$3,$G20&lt;&gt;"",$G20&gt;=Consulta!$L$4,$G20&lt;=Consulta!$L$5),COUNTIFS($C$6:$C20,Consulta!$L$3,$G$6:$G20,"&gt;="&amp;Consulta!$L$4,$G$6:$G20,"&lt;="&amp;Consulta!$L$5),""))</f>
        <v/>
      </c>
      <c r="L20" s="48" t="str">
        <f aca="false">IF($D20="","",IF($D20=Consulta!$S$3,COUNTIF($D$6:$D20,Consulta!$S$3),""))</f>
        <v/>
      </c>
      <c r="M20" s="48" t="str">
        <f aca="false">IF($N20="","",IF(AND($N20='Comprovante DEV'!$D$6,$G20='Comprovante DEV'!$D$7),COUNTIFS($N$6:$N20,'Comprovante DEV'!$D$6,$G$6:$G20,'Comprovante DEV'!$D$7),""))</f>
        <v/>
      </c>
      <c r="N20" s="48" t="str">
        <f aca="false">IF($F20="","",IFERROR(VLOOKUP($F20,Apelidos_Tecnico!$A:$B,2,0),$F20))</f>
        <v>Diego Ferreira Alves</v>
      </c>
    </row>
    <row r="21" customFormat="false" ht="15" hidden="false" customHeight="false" outlineLevel="0" collapsed="false">
      <c r="A21" s="25" t="s">
        <v>242</v>
      </c>
      <c r="B21" s="25" t="s">
        <v>124</v>
      </c>
      <c r="C21" s="26" t="s">
        <v>125</v>
      </c>
      <c r="D21" s="25" t="s">
        <v>256</v>
      </c>
      <c r="E21" s="25" t="n">
        <v>1</v>
      </c>
      <c r="F21" s="25" t="s">
        <v>17</v>
      </c>
      <c r="G21" s="27" t="n">
        <v>46120</v>
      </c>
      <c r="H21" s="25" t="n">
        <v>2400015</v>
      </c>
      <c r="I21" s="26"/>
      <c r="J21" s="48" t="str">
        <f aca="false">IF($N21="","",IF(AND($N21=Consulta!$C$3,$G21&lt;&gt;"",$G21&gt;=Consulta!$C$4,$G21&lt;=Consulta!$C$5),COUNTIFS($N$6:$N21,Consulta!$C$3,$G$6:$G21,"&gt;="&amp;Consulta!$C$4,$G$6:$G21,"&lt;="&amp;Consulta!$C$5),""))</f>
        <v/>
      </c>
      <c r="K21" s="48" t="str">
        <f aca="false">IF($C21="","",IF(AND($C21=Consulta!$L$3,$G21&lt;&gt;"",$G21&gt;=Consulta!$L$4,$G21&lt;=Consulta!$L$5),COUNTIFS($C$6:$C21,Consulta!$L$3,$G$6:$G21,"&gt;="&amp;Consulta!$L$4,$G$6:$G21,"&lt;="&amp;Consulta!$L$5),""))</f>
        <v/>
      </c>
      <c r="L21" s="48" t="str">
        <f aca="false">IF($D21="","",IF($D21=Consulta!$S$3,COUNTIF($D$6:$D21,Consulta!$S$3),""))</f>
        <v/>
      </c>
      <c r="M21" s="48" t="str">
        <f aca="false">IF($N21="","",IF(AND($N21='Comprovante DEV'!$D$6,$G21='Comprovante DEV'!$D$7),COUNTIFS($N$6:$N21,'Comprovante DEV'!$D$6,$G$6:$G21,'Comprovante DEV'!$D$7),""))</f>
        <v/>
      </c>
      <c r="N21" s="48" t="str">
        <f aca="false">IF($F21="","",IFERROR(VLOOKUP($F21,Apelidos_Tecnico!$A:$B,2,0),$F21))</f>
        <v>Diego Ferreira Alves</v>
      </c>
    </row>
    <row r="22" customFormat="false" ht="15" hidden="false" customHeight="false" outlineLevel="0" collapsed="false">
      <c r="A22" s="25" t="s">
        <v>244</v>
      </c>
      <c r="B22" s="25" t="s">
        <v>132</v>
      </c>
      <c r="C22" s="26" t="s">
        <v>133</v>
      </c>
      <c r="D22" s="25" t="s">
        <v>257</v>
      </c>
      <c r="E22" s="25" t="n">
        <v>1</v>
      </c>
      <c r="F22" s="25" t="s">
        <v>22</v>
      </c>
      <c r="G22" s="27" t="n">
        <v>46115</v>
      </c>
      <c r="H22" s="25" t="n">
        <v>2400016</v>
      </c>
      <c r="I22" s="26" t="s">
        <v>233</v>
      </c>
      <c r="J22" s="48" t="str">
        <f aca="false">IF($N22="","",IF(AND($N22=Consulta!$C$3,$G22&lt;&gt;"",$G22&gt;=Consulta!$C$4,$G22&lt;=Consulta!$C$5),COUNTIFS($N$6:$N22,Consulta!$C$3,$G$6:$G22,"&gt;="&amp;Consulta!$C$4,$G$6:$G22,"&lt;="&amp;Consulta!$C$5),""))</f>
        <v/>
      </c>
      <c r="K22" s="48" t="str">
        <f aca="false">IF($C22="","",IF(AND($C22=Consulta!$L$3,$G22&lt;&gt;"",$G22&gt;=Consulta!$L$4,$G22&lt;=Consulta!$L$5),COUNTIFS($C$6:$C22,Consulta!$L$3,$G$6:$G22,"&gt;="&amp;Consulta!$L$4,$G$6:$G22,"&lt;="&amp;Consulta!$L$5),""))</f>
        <v/>
      </c>
      <c r="L22" s="48" t="str">
        <f aca="false">IF($D22="","",IF($D22=Consulta!$S$3,COUNTIF($D$6:$D22,Consulta!$S$3),""))</f>
        <v/>
      </c>
      <c r="M22" s="48" t="str">
        <f aca="false">IF($N22="","",IF(AND($N22='Comprovante DEV'!$D$6,$G22='Comprovante DEV'!$D$7),COUNTIFS($N$6:$N22,'Comprovante DEV'!$D$6,$G$6:$G22,'Comprovante DEV'!$D$7),""))</f>
        <v/>
      </c>
      <c r="N22" s="48" t="str">
        <f aca="false">IF($F22="","",IFERROR(VLOOKUP($F22,Apelidos_Tecnico!$A:$B,2,0),$F22))</f>
        <v>Felipe Augusto Nunes</v>
      </c>
    </row>
    <row r="23" customFormat="false" ht="15" hidden="false" customHeight="false" outlineLevel="0" collapsed="false">
      <c r="A23" s="25" t="s">
        <v>244</v>
      </c>
      <c r="B23" s="25" t="s">
        <v>118</v>
      </c>
      <c r="C23" s="26" t="s">
        <v>119</v>
      </c>
      <c r="D23" s="25" t="s">
        <v>258</v>
      </c>
      <c r="E23" s="25" t="n">
        <v>1</v>
      </c>
      <c r="F23" s="25" t="s">
        <v>22</v>
      </c>
      <c r="G23" s="27" t="n">
        <v>46128</v>
      </c>
      <c r="H23" s="25" t="n">
        <v>2400017</v>
      </c>
      <c r="I23" s="26"/>
      <c r="J23" s="48" t="str">
        <f aca="false">IF($N23="","",IF(AND($N23=Consulta!$C$3,$G23&lt;&gt;"",$G23&gt;=Consulta!$C$4,$G23&lt;=Consulta!$C$5),COUNTIFS($N$6:$N23,Consulta!$C$3,$G$6:$G23,"&gt;="&amp;Consulta!$C$4,$G$6:$G23,"&lt;="&amp;Consulta!$C$5),""))</f>
        <v/>
      </c>
      <c r="K23" s="48" t="str">
        <f aca="false">IF($C23="","",IF(AND($C23=Consulta!$L$3,$G23&lt;&gt;"",$G23&gt;=Consulta!$L$4,$G23&lt;=Consulta!$L$5),COUNTIFS($C$6:$C23,Consulta!$L$3,$G$6:$G23,"&gt;="&amp;Consulta!$L$4,$G$6:$G23,"&lt;="&amp;Consulta!$L$5),""))</f>
        <v/>
      </c>
      <c r="L23" s="48" t="str">
        <f aca="false">IF($D23="","",IF($D23=Consulta!$S$3,COUNTIF($D$6:$D23,Consulta!$S$3),""))</f>
        <v/>
      </c>
      <c r="M23" s="48" t="str">
        <f aca="false">IF($N23="","",IF(AND($N23='Comprovante DEV'!$D$6,$G23='Comprovante DEV'!$D$7),COUNTIFS($N$6:$N23,'Comprovante DEV'!$D$6,$G$6:$G23,'Comprovante DEV'!$D$7),""))</f>
        <v/>
      </c>
      <c r="N23" s="48" t="str">
        <f aca="false">IF($F23="","",IFERROR(VLOOKUP($F23,Apelidos_Tecnico!$A:$B,2,0),$F23))</f>
        <v>Felipe Augusto Nunes</v>
      </c>
    </row>
    <row r="24" customFormat="false" ht="15" hidden="false" customHeight="false" outlineLevel="0" collapsed="false">
      <c r="A24" s="25" t="s">
        <v>246</v>
      </c>
      <c r="B24" s="25" t="s">
        <v>118</v>
      </c>
      <c r="C24" s="26" t="s">
        <v>119</v>
      </c>
      <c r="D24" s="25" t="s">
        <v>259</v>
      </c>
      <c r="E24" s="25" t="n">
        <v>1</v>
      </c>
      <c r="F24" s="25" t="s">
        <v>248</v>
      </c>
      <c r="G24" s="27" t="n">
        <v>46117</v>
      </c>
      <c r="H24" s="25" t="n">
        <v>2400018</v>
      </c>
      <c r="I24" s="26" t="s">
        <v>233</v>
      </c>
      <c r="J24" s="48" t="str">
        <f aca="false">IF($N24="","",IF(AND($N24=Consulta!$C$3,$G24&lt;&gt;"",$G24&gt;=Consulta!$C$4,$G24&lt;=Consulta!$C$5),COUNTIFS($N$6:$N24,Consulta!$C$3,$G$6:$G24,"&gt;="&amp;Consulta!$C$4,$G$6:$G24,"&lt;="&amp;Consulta!$C$5),""))</f>
        <v/>
      </c>
      <c r="K24" s="48" t="str">
        <f aca="false">IF($C24="","",IF(AND($C24=Consulta!$L$3,$G24&lt;&gt;"",$G24&gt;=Consulta!$L$4,$G24&lt;=Consulta!$L$5),COUNTIFS($C$6:$C24,Consulta!$L$3,$G$6:$G24,"&gt;="&amp;Consulta!$L$4,$G$6:$G24,"&lt;="&amp;Consulta!$L$5),""))</f>
        <v/>
      </c>
      <c r="L24" s="48" t="str">
        <f aca="false">IF($D24="","",IF($D24=Consulta!$S$3,COUNTIF($D$6:$D24,Consulta!$S$3),""))</f>
        <v/>
      </c>
      <c r="M24" s="48" t="str">
        <f aca="false">IF($N24="","",IF(AND($N24='Comprovante DEV'!$D$6,$G24='Comprovante DEV'!$D$7),COUNTIFS($N$6:$N24,'Comprovante DEV'!$D$6,$G$6:$G24,'Comprovante DEV'!$D$7),""))</f>
        <v/>
      </c>
      <c r="N24" s="48" t="str">
        <f aca="false">IF($F24="","",IFERROR(VLOOKUP($F24,Apelidos_Tecnico!$A:$B,2,0),$F24))</f>
        <v>Lucas Pereira Gomes</v>
      </c>
    </row>
    <row r="25" customFormat="false" ht="15" hidden="false" customHeight="false" outlineLevel="0" collapsed="false">
      <c r="A25" s="25" t="s">
        <v>249</v>
      </c>
      <c r="B25" s="25" t="s">
        <v>137</v>
      </c>
      <c r="C25" s="26" t="s">
        <v>138</v>
      </c>
      <c r="D25" s="25" t="s">
        <v>260</v>
      </c>
      <c r="E25" s="25" t="n">
        <v>1</v>
      </c>
      <c r="F25" s="25" t="s">
        <v>19</v>
      </c>
      <c r="G25" s="27" t="n">
        <v>46131</v>
      </c>
      <c r="H25" s="25" t="n">
        <v>2400019</v>
      </c>
      <c r="I25" s="26"/>
      <c r="J25" s="48" t="str">
        <f aca="false">IF($N25="","",IF(AND($N25=Consulta!$C$3,$G25&lt;&gt;"",$G25&gt;=Consulta!$C$4,$G25&lt;=Consulta!$C$5),COUNTIFS($N$6:$N25,Consulta!$C$3,$G$6:$G25,"&gt;="&amp;Consulta!$C$4,$G$6:$G25,"&lt;="&amp;Consulta!$C$5),""))</f>
        <v/>
      </c>
      <c r="K25" s="48" t="str">
        <f aca="false">IF($C25="","",IF(AND($C25=Consulta!$L$3,$G25&lt;&gt;"",$G25&gt;=Consulta!$L$4,$G25&lt;=Consulta!$L$5),COUNTIFS($C$6:$C25,Consulta!$L$3,$G$6:$G25,"&gt;="&amp;Consulta!$L$4,$G$6:$G25,"&lt;="&amp;Consulta!$L$5),""))</f>
        <v/>
      </c>
      <c r="L25" s="48" t="str">
        <f aca="false">IF($D25="","",IF($D25=Consulta!$S$3,COUNTIF($D$6:$D25,Consulta!$S$3),""))</f>
        <v/>
      </c>
      <c r="M25" s="48" t="str">
        <f aca="false">IF($N25="","",IF(AND($N25='Comprovante DEV'!$D$6,$G25='Comprovante DEV'!$D$7),COUNTIFS($N$6:$N25,'Comprovante DEV'!$D$6,$G$6:$G25,'Comprovante DEV'!$D$7),""))</f>
        <v/>
      </c>
      <c r="N25" s="48" t="str">
        <f aca="false">IF($F25="","",IFERROR(VLOOKUP($F25,Apelidos_Tecnico!$A:$B,2,0),$F25))</f>
        <v>Marcos Vinícius Rocha</v>
      </c>
    </row>
    <row r="26" customFormat="false" ht="15" hidden="false" customHeight="false" outlineLevel="0" collapsed="false">
      <c r="A26" s="25" t="s">
        <v>242</v>
      </c>
      <c r="B26" s="25" t="s">
        <v>118</v>
      </c>
      <c r="C26" s="26" t="s">
        <v>119</v>
      </c>
      <c r="D26" s="25" t="s">
        <v>261</v>
      </c>
      <c r="E26" s="25" t="n">
        <v>1</v>
      </c>
      <c r="F26" s="25" t="s">
        <v>17</v>
      </c>
      <c r="G26" s="27" t="n">
        <v>46128</v>
      </c>
      <c r="H26" s="25" t="n">
        <v>2400020</v>
      </c>
      <c r="I26" s="26" t="s">
        <v>233</v>
      </c>
      <c r="J26" s="48" t="str">
        <f aca="false">IF($N26="","",IF(AND($N26=Consulta!$C$3,$G26&lt;&gt;"",$G26&gt;=Consulta!$C$4,$G26&lt;=Consulta!$C$5),COUNTIFS($N$6:$N26,Consulta!$C$3,$G$6:$G26,"&gt;="&amp;Consulta!$C$4,$G$6:$G26,"&lt;="&amp;Consulta!$C$5),""))</f>
        <v/>
      </c>
      <c r="K26" s="48" t="str">
        <f aca="false">IF($C26="","",IF(AND($C26=Consulta!$L$3,$G26&lt;&gt;"",$G26&gt;=Consulta!$L$4,$G26&lt;=Consulta!$L$5),COUNTIFS($C$6:$C26,Consulta!$L$3,$G$6:$G26,"&gt;="&amp;Consulta!$L$4,$G$6:$G26,"&lt;="&amp;Consulta!$L$5),""))</f>
        <v/>
      </c>
      <c r="L26" s="48" t="str">
        <f aca="false">IF($D26="","",IF($D26=Consulta!$S$3,COUNTIF($D$6:$D26,Consulta!$S$3),""))</f>
        <v/>
      </c>
      <c r="M26" s="48" t="str">
        <f aca="false">IF($N26="","",IF(AND($N26='Comprovante DEV'!$D$6,$G26='Comprovante DEV'!$D$7),COUNTIFS($N$6:$N26,'Comprovante DEV'!$D$6,$G$6:$G26,'Comprovante DEV'!$D$7),""))</f>
        <v/>
      </c>
      <c r="N26" s="48" t="str">
        <f aca="false">IF($F26="","",IFERROR(VLOOKUP($F26,Apelidos_Tecnico!$A:$B,2,0),$F26))</f>
        <v>Diego Ferreira Alves</v>
      </c>
    </row>
    <row r="27" customFormat="false" ht="15" hidden="false" customHeight="false" outlineLevel="0" collapsed="false">
      <c r="A27" s="25" t="s">
        <v>235</v>
      </c>
      <c r="B27" s="25" t="s">
        <v>36</v>
      </c>
      <c r="C27" s="26" t="s">
        <v>116</v>
      </c>
      <c r="D27" s="25" t="s">
        <v>262</v>
      </c>
      <c r="E27" s="25" t="n">
        <v>1</v>
      </c>
      <c r="F27" s="25" t="s">
        <v>8</v>
      </c>
      <c r="G27" s="27" t="n">
        <v>46133</v>
      </c>
      <c r="H27" s="25" t="n">
        <v>2400021</v>
      </c>
      <c r="I27" s="26" t="s">
        <v>233</v>
      </c>
      <c r="J27" s="48" t="n">
        <f aca="false">IF($N27="","",IF(AND($N27=Consulta!$C$3,$G27&lt;&gt;"",$G27&gt;=Consulta!$C$4,$G27&lt;=Consulta!$C$5),COUNTIFS($N$6:$N27,Consulta!$C$3,$G$6:$G27,"&gt;="&amp;Consulta!$C$4,$G$6:$G27,"&lt;="&amp;Consulta!$C$5),""))</f>
        <v>4</v>
      </c>
      <c r="K27" s="48" t="str">
        <f aca="false">IF($C27="","",IF(AND($C27=Consulta!$L$3,$G27&lt;&gt;"",$G27&gt;=Consulta!$L$4,$G27&lt;=Consulta!$L$5),COUNTIFS($C$6:$C27,Consulta!$L$3,$G$6:$G27,"&gt;="&amp;Consulta!$L$4,$G$6:$G27,"&lt;="&amp;Consulta!$L$5),""))</f>
        <v/>
      </c>
      <c r="L27" s="48" t="str">
        <f aca="false">IF($D27="","",IF($D27=Consulta!$S$3,COUNTIF($D$6:$D27,Consulta!$S$3),""))</f>
        <v/>
      </c>
      <c r="M27" s="48" t="str">
        <f aca="false">IF($N27="","",IF(AND($N27='Comprovante DEV'!$D$6,$G27='Comprovante DEV'!$D$7),COUNTIFS($N$6:$N27,'Comprovante DEV'!$D$6,$G$6:$G27,'Comprovante DEV'!$D$7),""))</f>
        <v/>
      </c>
      <c r="N27" s="48" t="str">
        <f aca="false">IF($F27="","",IFERROR(VLOOKUP($F27,Apelidos_Tecnico!$A:$B,2,0),$F27))</f>
        <v>Carlos Eduardo Lima</v>
      </c>
    </row>
    <row r="28" customFormat="false" ht="15" hidden="false" customHeight="false" outlineLevel="0" collapsed="false">
      <c r="A28" s="25" t="s">
        <v>238</v>
      </c>
      <c r="B28" s="25" t="s">
        <v>137</v>
      </c>
      <c r="C28" s="26" t="s">
        <v>138</v>
      </c>
      <c r="D28" s="25" t="s">
        <v>263</v>
      </c>
      <c r="E28" s="25" t="n">
        <v>1</v>
      </c>
      <c r="F28" s="25" t="s">
        <v>240</v>
      </c>
      <c r="G28" s="27" t="n">
        <v>46125</v>
      </c>
      <c r="H28" s="25" t="n">
        <v>2400022</v>
      </c>
      <c r="I28" s="26"/>
      <c r="J28" s="48" t="str">
        <f aca="false">IF($N28="","",IF(AND($N28=Consulta!$C$3,$G28&lt;&gt;"",$G28&gt;=Consulta!$C$4,$G28&lt;=Consulta!$C$5),COUNTIFS($N$6:$N28,Consulta!$C$3,$G$6:$G28,"&gt;="&amp;Consulta!$C$4,$G$6:$G28,"&lt;="&amp;Consulta!$C$5),""))</f>
        <v/>
      </c>
      <c r="K28" s="48" t="str">
        <f aca="false">IF($C28="","",IF(AND($C28=Consulta!$L$3,$G28&lt;&gt;"",$G28&gt;=Consulta!$L$4,$G28&lt;=Consulta!$L$5),COUNTIFS($C$6:$C28,Consulta!$L$3,$G$6:$G28,"&gt;="&amp;Consulta!$L$4,$G$6:$G28,"&lt;="&amp;Consulta!$L$5),""))</f>
        <v/>
      </c>
      <c r="L28" s="48" t="str">
        <f aca="false">IF($D28="","",IF($D28=Consulta!$S$3,COUNTIF($D$6:$D28,Consulta!$S$3),""))</f>
        <v/>
      </c>
      <c r="M28" s="48" t="str">
        <f aca="false">IF($N28="","",IF(AND($N28='Comprovante DEV'!$D$6,$G28='Comprovante DEV'!$D$7),COUNTIFS($N$6:$N28,'Comprovante DEV'!$D$6,$G$6:$G28,'Comprovante DEV'!$D$7),""))</f>
        <v/>
      </c>
      <c r="N28" s="48" t="str">
        <f aca="false">IF($F28="","",IFERROR(VLOOKUP($F28,Apelidos_Tecnico!$A:$B,2,0),$F28))</f>
        <v>Thiago Ramos Silva</v>
      </c>
    </row>
    <row r="29" customFormat="false" ht="15" hidden="false" customHeight="false" outlineLevel="0" collapsed="false">
      <c r="A29" s="25" t="s">
        <v>246</v>
      </c>
      <c r="B29" s="25" t="s">
        <v>137</v>
      </c>
      <c r="C29" s="26" t="s">
        <v>138</v>
      </c>
      <c r="D29" s="25" t="s">
        <v>264</v>
      </c>
      <c r="E29" s="25" t="n">
        <v>1</v>
      </c>
      <c r="F29" s="25" t="s">
        <v>248</v>
      </c>
      <c r="G29" s="27" t="n">
        <v>46130</v>
      </c>
      <c r="H29" s="25" t="n">
        <v>2400023</v>
      </c>
      <c r="I29" s="26"/>
      <c r="J29" s="48" t="str">
        <f aca="false">IF($N29="","",IF(AND($N29=Consulta!$C$3,$G29&lt;&gt;"",$G29&gt;=Consulta!$C$4,$G29&lt;=Consulta!$C$5),COUNTIFS($N$6:$N29,Consulta!$C$3,$G$6:$G29,"&gt;="&amp;Consulta!$C$4,$G$6:$G29,"&lt;="&amp;Consulta!$C$5),""))</f>
        <v/>
      </c>
      <c r="K29" s="48" t="str">
        <f aca="false">IF($C29="","",IF(AND($C29=Consulta!$L$3,$G29&lt;&gt;"",$G29&gt;=Consulta!$L$4,$G29&lt;=Consulta!$L$5),COUNTIFS($C$6:$C29,Consulta!$L$3,$G$6:$G29,"&gt;="&amp;Consulta!$L$4,$G$6:$G29,"&lt;="&amp;Consulta!$L$5),""))</f>
        <v/>
      </c>
      <c r="L29" s="48" t="str">
        <f aca="false">IF($D29="","",IF($D29=Consulta!$S$3,COUNTIF($D$6:$D29,Consulta!$S$3),""))</f>
        <v/>
      </c>
      <c r="M29" s="48" t="str">
        <f aca="false">IF($N29="","",IF(AND($N29='Comprovante DEV'!$D$6,$G29='Comprovante DEV'!$D$7),COUNTIFS($N$6:$N29,'Comprovante DEV'!$D$6,$G$6:$G29,'Comprovante DEV'!$D$7),""))</f>
        <v/>
      </c>
      <c r="N29" s="48" t="str">
        <f aca="false">IF($F29="","",IFERROR(VLOOKUP($F29,Apelidos_Tecnico!$A:$B,2,0),$F29))</f>
        <v>Lucas Pereira Gomes</v>
      </c>
    </row>
    <row r="30" customFormat="false" ht="15" hidden="false" customHeight="false" outlineLevel="0" collapsed="false">
      <c r="A30" s="25" t="s">
        <v>235</v>
      </c>
      <c r="B30" s="25" t="s">
        <v>36</v>
      </c>
      <c r="C30" s="26" t="s">
        <v>116</v>
      </c>
      <c r="D30" s="25" t="s">
        <v>265</v>
      </c>
      <c r="E30" s="25" t="n">
        <v>1</v>
      </c>
      <c r="F30" s="25" t="s">
        <v>8</v>
      </c>
      <c r="G30" s="27" t="n">
        <v>46137</v>
      </c>
      <c r="H30" s="25" t="n">
        <v>2400024</v>
      </c>
      <c r="I30" s="26" t="s">
        <v>233</v>
      </c>
      <c r="J30" s="48" t="n">
        <f aca="false">IF($N30="","",IF(AND($N30=Consulta!$C$3,$G30&lt;&gt;"",$G30&gt;=Consulta!$C$4,$G30&lt;=Consulta!$C$5),COUNTIFS($N$6:$N30,Consulta!$C$3,$G$6:$G30,"&gt;="&amp;Consulta!$C$4,$G$6:$G30,"&lt;="&amp;Consulta!$C$5),""))</f>
        <v>5</v>
      </c>
      <c r="K30" s="48" t="str">
        <f aca="false">IF($C30="","",IF(AND($C30=Consulta!$L$3,$G30&lt;&gt;"",$G30&gt;=Consulta!$L$4,$G30&lt;=Consulta!$L$5),COUNTIFS($C$6:$C30,Consulta!$L$3,$G$6:$G30,"&gt;="&amp;Consulta!$L$4,$G$6:$G30,"&lt;="&amp;Consulta!$L$5),""))</f>
        <v/>
      </c>
      <c r="L30" s="48" t="str">
        <f aca="false">IF($D30="","",IF($D30=Consulta!$S$3,COUNTIF($D$6:$D30,Consulta!$S$3),""))</f>
        <v/>
      </c>
      <c r="M30" s="48" t="str">
        <f aca="false">IF($N30="","",IF(AND($N30='Comprovante DEV'!$D$6,$G30='Comprovante DEV'!$D$7),COUNTIFS($N$6:$N30,'Comprovante DEV'!$D$6,$G$6:$G30,'Comprovante DEV'!$D$7),""))</f>
        <v/>
      </c>
      <c r="N30" s="48" t="str">
        <f aca="false">IF($F30="","",IFERROR(VLOOKUP($F30,Apelidos_Tecnico!$A:$B,2,0),$F30))</f>
        <v>Carlos Eduardo Lima</v>
      </c>
    </row>
    <row r="31" customFormat="false" ht="15" hidden="false" customHeight="false" outlineLevel="0" collapsed="false">
      <c r="A31" s="25" t="s">
        <v>244</v>
      </c>
      <c r="B31" s="25" t="s">
        <v>36</v>
      </c>
      <c r="C31" s="26" t="s">
        <v>116</v>
      </c>
      <c r="D31" s="25" t="s">
        <v>266</v>
      </c>
      <c r="E31" s="25" t="n">
        <v>1</v>
      </c>
      <c r="F31" s="25" t="s">
        <v>22</v>
      </c>
      <c r="G31" s="27" t="n">
        <v>46126</v>
      </c>
      <c r="H31" s="25" t="n">
        <v>2400025</v>
      </c>
      <c r="I31" s="26" t="s">
        <v>233</v>
      </c>
      <c r="J31" s="48" t="str">
        <f aca="false">IF($N31="","",IF(AND($N31=Consulta!$C$3,$G31&lt;&gt;"",$G31&gt;=Consulta!$C$4,$G31&lt;=Consulta!$C$5),COUNTIFS($N$6:$N31,Consulta!$C$3,$G$6:$G31,"&gt;="&amp;Consulta!$C$4,$G$6:$G31,"&lt;="&amp;Consulta!$C$5),""))</f>
        <v/>
      </c>
      <c r="K31" s="48" t="str">
        <f aca="false">IF($C31="","",IF(AND($C31=Consulta!$L$3,$G31&lt;&gt;"",$G31&gt;=Consulta!$L$4,$G31&lt;=Consulta!$L$5),COUNTIFS($C$6:$C31,Consulta!$L$3,$G$6:$G31,"&gt;="&amp;Consulta!$L$4,$G$6:$G31,"&lt;="&amp;Consulta!$L$5),""))</f>
        <v/>
      </c>
      <c r="L31" s="48" t="str">
        <f aca="false">IF($D31="","",IF($D31=Consulta!$S$3,COUNTIF($D$6:$D31,Consulta!$S$3),""))</f>
        <v/>
      </c>
      <c r="M31" s="48" t="str">
        <f aca="false">IF($N31="","",IF(AND($N31='Comprovante DEV'!$D$6,$G31='Comprovante DEV'!$D$7),COUNTIFS($N$6:$N31,'Comprovante DEV'!$D$6,$G$6:$G31,'Comprovante DEV'!$D$7),""))</f>
        <v/>
      </c>
      <c r="N31" s="48" t="str">
        <f aca="false">IF($F31="","",IFERROR(VLOOKUP($F31,Apelidos_Tecnico!$A:$B,2,0),$F31))</f>
        <v>Felipe Augusto Nunes</v>
      </c>
    </row>
    <row r="32" customFormat="false" ht="15" hidden="false" customHeight="false" outlineLevel="0" collapsed="false">
      <c r="A32" s="25" t="s">
        <v>235</v>
      </c>
      <c r="B32" s="25" t="s">
        <v>124</v>
      </c>
      <c r="C32" s="26" t="s">
        <v>125</v>
      </c>
      <c r="D32" s="25" t="s">
        <v>267</v>
      </c>
      <c r="E32" s="25" t="n">
        <v>1</v>
      </c>
      <c r="F32" s="25" t="s">
        <v>8</v>
      </c>
      <c r="G32" s="27" t="n">
        <v>46137</v>
      </c>
      <c r="H32" s="25" t="n">
        <v>2400026</v>
      </c>
      <c r="I32" s="26" t="s">
        <v>233</v>
      </c>
      <c r="J32" s="48" t="n">
        <f aca="false">IF($N32="","",IF(AND($N32=Consulta!$C$3,$G32&lt;&gt;"",$G32&gt;=Consulta!$C$4,$G32&lt;=Consulta!$C$5),COUNTIFS($N$6:$N32,Consulta!$C$3,$G$6:$G32,"&gt;="&amp;Consulta!$C$4,$G$6:$G32,"&lt;="&amp;Consulta!$C$5),""))</f>
        <v>6</v>
      </c>
      <c r="K32" s="48" t="str">
        <f aca="false">IF($C32="","",IF(AND($C32=Consulta!$L$3,$G32&lt;&gt;"",$G32&gt;=Consulta!$L$4,$G32&lt;=Consulta!$L$5),COUNTIFS($C$6:$C32,Consulta!$L$3,$G$6:$G32,"&gt;="&amp;Consulta!$L$4,$G$6:$G32,"&lt;="&amp;Consulta!$L$5),""))</f>
        <v/>
      </c>
      <c r="L32" s="48" t="str">
        <f aca="false">IF($D32="","",IF($D32=Consulta!$S$3,COUNTIF($D$6:$D32,Consulta!$S$3),""))</f>
        <v/>
      </c>
      <c r="M32" s="48" t="str">
        <f aca="false">IF($N32="","",IF(AND($N32='Comprovante DEV'!$D$6,$G32='Comprovante DEV'!$D$7),COUNTIFS($N$6:$N32,'Comprovante DEV'!$D$6,$G$6:$G32,'Comprovante DEV'!$D$7),""))</f>
        <v/>
      </c>
      <c r="N32" s="48" t="str">
        <f aca="false">IF($F32="","",IFERROR(VLOOKUP($F32,Apelidos_Tecnico!$A:$B,2,0),$F32))</f>
        <v>Carlos Eduardo Lima</v>
      </c>
    </row>
    <row r="33" customFormat="false" ht="15" hidden="false" customHeight="false" outlineLevel="0" collapsed="false">
      <c r="A33" s="25" t="s">
        <v>232</v>
      </c>
      <c r="B33" s="25" t="s">
        <v>124</v>
      </c>
      <c r="C33" s="26" t="s">
        <v>125</v>
      </c>
      <c r="D33" s="25" t="s">
        <v>268</v>
      </c>
      <c r="E33" s="25" t="n">
        <v>1</v>
      </c>
      <c r="F33" s="25" t="s">
        <v>12</v>
      </c>
      <c r="G33" s="27" t="n">
        <v>46129</v>
      </c>
      <c r="H33" s="25" t="n">
        <v>2400027</v>
      </c>
      <c r="I33" s="26"/>
      <c r="J33" s="48" t="str">
        <f aca="false">IF($N33="","",IF(AND($N33=Consulta!$C$3,$G33&lt;&gt;"",$G33&gt;=Consulta!$C$4,$G33&lt;=Consulta!$C$5),COUNTIFS($N$6:$N33,Consulta!$C$3,$G$6:$G33,"&gt;="&amp;Consulta!$C$4,$G$6:$G33,"&lt;="&amp;Consulta!$C$5),""))</f>
        <v/>
      </c>
      <c r="K33" s="48" t="str">
        <f aca="false">IF($C33="","",IF(AND($C33=Consulta!$L$3,$G33&lt;&gt;"",$G33&gt;=Consulta!$L$4,$G33&lt;=Consulta!$L$5),COUNTIFS($C$6:$C33,Consulta!$L$3,$G$6:$G33,"&gt;="&amp;Consulta!$L$4,$G$6:$G33,"&lt;="&amp;Consulta!$L$5),""))</f>
        <v/>
      </c>
      <c r="L33" s="48" t="str">
        <f aca="false">IF($D33="","",IF($D33=Consulta!$S$3,COUNTIF($D$6:$D33,Consulta!$S$3),""))</f>
        <v/>
      </c>
      <c r="M33" s="48" t="str">
        <f aca="false">IF($N33="","",IF(AND($N33='Comprovante DEV'!$D$6,$G33='Comprovante DEV'!$D$7),COUNTIFS($N$6:$N33,'Comprovante DEV'!$D$6,$G$6:$G33,'Comprovante DEV'!$D$7),""))</f>
        <v/>
      </c>
      <c r="N33" s="48" t="str">
        <f aca="false">IF($F33="","",IFERROR(VLOOKUP($F33,Apelidos_Tecnico!$A:$B,2,0),$F33))</f>
        <v>Rafael Souza Martins</v>
      </c>
    </row>
    <row r="34" customFormat="false" ht="15" hidden="false" customHeight="false" outlineLevel="0" collapsed="false">
      <c r="A34" s="25" t="s">
        <v>269</v>
      </c>
      <c r="B34" s="25" t="s">
        <v>124</v>
      </c>
      <c r="C34" s="26" t="s">
        <v>125</v>
      </c>
      <c r="D34" s="25" t="s">
        <v>270</v>
      </c>
      <c r="E34" s="25" t="n">
        <v>1</v>
      </c>
      <c r="F34" s="25" t="s">
        <v>14</v>
      </c>
      <c r="G34" s="27" t="n">
        <v>46130</v>
      </c>
      <c r="H34" s="25" t="n">
        <v>2400028</v>
      </c>
      <c r="I34" s="26"/>
      <c r="J34" s="48" t="str">
        <f aca="false">IF($N34="","",IF(AND($N34=Consulta!$C$3,$G34&lt;&gt;"",$G34&gt;=Consulta!$C$4,$G34&lt;=Consulta!$C$5),COUNTIFS($N$6:$N34,Consulta!$C$3,$G$6:$G34,"&gt;="&amp;Consulta!$C$4,$G$6:$G34,"&lt;="&amp;Consulta!$C$5),""))</f>
        <v/>
      </c>
      <c r="K34" s="48" t="str">
        <f aca="false">IF($C34="","",IF(AND($C34=Consulta!$L$3,$G34&lt;&gt;"",$G34&gt;=Consulta!$L$4,$G34&lt;=Consulta!$L$5),COUNTIFS($C$6:$C34,Consulta!$L$3,$G$6:$G34,"&gt;="&amp;Consulta!$L$4,$G$6:$G34,"&lt;="&amp;Consulta!$L$5),""))</f>
        <v/>
      </c>
      <c r="L34" s="48" t="str">
        <f aca="false">IF($D34="","",IF($D34=Consulta!$S$3,COUNTIF($D$6:$D34,Consulta!$S$3),""))</f>
        <v/>
      </c>
      <c r="M34" s="48" t="str">
        <f aca="false">IF($N34="","",IF(AND($N34='Comprovante DEV'!$D$6,$G34='Comprovante DEV'!$D$7),COUNTIFS($N$6:$N34,'Comprovante DEV'!$D$6,$G$6:$G34,'Comprovante DEV'!$D$7),""))</f>
        <v/>
      </c>
      <c r="N34" s="48" t="str">
        <f aca="false">IF($F34="","",IFERROR(VLOOKUP($F34,Apelidos_Tecnico!$A:$B,2,0),$F34))</f>
        <v>Bruno Henrique Costa</v>
      </c>
    </row>
    <row r="35" customFormat="false" ht="15" hidden="false" customHeight="false" outlineLevel="0" collapsed="false">
      <c r="A35" s="25" t="s">
        <v>235</v>
      </c>
      <c r="B35" s="25" t="s">
        <v>137</v>
      </c>
      <c r="C35" s="26" t="s">
        <v>138</v>
      </c>
      <c r="D35" s="25" t="s">
        <v>271</v>
      </c>
      <c r="E35" s="25" t="n">
        <v>1</v>
      </c>
      <c r="F35" s="25" t="s">
        <v>8</v>
      </c>
      <c r="G35" s="27" t="n">
        <v>46128</v>
      </c>
      <c r="H35" s="25" t="n">
        <v>2400029</v>
      </c>
      <c r="I35" s="26" t="s">
        <v>233</v>
      </c>
      <c r="J35" s="48" t="n">
        <f aca="false">IF($N35="","",IF(AND($N35=Consulta!$C$3,$G35&lt;&gt;"",$G35&gt;=Consulta!$C$4,$G35&lt;=Consulta!$C$5),COUNTIFS($N$6:$N35,Consulta!$C$3,$G$6:$G35,"&gt;="&amp;Consulta!$C$4,$G$6:$G35,"&lt;="&amp;Consulta!$C$5),""))</f>
        <v>7</v>
      </c>
      <c r="K35" s="48" t="str">
        <f aca="false">IF($C35="","",IF(AND($C35=Consulta!$L$3,$G35&lt;&gt;"",$G35&gt;=Consulta!$L$4,$G35&lt;=Consulta!$L$5),COUNTIFS($C$6:$C35,Consulta!$L$3,$G$6:$G35,"&gt;="&amp;Consulta!$L$4,$G$6:$G35,"&lt;="&amp;Consulta!$L$5),""))</f>
        <v/>
      </c>
      <c r="L35" s="48" t="str">
        <f aca="false">IF($D35="","",IF($D35=Consulta!$S$3,COUNTIF($D$6:$D35,Consulta!$S$3),""))</f>
        <v/>
      </c>
      <c r="M35" s="48" t="str">
        <f aca="false">IF($N35="","",IF(AND($N35='Comprovante DEV'!$D$6,$G35='Comprovante DEV'!$D$7),COUNTIFS($N$6:$N35,'Comprovante DEV'!$D$6,$G$6:$G35,'Comprovante DEV'!$D$7),""))</f>
        <v/>
      </c>
      <c r="N35" s="48" t="str">
        <f aca="false">IF($F35="","",IFERROR(VLOOKUP($F35,Apelidos_Tecnico!$A:$B,2,0),$F35))</f>
        <v>Carlos Eduardo Lima</v>
      </c>
    </row>
    <row r="36" customFormat="false" ht="15" hidden="false" customHeight="false" outlineLevel="0" collapsed="false">
      <c r="A36" s="25" t="s">
        <v>244</v>
      </c>
      <c r="B36" s="25" t="s">
        <v>124</v>
      </c>
      <c r="C36" s="26" t="s">
        <v>125</v>
      </c>
      <c r="D36" s="25" t="s">
        <v>272</v>
      </c>
      <c r="E36" s="25" t="n">
        <v>1</v>
      </c>
      <c r="F36" s="25" t="s">
        <v>22</v>
      </c>
      <c r="G36" s="27" t="n">
        <v>46114</v>
      </c>
      <c r="H36" s="25" t="n">
        <v>2400030</v>
      </c>
      <c r="I36" s="26" t="s">
        <v>233</v>
      </c>
      <c r="J36" s="48" t="str">
        <f aca="false">IF($N36="","",IF(AND($N36=Consulta!$C$3,$G36&lt;&gt;"",$G36&gt;=Consulta!$C$4,$G36&lt;=Consulta!$C$5),COUNTIFS($N$6:$N36,Consulta!$C$3,$G$6:$G36,"&gt;="&amp;Consulta!$C$4,$G$6:$G36,"&lt;="&amp;Consulta!$C$5),""))</f>
        <v/>
      </c>
      <c r="K36" s="48" t="str">
        <f aca="false">IF($C36="","",IF(AND($C36=Consulta!$L$3,$G36&lt;&gt;"",$G36&gt;=Consulta!$L$4,$G36&lt;=Consulta!$L$5),COUNTIFS($C$6:$C36,Consulta!$L$3,$G$6:$G36,"&gt;="&amp;Consulta!$L$4,$G$6:$G36,"&lt;="&amp;Consulta!$L$5),""))</f>
        <v/>
      </c>
      <c r="L36" s="48" t="str">
        <f aca="false">IF($D36="","",IF($D36=Consulta!$S$3,COUNTIF($D$6:$D36,Consulta!$S$3),""))</f>
        <v/>
      </c>
      <c r="M36" s="48" t="str">
        <f aca="false">IF($N36="","",IF(AND($N36='Comprovante DEV'!$D$6,$G36='Comprovante DEV'!$D$7),COUNTIFS($N$6:$N36,'Comprovante DEV'!$D$6,$G$6:$G36,'Comprovante DEV'!$D$7),""))</f>
        <v/>
      </c>
      <c r="N36" s="48" t="str">
        <f aca="false">IF($F36="","",IFERROR(VLOOKUP($F36,Apelidos_Tecnico!$A:$B,2,0),$F36))</f>
        <v>Felipe Augusto Nunes</v>
      </c>
    </row>
    <row r="37" customFormat="false" ht="15" hidden="false" customHeight="false" outlineLevel="0" collapsed="false">
      <c r="A37" s="25" t="s">
        <v>232</v>
      </c>
      <c r="B37" s="25" t="s">
        <v>36</v>
      </c>
      <c r="C37" s="26" t="s">
        <v>116</v>
      </c>
      <c r="D37" s="25" t="s">
        <v>273</v>
      </c>
      <c r="E37" s="25" t="n">
        <v>1</v>
      </c>
      <c r="F37" s="25" t="s">
        <v>12</v>
      </c>
      <c r="G37" s="27" t="n">
        <v>46139</v>
      </c>
      <c r="H37" s="25" t="n">
        <v>2400031</v>
      </c>
      <c r="I37" s="26" t="s">
        <v>233</v>
      </c>
      <c r="J37" s="48" t="str">
        <f aca="false">IF($N37="","",IF(AND($N37=Consulta!$C$3,$G37&lt;&gt;"",$G37&gt;=Consulta!$C$4,$G37&lt;=Consulta!$C$5),COUNTIFS($N$6:$N37,Consulta!$C$3,$G$6:$G37,"&gt;="&amp;Consulta!$C$4,$G$6:$G37,"&lt;="&amp;Consulta!$C$5),""))</f>
        <v/>
      </c>
      <c r="K37" s="48" t="str">
        <f aca="false">IF($C37="","",IF(AND($C37=Consulta!$L$3,$G37&lt;&gt;"",$G37&gt;=Consulta!$L$4,$G37&lt;=Consulta!$L$5),COUNTIFS($C$6:$C37,Consulta!$L$3,$G$6:$G37,"&gt;="&amp;Consulta!$L$4,$G$6:$G37,"&lt;="&amp;Consulta!$L$5),""))</f>
        <v/>
      </c>
      <c r="L37" s="48" t="str">
        <f aca="false">IF($D37="","",IF($D37=Consulta!$S$3,COUNTIF($D$6:$D37,Consulta!$S$3),""))</f>
        <v/>
      </c>
      <c r="M37" s="48" t="str">
        <f aca="false">IF($N37="","",IF(AND($N37='Comprovante DEV'!$D$6,$G37='Comprovante DEV'!$D$7),COUNTIFS($N$6:$N37,'Comprovante DEV'!$D$6,$G$6:$G37,'Comprovante DEV'!$D$7),""))</f>
        <v/>
      </c>
      <c r="N37" s="48" t="str">
        <f aca="false">IF($F37="","",IFERROR(VLOOKUP($F37,Apelidos_Tecnico!$A:$B,2,0),$F37))</f>
        <v>Rafael Souza Martins</v>
      </c>
    </row>
    <row r="38" customFormat="false" ht="15" hidden="false" customHeight="false" outlineLevel="0" collapsed="false">
      <c r="A38" s="25" t="s">
        <v>269</v>
      </c>
      <c r="B38" s="25" t="s">
        <v>118</v>
      </c>
      <c r="C38" s="26" t="s">
        <v>119</v>
      </c>
      <c r="D38" s="25" t="s">
        <v>274</v>
      </c>
      <c r="E38" s="25" t="n">
        <v>1</v>
      </c>
      <c r="F38" s="25" t="s">
        <v>14</v>
      </c>
      <c r="G38" s="27" t="n">
        <v>46128</v>
      </c>
      <c r="H38" s="25" t="n">
        <v>2400032</v>
      </c>
      <c r="I38" s="26"/>
      <c r="J38" s="48" t="str">
        <f aca="false">IF($N38="","",IF(AND($N38=Consulta!$C$3,$G38&lt;&gt;"",$G38&gt;=Consulta!$C$4,$G38&lt;=Consulta!$C$5),COUNTIFS($N$6:$N38,Consulta!$C$3,$G$6:$G38,"&gt;="&amp;Consulta!$C$4,$G$6:$G38,"&lt;="&amp;Consulta!$C$5),""))</f>
        <v/>
      </c>
      <c r="K38" s="48" t="str">
        <f aca="false">IF($C38="","",IF(AND($C38=Consulta!$L$3,$G38&lt;&gt;"",$G38&gt;=Consulta!$L$4,$G38&lt;=Consulta!$L$5),COUNTIFS($C$6:$C38,Consulta!$L$3,$G$6:$G38,"&gt;="&amp;Consulta!$L$4,$G$6:$G38,"&lt;="&amp;Consulta!$L$5),""))</f>
        <v/>
      </c>
      <c r="L38" s="48" t="str">
        <f aca="false">IF($D38="","",IF($D38=Consulta!$S$3,COUNTIF($D$6:$D38,Consulta!$S$3),""))</f>
        <v/>
      </c>
      <c r="M38" s="48" t="str">
        <f aca="false">IF($N38="","",IF(AND($N38='Comprovante DEV'!$D$6,$G38='Comprovante DEV'!$D$7),COUNTIFS($N$6:$N38,'Comprovante DEV'!$D$6,$G$6:$G38,'Comprovante DEV'!$D$7),""))</f>
        <v/>
      </c>
      <c r="N38" s="48" t="str">
        <f aca="false">IF($F38="","",IFERROR(VLOOKUP($F38,Apelidos_Tecnico!$A:$B,2,0),$F38))</f>
        <v>Bruno Henrique Costa</v>
      </c>
    </row>
    <row r="39" customFormat="false" ht="15" hidden="false" customHeight="false" outlineLevel="0" collapsed="false">
      <c r="A39" s="25" t="s">
        <v>269</v>
      </c>
      <c r="B39" s="25" t="s">
        <v>124</v>
      </c>
      <c r="C39" s="26" t="s">
        <v>125</v>
      </c>
      <c r="D39" s="25" t="s">
        <v>275</v>
      </c>
      <c r="E39" s="25" t="n">
        <v>1</v>
      </c>
      <c r="F39" s="25" t="s">
        <v>14</v>
      </c>
      <c r="G39" s="27" t="n">
        <v>46140</v>
      </c>
      <c r="H39" s="25" t="n">
        <v>2400033</v>
      </c>
      <c r="I39" s="26"/>
      <c r="J39" s="48" t="str">
        <f aca="false">IF($N39="","",IF(AND($N39=Consulta!$C$3,$G39&lt;&gt;"",$G39&gt;=Consulta!$C$4,$G39&lt;=Consulta!$C$5),COUNTIFS($N$6:$N39,Consulta!$C$3,$G$6:$G39,"&gt;="&amp;Consulta!$C$4,$G$6:$G39,"&lt;="&amp;Consulta!$C$5),""))</f>
        <v/>
      </c>
      <c r="K39" s="48" t="str">
        <f aca="false">IF($C39="","",IF(AND($C39=Consulta!$L$3,$G39&lt;&gt;"",$G39&gt;=Consulta!$L$4,$G39&lt;=Consulta!$L$5),COUNTIFS($C$6:$C39,Consulta!$L$3,$G$6:$G39,"&gt;="&amp;Consulta!$L$4,$G$6:$G39,"&lt;="&amp;Consulta!$L$5),""))</f>
        <v/>
      </c>
      <c r="L39" s="48" t="str">
        <f aca="false">IF($D39="","",IF($D39=Consulta!$S$3,COUNTIF($D$6:$D39,Consulta!$S$3),""))</f>
        <v/>
      </c>
      <c r="M39" s="48" t="str">
        <f aca="false">IF($N39="","",IF(AND($N39='Comprovante DEV'!$D$6,$G39='Comprovante DEV'!$D$7),COUNTIFS($N$6:$N39,'Comprovante DEV'!$D$6,$G$6:$G39,'Comprovante DEV'!$D$7),""))</f>
        <v/>
      </c>
      <c r="N39" s="48" t="str">
        <f aca="false">IF($F39="","",IFERROR(VLOOKUP($F39,Apelidos_Tecnico!$A:$B,2,0),$F39))</f>
        <v>Bruno Henrique Costa</v>
      </c>
    </row>
    <row r="40" customFormat="false" ht="15" hidden="false" customHeight="false" outlineLevel="0" collapsed="false">
      <c r="A40" s="25" t="s">
        <v>242</v>
      </c>
      <c r="B40" s="25" t="s">
        <v>137</v>
      </c>
      <c r="C40" s="26" t="s">
        <v>138</v>
      </c>
      <c r="D40" s="25" t="s">
        <v>276</v>
      </c>
      <c r="E40" s="25" t="n">
        <v>1</v>
      </c>
      <c r="F40" s="25" t="s">
        <v>17</v>
      </c>
      <c r="G40" s="27" t="n">
        <v>46135</v>
      </c>
      <c r="H40" s="25" t="n">
        <v>2400034</v>
      </c>
      <c r="I40" s="26" t="s">
        <v>233</v>
      </c>
      <c r="J40" s="48" t="str">
        <f aca="false">IF($N40="","",IF(AND($N40=Consulta!$C$3,$G40&lt;&gt;"",$G40&gt;=Consulta!$C$4,$G40&lt;=Consulta!$C$5),COUNTIFS($N$6:$N40,Consulta!$C$3,$G$6:$G40,"&gt;="&amp;Consulta!$C$4,$G$6:$G40,"&lt;="&amp;Consulta!$C$5),""))</f>
        <v/>
      </c>
      <c r="K40" s="48" t="str">
        <f aca="false">IF($C40="","",IF(AND($C40=Consulta!$L$3,$G40&lt;&gt;"",$G40&gt;=Consulta!$L$4,$G40&lt;=Consulta!$L$5),COUNTIFS($C$6:$C40,Consulta!$L$3,$G$6:$G40,"&gt;="&amp;Consulta!$L$4,$G$6:$G40,"&lt;="&amp;Consulta!$L$5),""))</f>
        <v/>
      </c>
      <c r="L40" s="48" t="str">
        <f aca="false">IF($D40="","",IF($D40=Consulta!$S$3,COUNTIF($D$6:$D40,Consulta!$S$3),""))</f>
        <v/>
      </c>
      <c r="M40" s="48" t="str">
        <f aca="false">IF($N40="","",IF(AND($N40='Comprovante DEV'!$D$6,$G40='Comprovante DEV'!$D$7),COUNTIFS($N$6:$N40,'Comprovante DEV'!$D$6,$G$6:$G40,'Comprovante DEV'!$D$7),""))</f>
        <v/>
      </c>
      <c r="N40" s="48" t="str">
        <f aca="false">IF($F40="","",IFERROR(VLOOKUP($F40,Apelidos_Tecnico!$A:$B,2,0),$F40))</f>
        <v>Diego Ferreira Alves</v>
      </c>
    </row>
    <row r="41" customFormat="false" ht="15" hidden="false" customHeight="false" outlineLevel="0" collapsed="false">
      <c r="A41" s="25" t="s">
        <v>244</v>
      </c>
      <c r="B41" s="25" t="s">
        <v>132</v>
      </c>
      <c r="C41" s="26" t="s">
        <v>133</v>
      </c>
      <c r="D41" s="25" t="s">
        <v>277</v>
      </c>
      <c r="E41" s="25" t="n">
        <v>1</v>
      </c>
      <c r="F41" s="25" t="s">
        <v>22</v>
      </c>
      <c r="G41" s="27" t="n">
        <v>46127</v>
      </c>
      <c r="H41" s="25" t="n">
        <v>2400035</v>
      </c>
      <c r="I41" s="26" t="s">
        <v>233</v>
      </c>
      <c r="J41" s="48" t="str">
        <f aca="false">IF($N41="","",IF(AND($N41=Consulta!$C$3,$G41&lt;&gt;"",$G41&gt;=Consulta!$C$4,$G41&lt;=Consulta!$C$5),COUNTIFS($N$6:$N41,Consulta!$C$3,$G$6:$G41,"&gt;="&amp;Consulta!$C$4,$G$6:$G41,"&lt;="&amp;Consulta!$C$5),""))</f>
        <v/>
      </c>
      <c r="K41" s="48" t="str">
        <f aca="false">IF($C41="","",IF(AND($C41=Consulta!$L$3,$G41&lt;&gt;"",$G41&gt;=Consulta!$L$4,$G41&lt;=Consulta!$L$5),COUNTIFS($C$6:$C41,Consulta!$L$3,$G$6:$G41,"&gt;="&amp;Consulta!$L$4,$G$6:$G41,"&lt;="&amp;Consulta!$L$5),""))</f>
        <v/>
      </c>
      <c r="L41" s="48" t="str">
        <f aca="false">IF($D41="","",IF($D41=Consulta!$S$3,COUNTIF($D$6:$D41,Consulta!$S$3),""))</f>
        <v/>
      </c>
      <c r="M41" s="48" t="str">
        <f aca="false">IF($N41="","",IF(AND($N41='Comprovante DEV'!$D$6,$G41='Comprovante DEV'!$D$7),COUNTIFS($N$6:$N41,'Comprovante DEV'!$D$6,$G$6:$G41,'Comprovante DEV'!$D$7),""))</f>
        <v/>
      </c>
      <c r="N41" s="48" t="str">
        <f aca="false">IF($F41="","",IFERROR(VLOOKUP($F41,Apelidos_Tecnico!$A:$B,2,0),$F41))</f>
        <v>Felipe Augusto Nunes</v>
      </c>
    </row>
    <row r="42" customFormat="false" ht="15" hidden="false" customHeight="false" outlineLevel="0" collapsed="false">
      <c r="A42" s="25" t="s">
        <v>242</v>
      </c>
      <c r="B42" s="25" t="s">
        <v>36</v>
      </c>
      <c r="C42" s="26" t="s">
        <v>116</v>
      </c>
      <c r="D42" s="25" t="s">
        <v>278</v>
      </c>
      <c r="E42" s="25" t="n">
        <v>1</v>
      </c>
      <c r="F42" s="25" t="s">
        <v>17</v>
      </c>
      <c r="G42" s="27" t="n">
        <v>46113</v>
      </c>
      <c r="H42" s="25" t="n">
        <v>2400036</v>
      </c>
      <c r="I42" s="26"/>
      <c r="J42" s="48" t="str">
        <f aca="false">IF($N42="","",IF(AND($N42=Consulta!$C$3,$G42&lt;&gt;"",$G42&gt;=Consulta!$C$4,$G42&lt;=Consulta!$C$5),COUNTIFS($N$6:$N42,Consulta!$C$3,$G$6:$G42,"&gt;="&amp;Consulta!$C$4,$G$6:$G42,"&lt;="&amp;Consulta!$C$5),""))</f>
        <v/>
      </c>
      <c r="K42" s="48" t="str">
        <f aca="false">IF($C42="","",IF(AND($C42=Consulta!$L$3,$G42&lt;&gt;"",$G42&gt;=Consulta!$L$4,$G42&lt;=Consulta!$L$5),COUNTIFS($C$6:$C42,Consulta!$L$3,$G$6:$G42,"&gt;="&amp;Consulta!$L$4,$G$6:$G42,"&lt;="&amp;Consulta!$L$5),""))</f>
        <v/>
      </c>
      <c r="L42" s="48" t="str">
        <f aca="false">IF($D42="","",IF($D42=Consulta!$S$3,COUNTIF($D$6:$D42,Consulta!$S$3),""))</f>
        <v/>
      </c>
      <c r="M42" s="48" t="str">
        <f aca="false">IF($N42="","",IF(AND($N42='Comprovante DEV'!$D$6,$G42='Comprovante DEV'!$D$7),COUNTIFS($N$6:$N42,'Comprovante DEV'!$D$6,$G$6:$G42,'Comprovante DEV'!$D$7),""))</f>
        <v/>
      </c>
      <c r="N42" s="48" t="str">
        <f aca="false">IF($F42="","",IFERROR(VLOOKUP($F42,Apelidos_Tecnico!$A:$B,2,0),$F42))</f>
        <v>Diego Ferreira Alves</v>
      </c>
    </row>
    <row r="43" customFormat="false" ht="15" hidden="false" customHeight="false" outlineLevel="0" collapsed="false">
      <c r="A43" s="25" t="s">
        <v>242</v>
      </c>
      <c r="B43" s="25" t="s">
        <v>137</v>
      </c>
      <c r="C43" s="26" t="s">
        <v>138</v>
      </c>
      <c r="D43" s="25" t="s">
        <v>279</v>
      </c>
      <c r="E43" s="25" t="n">
        <v>1</v>
      </c>
      <c r="F43" s="25" t="s">
        <v>17</v>
      </c>
      <c r="G43" s="27" t="n">
        <v>46113</v>
      </c>
      <c r="H43" s="25" t="n">
        <v>2400037</v>
      </c>
      <c r="I43" s="26" t="s">
        <v>233</v>
      </c>
      <c r="J43" s="48" t="str">
        <f aca="false">IF($N43="","",IF(AND($N43=Consulta!$C$3,$G43&lt;&gt;"",$G43&gt;=Consulta!$C$4,$G43&lt;=Consulta!$C$5),COUNTIFS($N$6:$N43,Consulta!$C$3,$G$6:$G43,"&gt;="&amp;Consulta!$C$4,$G$6:$G43,"&lt;="&amp;Consulta!$C$5),""))</f>
        <v/>
      </c>
      <c r="K43" s="48" t="str">
        <f aca="false">IF($C43="","",IF(AND($C43=Consulta!$L$3,$G43&lt;&gt;"",$G43&gt;=Consulta!$L$4,$G43&lt;=Consulta!$L$5),COUNTIFS($C$6:$C43,Consulta!$L$3,$G$6:$G43,"&gt;="&amp;Consulta!$L$4,$G$6:$G43,"&lt;="&amp;Consulta!$L$5),""))</f>
        <v/>
      </c>
      <c r="L43" s="48" t="str">
        <f aca="false">IF($D43="","",IF($D43=Consulta!$S$3,COUNTIF($D$6:$D43,Consulta!$S$3),""))</f>
        <v/>
      </c>
      <c r="M43" s="48" t="str">
        <f aca="false">IF($N43="","",IF(AND($N43='Comprovante DEV'!$D$6,$G43='Comprovante DEV'!$D$7),COUNTIFS($N$6:$N43,'Comprovante DEV'!$D$6,$G$6:$G43,'Comprovante DEV'!$D$7),""))</f>
        <v/>
      </c>
      <c r="N43" s="48" t="str">
        <f aca="false">IF($F43="","",IFERROR(VLOOKUP($F43,Apelidos_Tecnico!$A:$B,2,0),$F43))</f>
        <v>Diego Ferreira Alves</v>
      </c>
    </row>
    <row r="44" customFormat="false" ht="15" hidden="false" customHeight="false" outlineLevel="0" collapsed="false">
      <c r="A44" s="25" t="s">
        <v>235</v>
      </c>
      <c r="B44" s="25" t="s">
        <v>118</v>
      </c>
      <c r="C44" s="26" t="s">
        <v>119</v>
      </c>
      <c r="D44" s="25" t="s">
        <v>280</v>
      </c>
      <c r="E44" s="25" t="n">
        <v>1</v>
      </c>
      <c r="F44" s="25" t="s">
        <v>8</v>
      </c>
      <c r="G44" s="27" t="n">
        <v>46114</v>
      </c>
      <c r="H44" s="25" t="n">
        <v>2400038</v>
      </c>
      <c r="I44" s="26"/>
      <c r="J44" s="48" t="n">
        <f aca="false">IF($N44="","",IF(AND($N44=Consulta!$C$3,$G44&lt;&gt;"",$G44&gt;=Consulta!$C$4,$G44&lt;=Consulta!$C$5),COUNTIFS($N$6:$N44,Consulta!$C$3,$G$6:$G44,"&gt;="&amp;Consulta!$C$4,$G$6:$G44,"&lt;="&amp;Consulta!$C$5),""))</f>
        <v>8</v>
      </c>
      <c r="K44" s="48" t="str">
        <f aca="false">IF($C44="","",IF(AND($C44=Consulta!$L$3,$G44&lt;&gt;"",$G44&gt;=Consulta!$L$4,$G44&lt;=Consulta!$L$5),COUNTIFS($C$6:$C44,Consulta!$L$3,$G$6:$G44,"&gt;="&amp;Consulta!$L$4,$G$6:$G44,"&lt;="&amp;Consulta!$L$5),""))</f>
        <v/>
      </c>
      <c r="L44" s="48" t="str">
        <f aca="false">IF($D44="","",IF($D44=Consulta!$S$3,COUNTIF($D$6:$D44,Consulta!$S$3),""))</f>
        <v/>
      </c>
      <c r="M44" s="48" t="str">
        <f aca="false">IF($N44="","",IF(AND($N44='Comprovante DEV'!$D$6,$G44='Comprovante DEV'!$D$7),COUNTIFS($N$6:$N44,'Comprovante DEV'!$D$6,$G$6:$G44,'Comprovante DEV'!$D$7),""))</f>
        <v/>
      </c>
      <c r="N44" s="48" t="str">
        <f aca="false">IF($F44="","",IFERROR(VLOOKUP($F44,Apelidos_Tecnico!$A:$B,2,0),$F44))</f>
        <v>Carlos Eduardo Lima</v>
      </c>
    </row>
    <row r="45" customFormat="false" ht="15" hidden="false" customHeight="false" outlineLevel="0" collapsed="false">
      <c r="A45" s="25" t="s">
        <v>232</v>
      </c>
      <c r="B45" s="25" t="s">
        <v>137</v>
      </c>
      <c r="C45" s="26" t="s">
        <v>138</v>
      </c>
      <c r="D45" s="25" t="s">
        <v>281</v>
      </c>
      <c r="E45" s="25" t="n">
        <v>1</v>
      </c>
      <c r="F45" s="25" t="s">
        <v>12</v>
      </c>
      <c r="G45" s="27" t="n">
        <v>46121</v>
      </c>
      <c r="H45" s="25" t="n">
        <v>2400039</v>
      </c>
      <c r="I45" s="26"/>
      <c r="J45" s="48" t="str">
        <f aca="false">IF($N45="","",IF(AND($N45=Consulta!$C$3,$G45&lt;&gt;"",$G45&gt;=Consulta!$C$4,$G45&lt;=Consulta!$C$5),COUNTIFS($N$6:$N45,Consulta!$C$3,$G$6:$G45,"&gt;="&amp;Consulta!$C$4,$G$6:$G45,"&lt;="&amp;Consulta!$C$5),""))</f>
        <v/>
      </c>
      <c r="K45" s="48" t="str">
        <f aca="false">IF($C45="","",IF(AND($C45=Consulta!$L$3,$G45&lt;&gt;"",$G45&gt;=Consulta!$L$4,$G45&lt;=Consulta!$L$5),COUNTIFS($C$6:$C45,Consulta!$L$3,$G$6:$G45,"&gt;="&amp;Consulta!$L$4,$G$6:$G45,"&lt;="&amp;Consulta!$L$5),""))</f>
        <v/>
      </c>
      <c r="L45" s="48" t="str">
        <f aca="false">IF($D45="","",IF($D45=Consulta!$S$3,COUNTIF($D$6:$D45,Consulta!$S$3),""))</f>
        <v/>
      </c>
      <c r="M45" s="48" t="str">
        <f aca="false">IF($N45="","",IF(AND($N45='Comprovante DEV'!$D$6,$G45='Comprovante DEV'!$D$7),COUNTIFS($N$6:$N45,'Comprovante DEV'!$D$6,$G$6:$G45,'Comprovante DEV'!$D$7),""))</f>
        <v/>
      </c>
      <c r="N45" s="48" t="str">
        <f aca="false">IF($F45="","",IFERROR(VLOOKUP($F45,Apelidos_Tecnico!$A:$B,2,0),$F45))</f>
        <v>Rafael Souza Martins</v>
      </c>
    </row>
    <row r="46" customFormat="false" ht="15" hidden="false" customHeight="false" outlineLevel="0" collapsed="false">
      <c r="A46" s="25"/>
      <c r="B46" s="25"/>
      <c r="C46" s="26"/>
      <c r="D46" s="25"/>
      <c r="E46" s="25"/>
      <c r="F46" s="25"/>
      <c r="G46" s="27"/>
      <c r="H46" s="25"/>
      <c r="I46" s="26"/>
      <c r="J46" s="48"/>
      <c r="K46" s="48"/>
      <c r="L46" s="48"/>
      <c r="M46" s="48"/>
      <c r="N46" s="48"/>
    </row>
    <row r="47" customFormat="false" ht="15" hidden="false" customHeight="false" outlineLevel="0" collapsed="false">
      <c r="A47" s="25"/>
      <c r="B47" s="25"/>
      <c r="C47" s="26"/>
      <c r="D47" s="25"/>
      <c r="E47" s="25"/>
      <c r="F47" s="25"/>
      <c r="G47" s="27"/>
      <c r="H47" s="25"/>
      <c r="I47" s="26"/>
      <c r="J47" s="48"/>
      <c r="K47" s="48"/>
      <c r="L47" s="48"/>
      <c r="M47" s="48"/>
      <c r="N47" s="48"/>
    </row>
    <row r="48" customFormat="false" ht="15" hidden="false" customHeight="false" outlineLevel="0" collapsed="false">
      <c r="A48" s="25"/>
      <c r="B48" s="25"/>
      <c r="C48" s="26"/>
      <c r="D48" s="25"/>
      <c r="E48" s="25"/>
      <c r="F48" s="25"/>
      <c r="G48" s="27"/>
      <c r="H48" s="25"/>
      <c r="I48" s="26"/>
      <c r="J48" s="48"/>
      <c r="K48" s="48"/>
      <c r="L48" s="48"/>
      <c r="M48" s="48"/>
      <c r="N48" s="48"/>
    </row>
    <row r="49" customFormat="false" ht="15" hidden="false" customHeight="false" outlineLevel="0" collapsed="false">
      <c r="A49" s="25"/>
      <c r="B49" s="25"/>
      <c r="C49" s="26"/>
      <c r="D49" s="25"/>
      <c r="E49" s="25"/>
      <c r="F49" s="25"/>
      <c r="G49" s="27"/>
      <c r="H49" s="25"/>
      <c r="I49" s="26"/>
      <c r="J49" s="48"/>
      <c r="K49" s="48"/>
      <c r="L49" s="48"/>
      <c r="M49" s="48"/>
      <c r="N49" s="48"/>
    </row>
    <row r="50" customFormat="false" ht="15" hidden="false" customHeight="false" outlineLevel="0" collapsed="false">
      <c r="A50" s="25"/>
      <c r="B50" s="25"/>
      <c r="C50" s="26"/>
      <c r="D50" s="25"/>
      <c r="E50" s="25"/>
      <c r="F50" s="25"/>
      <c r="G50" s="27"/>
      <c r="H50" s="25"/>
      <c r="I50" s="26"/>
      <c r="J50" s="48"/>
      <c r="K50" s="48"/>
      <c r="L50" s="48"/>
      <c r="M50" s="48"/>
      <c r="N50" s="48"/>
    </row>
    <row r="51" customFormat="false" ht="15" hidden="false" customHeight="false" outlineLevel="0" collapsed="false">
      <c r="A51" s="25"/>
      <c r="B51" s="25"/>
      <c r="C51" s="26"/>
      <c r="D51" s="25"/>
      <c r="E51" s="25"/>
      <c r="F51" s="25"/>
      <c r="G51" s="27"/>
      <c r="H51" s="25"/>
      <c r="I51" s="26"/>
      <c r="J51" s="48"/>
      <c r="K51" s="48"/>
      <c r="L51" s="48"/>
      <c r="M51" s="48"/>
      <c r="N51" s="48"/>
    </row>
    <row r="52" customFormat="false" ht="15" hidden="false" customHeight="false" outlineLevel="0" collapsed="false">
      <c r="A52" s="25"/>
      <c r="B52" s="25"/>
      <c r="C52" s="26"/>
      <c r="D52" s="25"/>
      <c r="E52" s="25"/>
      <c r="F52" s="25"/>
      <c r="G52" s="27"/>
      <c r="H52" s="25"/>
      <c r="I52" s="26"/>
      <c r="J52" s="48"/>
      <c r="K52" s="48"/>
      <c r="L52" s="48"/>
      <c r="M52" s="48"/>
      <c r="N52" s="48"/>
    </row>
    <row r="53" customFormat="false" ht="15" hidden="false" customHeight="false" outlineLevel="0" collapsed="false">
      <c r="A53" s="25"/>
      <c r="B53" s="25"/>
      <c r="C53" s="26"/>
      <c r="D53" s="25"/>
      <c r="E53" s="25"/>
      <c r="F53" s="25"/>
      <c r="G53" s="27"/>
      <c r="H53" s="25"/>
      <c r="I53" s="26"/>
      <c r="J53" s="48"/>
      <c r="K53" s="48"/>
      <c r="L53" s="48"/>
      <c r="M53" s="48"/>
      <c r="N53" s="48"/>
    </row>
    <row r="54" customFormat="false" ht="15" hidden="false" customHeight="false" outlineLevel="0" collapsed="false">
      <c r="A54" s="25"/>
      <c r="B54" s="25"/>
      <c r="C54" s="26"/>
      <c r="D54" s="25"/>
      <c r="E54" s="25"/>
      <c r="F54" s="25"/>
      <c r="G54" s="27"/>
      <c r="H54" s="25"/>
      <c r="I54" s="26"/>
      <c r="J54" s="48"/>
      <c r="K54" s="48"/>
      <c r="L54" s="48"/>
      <c r="M54" s="48"/>
      <c r="N54" s="48"/>
    </row>
    <row r="55" customFormat="false" ht="15" hidden="false" customHeight="false" outlineLevel="0" collapsed="false">
      <c r="A55" s="25"/>
      <c r="B55" s="25"/>
      <c r="C55" s="26"/>
      <c r="D55" s="25"/>
      <c r="E55" s="25"/>
      <c r="F55" s="25"/>
      <c r="G55" s="27"/>
      <c r="H55" s="25"/>
      <c r="I55" s="26"/>
      <c r="J55" s="48"/>
      <c r="K55" s="48"/>
      <c r="L55" s="48"/>
      <c r="M55" s="48"/>
      <c r="N55" s="48"/>
    </row>
    <row r="56" customFormat="false" ht="15" hidden="false" customHeight="false" outlineLevel="0" collapsed="false">
      <c r="A56" s="25"/>
      <c r="B56" s="25"/>
      <c r="C56" s="26"/>
      <c r="D56" s="25"/>
      <c r="E56" s="25"/>
      <c r="F56" s="25"/>
      <c r="G56" s="27"/>
      <c r="H56" s="25"/>
      <c r="I56" s="26"/>
      <c r="J56" s="48"/>
      <c r="K56" s="48"/>
      <c r="L56" s="48"/>
      <c r="M56" s="48"/>
      <c r="N56" s="48"/>
    </row>
    <row r="57" customFormat="false" ht="15" hidden="false" customHeight="false" outlineLevel="0" collapsed="false">
      <c r="A57" s="25"/>
      <c r="B57" s="25"/>
      <c r="C57" s="26"/>
      <c r="D57" s="25"/>
      <c r="E57" s="25"/>
      <c r="F57" s="25"/>
      <c r="G57" s="27"/>
      <c r="H57" s="25"/>
      <c r="I57" s="26"/>
      <c r="J57" s="48"/>
      <c r="K57" s="48"/>
      <c r="L57" s="48"/>
      <c r="M57" s="48"/>
      <c r="N57" s="48"/>
    </row>
    <row r="58" customFormat="false" ht="15" hidden="false" customHeight="false" outlineLevel="0" collapsed="false">
      <c r="A58" s="25"/>
      <c r="B58" s="25"/>
      <c r="C58" s="26"/>
      <c r="D58" s="25"/>
      <c r="E58" s="25"/>
      <c r="F58" s="25"/>
      <c r="G58" s="27"/>
      <c r="H58" s="25"/>
      <c r="I58" s="26"/>
      <c r="J58" s="48"/>
      <c r="K58" s="48"/>
      <c r="L58" s="48"/>
      <c r="M58" s="48"/>
      <c r="N58" s="48"/>
    </row>
    <row r="59" customFormat="false" ht="15" hidden="false" customHeight="false" outlineLevel="0" collapsed="false">
      <c r="A59" s="25"/>
      <c r="B59" s="25"/>
      <c r="C59" s="26"/>
      <c r="D59" s="25"/>
      <c r="E59" s="25"/>
      <c r="F59" s="25"/>
      <c r="G59" s="27"/>
      <c r="H59" s="25"/>
      <c r="I59" s="26"/>
      <c r="J59" s="48"/>
      <c r="K59" s="48"/>
      <c r="L59" s="48"/>
      <c r="M59" s="48"/>
      <c r="N59" s="48"/>
    </row>
    <row r="60" customFormat="false" ht="15" hidden="false" customHeight="false" outlineLevel="0" collapsed="false">
      <c r="A60" s="25"/>
      <c r="B60" s="25"/>
      <c r="C60" s="26"/>
      <c r="D60" s="25"/>
      <c r="E60" s="25"/>
      <c r="F60" s="25"/>
      <c r="G60" s="27"/>
      <c r="H60" s="25"/>
      <c r="I60" s="26"/>
      <c r="J60" s="48"/>
      <c r="K60" s="48"/>
      <c r="L60" s="48"/>
      <c r="M60" s="48"/>
      <c r="N60" s="48"/>
    </row>
    <row r="61" customFormat="false" ht="15" hidden="false" customHeight="false" outlineLevel="0" collapsed="false">
      <c r="A61" s="25"/>
      <c r="B61" s="25"/>
      <c r="C61" s="26"/>
      <c r="D61" s="25"/>
      <c r="E61" s="25"/>
      <c r="F61" s="25"/>
      <c r="G61" s="27"/>
      <c r="H61" s="25"/>
      <c r="I61" s="26"/>
      <c r="J61" s="48"/>
      <c r="K61" s="48"/>
      <c r="L61" s="48"/>
      <c r="M61" s="48"/>
      <c r="N61" s="48"/>
    </row>
    <row r="62" customFormat="false" ht="15" hidden="false" customHeight="false" outlineLevel="0" collapsed="false">
      <c r="A62" s="25"/>
      <c r="B62" s="25"/>
      <c r="C62" s="26"/>
      <c r="D62" s="25"/>
      <c r="E62" s="25"/>
      <c r="F62" s="25"/>
      <c r="G62" s="27"/>
      <c r="H62" s="25"/>
      <c r="I62" s="26"/>
      <c r="J62" s="48"/>
      <c r="K62" s="48"/>
      <c r="L62" s="48"/>
      <c r="M62" s="48"/>
      <c r="N62" s="48"/>
    </row>
    <row r="63" customFormat="false" ht="15" hidden="false" customHeight="false" outlineLevel="0" collapsed="false">
      <c r="A63" s="25"/>
      <c r="B63" s="25"/>
      <c r="C63" s="26"/>
      <c r="D63" s="25"/>
      <c r="E63" s="25"/>
      <c r="F63" s="25"/>
      <c r="G63" s="27"/>
      <c r="H63" s="25"/>
      <c r="I63" s="26"/>
      <c r="J63" s="48"/>
      <c r="K63" s="48"/>
      <c r="L63" s="48"/>
      <c r="M63" s="48"/>
      <c r="N63" s="48"/>
    </row>
    <row r="64" customFormat="false" ht="15" hidden="false" customHeight="false" outlineLevel="0" collapsed="false">
      <c r="A64" s="25"/>
      <c r="B64" s="25"/>
      <c r="C64" s="26"/>
      <c r="D64" s="25"/>
      <c r="E64" s="25"/>
      <c r="F64" s="25"/>
      <c r="G64" s="27"/>
      <c r="H64" s="25"/>
      <c r="I64" s="26"/>
      <c r="J64" s="48"/>
      <c r="K64" s="48"/>
      <c r="L64" s="48"/>
      <c r="M64" s="48"/>
      <c r="N64" s="48"/>
    </row>
    <row r="65" customFormat="false" ht="15" hidden="false" customHeight="false" outlineLevel="0" collapsed="false">
      <c r="A65" s="25"/>
      <c r="B65" s="25"/>
      <c r="C65" s="26"/>
      <c r="D65" s="25"/>
      <c r="E65" s="25"/>
      <c r="F65" s="25"/>
      <c r="G65" s="27"/>
      <c r="H65" s="25"/>
      <c r="I65" s="26"/>
      <c r="J65" s="48"/>
      <c r="K65" s="48"/>
      <c r="L65" s="48"/>
      <c r="M65" s="48"/>
      <c r="N65" s="48"/>
    </row>
    <row r="66" customFormat="false" ht="15" hidden="false" customHeight="false" outlineLevel="0" collapsed="false">
      <c r="A66" s="25"/>
      <c r="B66" s="25"/>
      <c r="C66" s="26"/>
      <c r="D66" s="25"/>
      <c r="E66" s="25"/>
      <c r="F66" s="25"/>
      <c r="G66" s="27"/>
      <c r="H66" s="25"/>
      <c r="I66" s="26"/>
      <c r="J66" s="48"/>
      <c r="K66" s="48"/>
      <c r="L66" s="48"/>
      <c r="M66" s="48"/>
      <c r="N66" s="48"/>
    </row>
    <row r="67" customFormat="false" ht="15" hidden="false" customHeight="false" outlineLevel="0" collapsed="false">
      <c r="A67" s="25"/>
      <c r="B67" s="25"/>
      <c r="C67" s="26"/>
      <c r="D67" s="25"/>
      <c r="E67" s="25"/>
      <c r="F67" s="25"/>
      <c r="G67" s="27"/>
      <c r="H67" s="25"/>
      <c r="I67" s="26"/>
      <c r="J67" s="48"/>
      <c r="K67" s="48"/>
      <c r="L67" s="48"/>
      <c r="M67" s="48"/>
      <c r="N67" s="48"/>
    </row>
    <row r="68" customFormat="false" ht="15" hidden="false" customHeight="false" outlineLevel="0" collapsed="false">
      <c r="A68" s="25"/>
      <c r="B68" s="25"/>
      <c r="C68" s="26"/>
      <c r="D68" s="25"/>
      <c r="E68" s="25"/>
      <c r="F68" s="25"/>
      <c r="G68" s="27"/>
      <c r="H68" s="25"/>
      <c r="I68" s="26"/>
      <c r="J68" s="48"/>
      <c r="K68" s="48"/>
      <c r="L68" s="48"/>
      <c r="M68" s="48"/>
      <c r="N68" s="48"/>
    </row>
    <row r="69" customFormat="false" ht="15" hidden="false" customHeight="false" outlineLevel="0" collapsed="false">
      <c r="A69" s="25"/>
      <c r="B69" s="25"/>
      <c r="C69" s="26"/>
      <c r="D69" s="25"/>
      <c r="E69" s="25"/>
      <c r="F69" s="25"/>
      <c r="G69" s="27"/>
      <c r="H69" s="25"/>
      <c r="I69" s="26"/>
      <c r="J69" s="48"/>
      <c r="K69" s="48"/>
      <c r="L69" s="48"/>
      <c r="M69" s="48"/>
      <c r="N69" s="48"/>
    </row>
    <row r="70" customFormat="false" ht="15" hidden="false" customHeight="false" outlineLevel="0" collapsed="false">
      <c r="A70" s="25"/>
      <c r="B70" s="25"/>
      <c r="C70" s="26"/>
      <c r="D70" s="25"/>
      <c r="E70" s="25"/>
      <c r="F70" s="25"/>
      <c r="G70" s="27"/>
      <c r="H70" s="25"/>
      <c r="I70" s="26"/>
      <c r="J70" s="48"/>
      <c r="K70" s="48"/>
      <c r="L70" s="48"/>
      <c r="M70" s="48"/>
      <c r="N70" s="48"/>
    </row>
    <row r="71" customFormat="false" ht="15" hidden="false" customHeight="false" outlineLevel="0" collapsed="false">
      <c r="A71" s="25"/>
      <c r="B71" s="25"/>
      <c r="C71" s="26"/>
      <c r="D71" s="25"/>
      <c r="E71" s="25"/>
      <c r="F71" s="25"/>
      <c r="G71" s="27"/>
      <c r="H71" s="25"/>
      <c r="I71" s="26"/>
      <c r="J71" s="48"/>
      <c r="K71" s="48"/>
      <c r="L71" s="48"/>
      <c r="M71" s="48"/>
      <c r="N71" s="48"/>
    </row>
    <row r="72" customFormat="false" ht="15" hidden="false" customHeight="false" outlineLevel="0" collapsed="false">
      <c r="A72" s="25"/>
      <c r="B72" s="25"/>
      <c r="C72" s="26"/>
      <c r="D72" s="25"/>
      <c r="E72" s="25"/>
      <c r="F72" s="25"/>
      <c r="G72" s="27"/>
      <c r="H72" s="25"/>
      <c r="I72" s="26"/>
      <c r="J72" s="48"/>
      <c r="K72" s="48"/>
      <c r="L72" s="48"/>
      <c r="M72" s="48"/>
      <c r="N72" s="48"/>
    </row>
    <row r="73" customFormat="false" ht="15" hidden="false" customHeight="false" outlineLevel="0" collapsed="false">
      <c r="A73" s="25"/>
      <c r="B73" s="25"/>
      <c r="C73" s="26"/>
      <c r="D73" s="25"/>
      <c r="E73" s="25"/>
      <c r="F73" s="25"/>
      <c r="G73" s="27"/>
      <c r="H73" s="25"/>
      <c r="I73" s="26"/>
      <c r="J73" s="48"/>
      <c r="K73" s="48"/>
      <c r="L73" s="48"/>
      <c r="M73" s="48"/>
      <c r="N73" s="48"/>
    </row>
    <row r="74" customFormat="false" ht="15" hidden="false" customHeight="false" outlineLevel="0" collapsed="false">
      <c r="A74" s="25"/>
      <c r="B74" s="25"/>
      <c r="C74" s="26"/>
      <c r="D74" s="25"/>
      <c r="E74" s="25"/>
      <c r="F74" s="25"/>
      <c r="G74" s="27"/>
      <c r="H74" s="25"/>
      <c r="I74" s="26"/>
      <c r="J74" s="48"/>
      <c r="K74" s="48"/>
      <c r="L74" s="48"/>
      <c r="M74" s="48"/>
      <c r="N74" s="48"/>
    </row>
    <row r="75" customFormat="false" ht="15" hidden="false" customHeight="false" outlineLevel="0" collapsed="false">
      <c r="A75" s="25"/>
      <c r="B75" s="25"/>
      <c r="C75" s="26"/>
      <c r="D75" s="25"/>
      <c r="E75" s="25"/>
      <c r="F75" s="25"/>
      <c r="G75" s="27"/>
      <c r="H75" s="25"/>
      <c r="I75" s="26"/>
      <c r="J75" s="48"/>
      <c r="K75" s="48"/>
      <c r="L75" s="48"/>
      <c r="M75" s="48"/>
      <c r="N75" s="48"/>
    </row>
    <row r="76" customFormat="false" ht="15" hidden="false" customHeight="false" outlineLevel="0" collapsed="false">
      <c r="A76" s="25"/>
      <c r="B76" s="25"/>
      <c r="C76" s="26"/>
      <c r="D76" s="25"/>
      <c r="E76" s="25"/>
      <c r="F76" s="25"/>
      <c r="G76" s="27"/>
      <c r="H76" s="25"/>
      <c r="I76" s="26"/>
      <c r="J76" s="48"/>
      <c r="K76" s="48"/>
      <c r="L76" s="48"/>
      <c r="M76" s="48"/>
      <c r="N76" s="48"/>
    </row>
    <row r="77" customFormat="false" ht="15" hidden="false" customHeight="false" outlineLevel="0" collapsed="false">
      <c r="A77" s="25"/>
      <c r="B77" s="25"/>
      <c r="C77" s="26"/>
      <c r="D77" s="25"/>
      <c r="E77" s="25"/>
      <c r="F77" s="25"/>
      <c r="G77" s="27"/>
      <c r="H77" s="25"/>
      <c r="I77" s="26"/>
      <c r="J77" s="48"/>
      <c r="K77" s="48"/>
      <c r="L77" s="48"/>
      <c r="M77" s="48"/>
      <c r="N77" s="48"/>
    </row>
    <row r="78" customFormat="false" ht="15" hidden="false" customHeight="false" outlineLevel="0" collapsed="false">
      <c r="A78" s="25"/>
      <c r="B78" s="25"/>
      <c r="C78" s="26"/>
      <c r="D78" s="25"/>
      <c r="E78" s="25"/>
      <c r="F78" s="25"/>
      <c r="G78" s="27"/>
      <c r="H78" s="25"/>
      <c r="I78" s="26"/>
      <c r="J78" s="48"/>
      <c r="K78" s="48"/>
      <c r="L78" s="48"/>
      <c r="M78" s="48"/>
      <c r="N78" s="48"/>
    </row>
    <row r="79" customFormat="false" ht="15" hidden="false" customHeight="false" outlineLevel="0" collapsed="false">
      <c r="A79" s="25"/>
      <c r="B79" s="25"/>
      <c r="C79" s="26"/>
      <c r="D79" s="25"/>
      <c r="E79" s="25"/>
      <c r="F79" s="25"/>
      <c r="G79" s="27"/>
      <c r="H79" s="25"/>
      <c r="I79" s="26"/>
      <c r="J79" s="48"/>
      <c r="K79" s="48"/>
      <c r="L79" s="48"/>
      <c r="M79" s="48"/>
      <c r="N79" s="48"/>
    </row>
    <row r="80" customFormat="false" ht="15" hidden="false" customHeight="false" outlineLevel="0" collapsed="false">
      <c r="A80" s="25"/>
      <c r="B80" s="25"/>
      <c r="C80" s="26"/>
      <c r="D80" s="25"/>
      <c r="E80" s="25"/>
      <c r="F80" s="25"/>
      <c r="G80" s="27"/>
      <c r="H80" s="25"/>
      <c r="I80" s="26"/>
      <c r="J80" s="48"/>
      <c r="K80" s="48"/>
      <c r="L80" s="48"/>
      <c r="M80" s="48"/>
      <c r="N80" s="48"/>
    </row>
    <row r="81" customFormat="false" ht="15" hidden="false" customHeight="false" outlineLevel="0" collapsed="false">
      <c r="A81" s="25"/>
      <c r="B81" s="25"/>
      <c r="C81" s="26"/>
      <c r="D81" s="25"/>
      <c r="E81" s="25"/>
      <c r="F81" s="25"/>
      <c r="G81" s="27"/>
      <c r="H81" s="25"/>
      <c r="I81" s="26"/>
      <c r="J81" s="48"/>
      <c r="K81" s="48"/>
      <c r="L81" s="48"/>
      <c r="M81" s="48"/>
      <c r="N81" s="48"/>
    </row>
    <row r="82" customFormat="false" ht="15" hidden="false" customHeight="false" outlineLevel="0" collapsed="false">
      <c r="A82" s="25"/>
      <c r="B82" s="25"/>
      <c r="C82" s="26"/>
      <c r="D82" s="25"/>
      <c r="E82" s="25"/>
      <c r="F82" s="25"/>
      <c r="G82" s="27"/>
      <c r="H82" s="25"/>
      <c r="I82" s="26"/>
      <c r="J82" s="48"/>
      <c r="K82" s="48"/>
      <c r="L82" s="48"/>
      <c r="M82" s="48"/>
      <c r="N82" s="48"/>
    </row>
    <row r="83" customFormat="false" ht="15" hidden="false" customHeight="false" outlineLevel="0" collapsed="false">
      <c r="A83" s="25"/>
      <c r="B83" s="25"/>
      <c r="C83" s="26"/>
      <c r="D83" s="25"/>
      <c r="E83" s="25"/>
      <c r="F83" s="25"/>
      <c r="G83" s="27"/>
      <c r="H83" s="25"/>
      <c r="I83" s="26"/>
      <c r="J83" s="48"/>
      <c r="K83" s="48"/>
      <c r="L83" s="48"/>
      <c r="M83" s="48"/>
      <c r="N83" s="48"/>
    </row>
    <row r="84" customFormat="false" ht="15" hidden="false" customHeight="false" outlineLevel="0" collapsed="false">
      <c r="A84" s="25"/>
      <c r="B84" s="25"/>
      <c r="C84" s="26"/>
      <c r="D84" s="25"/>
      <c r="E84" s="25"/>
      <c r="F84" s="25"/>
      <c r="G84" s="27"/>
      <c r="H84" s="25"/>
      <c r="I84" s="26"/>
      <c r="J84" s="48"/>
      <c r="K84" s="48"/>
      <c r="L84" s="48"/>
      <c r="M84" s="48"/>
      <c r="N84" s="48"/>
    </row>
    <row r="85" customFormat="false" ht="15" hidden="false" customHeight="false" outlineLevel="0" collapsed="false">
      <c r="A85" s="25"/>
      <c r="B85" s="25"/>
      <c r="C85" s="26"/>
      <c r="D85" s="25"/>
      <c r="E85" s="25"/>
      <c r="F85" s="25"/>
      <c r="G85" s="27"/>
      <c r="H85" s="25"/>
      <c r="I85" s="26"/>
      <c r="J85" s="48"/>
      <c r="K85" s="48"/>
      <c r="L85" s="48"/>
      <c r="M85" s="48"/>
      <c r="N85" s="48"/>
    </row>
    <row r="86" customFormat="false" ht="15" hidden="false" customHeight="false" outlineLevel="0" collapsed="false">
      <c r="A86" s="25"/>
      <c r="B86" s="25"/>
      <c r="C86" s="26"/>
      <c r="D86" s="25"/>
      <c r="E86" s="25"/>
      <c r="F86" s="25"/>
      <c r="G86" s="27"/>
      <c r="H86" s="25"/>
      <c r="I86" s="26"/>
      <c r="J86" s="48"/>
      <c r="K86" s="48"/>
      <c r="L86" s="48"/>
      <c r="M86" s="48"/>
      <c r="N86" s="48"/>
    </row>
    <row r="87" customFormat="false" ht="15" hidden="false" customHeight="false" outlineLevel="0" collapsed="false">
      <c r="A87" s="25"/>
      <c r="B87" s="25"/>
      <c r="C87" s="26"/>
      <c r="D87" s="25"/>
      <c r="E87" s="25"/>
      <c r="F87" s="25"/>
      <c r="G87" s="27"/>
      <c r="H87" s="25"/>
      <c r="I87" s="26"/>
      <c r="J87" s="48"/>
      <c r="K87" s="48"/>
      <c r="L87" s="48"/>
      <c r="M87" s="48"/>
      <c r="N87" s="48"/>
    </row>
    <row r="88" customFormat="false" ht="15" hidden="false" customHeight="false" outlineLevel="0" collapsed="false">
      <c r="A88" s="25"/>
      <c r="B88" s="25"/>
      <c r="C88" s="26"/>
      <c r="D88" s="25"/>
      <c r="E88" s="25"/>
      <c r="F88" s="25"/>
      <c r="G88" s="27"/>
      <c r="H88" s="25"/>
      <c r="I88" s="26"/>
      <c r="J88" s="48"/>
      <c r="K88" s="48"/>
      <c r="L88" s="48"/>
      <c r="M88" s="48"/>
      <c r="N88" s="48"/>
    </row>
    <row r="89" customFormat="false" ht="15" hidden="false" customHeight="false" outlineLevel="0" collapsed="false">
      <c r="A89" s="25"/>
      <c r="B89" s="25"/>
      <c r="C89" s="26"/>
      <c r="D89" s="25"/>
      <c r="E89" s="25"/>
      <c r="F89" s="25"/>
      <c r="G89" s="27"/>
      <c r="H89" s="25"/>
      <c r="I89" s="26"/>
      <c r="J89" s="48"/>
      <c r="K89" s="48"/>
      <c r="L89" s="48"/>
      <c r="M89" s="48"/>
      <c r="N89" s="48"/>
    </row>
    <row r="90" customFormat="false" ht="15" hidden="false" customHeight="false" outlineLevel="0" collapsed="false">
      <c r="A90" s="25"/>
      <c r="B90" s="25"/>
      <c r="C90" s="26"/>
      <c r="D90" s="25"/>
      <c r="E90" s="25"/>
      <c r="F90" s="25"/>
      <c r="G90" s="27"/>
      <c r="H90" s="25"/>
      <c r="I90" s="26"/>
      <c r="J90" s="48"/>
      <c r="K90" s="48"/>
      <c r="L90" s="48"/>
      <c r="M90" s="48"/>
      <c r="N90" s="48"/>
    </row>
    <row r="91" customFormat="false" ht="15" hidden="false" customHeight="false" outlineLevel="0" collapsed="false">
      <c r="A91" s="25"/>
      <c r="B91" s="25"/>
      <c r="C91" s="26"/>
      <c r="D91" s="25"/>
      <c r="E91" s="25"/>
      <c r="F91" s="25"/>
      <c r="G91" s="27"/>
      <c r="H91" s="25"/>
      <c r="I91" s="26"/>
      <c r="J91" s="48"/>
      <c r="K91" s="48"/>
      <c r="L91" s="48"/>
      <c r="M91" s="48"/>
      <c r="N91" s="48"/>
    </row>
    <row r="92" customFormat="false" ht="15" hidden="false" customHeight="false" outlineLevel="0" collapsed="false">
      <c r="A92" s="25"/>
      <c r="B92" s="25"/>
      <c r="C92" s="26"/>
      <c r="D92" s="25"/>
      <c r="E92" s="25"/>
      <c r="F92" s="25"/>
      <c r="G92" s="27"/>
      <c r="H92" s="25"/>
      <c r="I92" s="26"/>
      <c r="J92" s="48"/>
      <c r="K92" s="48"/>
      <c r="L92" s="48"/>
      <c r="M92" s="48"/>
      <c r="N92" s="48"/>
    </row>
    <row r="93" customFormat="false" ht="15" hidden="false" customHeight="false" outlineLevel="0" collapsed="false">
      <c r="A93" s="25"/>
      <c r="B93" s="25"/>
      <c r="C93" s="26"/>
      <c r="D93" s="25"/>
      <c r="E93" s="25"/>
      <c r="F93" s="25"/>
      <c r="G93" s="27"/>
      <c r="H93" s="25"/>
      <c r="I93" s="26"/>
      <c r="J93" s="48"/>
      <c r="K93" s="48"/>
      <c r="L93" s="48"/>
      <c r="M93" s="48"/>
      <c r="N93" s="48"/>
    </row>
    <row r="94" customFormat="false" ht="15" hidden="false" customHeight="false" outlineLevel="0" collapsed="false">
      <c r="A94" s="25"/>
      <c r="B94" s="25"/>
      <c r="C94" s="26"/>
      <c r="D94" s="25"/>
      <c r="E94" s="25"/>
      <c r="F94" s="25"/>
      <c r="G94" s="27"/>
      <c r="H94" s="25"/>
      <c r="I94" s="26"/>
      <c r="J94" s="48"/>
      <c r="K94" s="48"/>
      <c r="L94" s="48"/>
      <c r="M94" s="48"/>
      <c r="N94" s="48"/>
    </row>
    <row r="95" customFormat="false" ht="15" hidden="false" customHeight="false" outlineLevel="0" collapsed="false">
      <c r="A95" s="25"/>
      <c r="B95" s="25"/>
      <c r="C95" s="26"/>
      <c r="D95" s="25"/>
      <c r="E95" s="25"/>
      <c r="F95" s="25"/>
      <c r="G95" s="27"/>
      <c r="H95" s="25"/>
      <c r="I95" s="26"/>
      <c r="J95" s="48"/>
      <c r="K95" s="48"/>
      <c r="L95" s="48"/>
      <c r="M95" s="48"/>
      <c r="N95" s="48"/>
    </row>
    <row r="96" customFormat="false" ht="15" hidden="false" customHeight="false" outlineLevel="0" collapsed="false">
      <c r="A96" s="25"/>
      <c r="B96" s="25"/>
      <c r="C96" s="26"/>
      <c r="D96" s="25"/>
      <c r="E96" s="25"/>
      <c r="F96" s="25"/>
      <c r="G96" s="27"/>
      <c r="H96" s="25"/>
      <c r="I96" s="26"/>
      <c r="J96" s="48"/>
      <c r="K96" s="48"/>
      <c r="L96" s="48"/>
      <c r="M96" s="48"/>
      <c r="N96" s="48"/>
    </row>
    <row r="97" customFormat="false" ht="15" hidden="false" customHeight="false" outlineLevel="0" collapsed="false">
      <c r="A97" s="25"/>
      <c r="B97" s="25"/>
      <c r="C97" s="26"/>
      <c r="D97" s="25"/>
      <c r="E97" s="25"/>
      <c r="F97" s="25"/>
      <c r="G97" s="27"/>
      <c r="H97" s="25"/>
      <c r="I97" s="26"/>
      <c r="J97" s="48"/>
      <c r="K97" s="48"/>
      <c r="L97" s="48"/>
      <c r="M97" s="48"/>
      <c r="N97" s="48"/>
    </row>
    <row r="98" customFormat="false" ht="15" hidden="false" customHeight="false" outlineLevel="0" collapsed="false">
      <c r="A98" s="25"/>
      <c r="B98" s="25"/>
      <c r="C98" s="26"/>
      <c r="D98" s="25"/>
      <c r="E98" s="25"/>
      <c r="F98" s="25"/>
      <c r="G98" s="27"/>
      <c r="H98" s="25"/>
      <c r="I98" s="26"/>
      <c r="J98" s="48"/>
      <c r="K98" s="48"/>
      <c r="L98" s="48"/>
      <c r="M98" s="48"/>
      <c r="N98" s="48"/>
    </row>
    <row r="99" customFormat="false" ht="15" hidden="false" customHeight="false" outlineLevel="0" collapsed="false">
      <c r="A99" s="25"/>
      <c r="B99" s="25"/>
      <c r="C99" s="26"/>
      <c r="D99" s="25"/>
      <c r="E99" s="25"/>
      <c r="F99" s="25"/>
      <c r="G99" s="27"/>
      <c r="H99" s="25"/>
      <c r="I99" s="26"/>
      <c r="J99" s="48"/>
      <c r="K99" s="48"/>
      <c r="L99" s="48"/>
      <c r="M99" s="48"/>
      <c r="N99" s="48"/>
    </row>
    <row r="100" customFormat="false" ht="15" hidden="false" customHeight="false" outlineLevel="0" collapsed="false">
      <c r="A100" s="25"/>
      <c r="B100" s="25"/>
      <c r="C100" s="26"/>
      <c r="D100" s="25"/>
      <c r="E100" s="25"/>
      <c r="F100" s="25"/>
      <c r="G100" s="27"/>
      <c r="H100" s="25"/>
      <c r="I100" s="26"/>
      <c r="J100" s="48"/>
      <c r="K100" s="48"/>
      <c r="L100" s="48"/>
      <c r="M100" s="48"/>
      <c r="N100" s="48"/>
    </row>
    <row r="101" customFormat="false" ht="15" hidden="false" customHeight="false" outlineLevel="0" collapsed="false">
      <c r="A101" s="25"/>
      <c r="B101" s="25"/>
      <c r="C101" s="26"/>
      <c r="D101" s="25"/>
      <c r="E101" s="25"/>
      <c r="F101" s="25"/>
      <c r="G101" s="27"/>
      <c r="H101" s="25"/>
      <c r="I101" s="26"/>
      <c r="J101" s="48"/>
      <c r="K101" s="48"/>
      <c r="L101" s="48"/>
      <c r="M101" s="48"/>
      <c r="N101" s="48"/>
    </row>
    <row r="102" customFormat="false" ht="15" hidden="false" customHeight="false" outlineLevel="0" collapsed="false">
      <c r="A102" s="25"/>
      <c r="B102" s="25"/>
      <c r="C102" s="26"/>
      <c r="D102" s="25"/>
      <c r="E102" s="25"/>
      <c r="F102" s="25"/>
      <c r="G102" s="27"/>
      <c r="H102" s="25"/>
      <c r="I102" s="26"/>
      <c r="J102" s="48"/>
      <c r="K102" s="48"/>
      <c r="L102" s="48"/>
      <c r="M102" s="48"/>
      <c r="N102" s="48"/>
    </row>
    <row r="103" customFormat="false" ht="15" hidden="false" customHeight="false" outlineLevel="0" collapsed="false">
      <c r="A103" s="25"/>
      <c r="B103" s="25"/>
      <c r="C103" s="26"/>
      <c r="D103" s="25"/>
      <c r="E103" s="25"/>
      <c r="F103" s="25"/>
      <c r="G103" s="27"/>
      <c r="H103" s="25"/>
      <c r="I103" s="26"/>
      <c r="J103" s="48"/>
      <c r="K103" s="48"/>
      <c r="L103" s="48"/>
      <c r="M103" s="48"/>
      <c r="N103" s="48"/>
    </row>
    <row r="104" customFormat="false" ht="15" hidden="false" customHeight="false" outlineLevel="0" collapsed="false">
      <c r="A104" s="25"/>
      <c r="B104" s="25"/>
      <c r="C104" s="26"/>
      <c r="D104" s="25"/>
      <c r="E104" s="25"/>
      <c r="F104" s="25"/>
      <c r="G104" s="27"/>
      <c r="H104" s="25"/>
      <c r="I104" s="26"/>
      <c r="J104" s="48"/>
      <c r="K104" s="48"/>
      <c r="L104" s="48"/>
      <c r="M104" s="48"/>
      <c r="N104" s="48"/>
    </row>
    <row r="105" customFormat="false" ht="15" hidden="false" customHeight="false" outlineLevel="0" collapsed="false">
      <c r="A105" s="25"/>
      <c r="B105" s="25"/>
      <c r="C105" s="26"/>
      <c r="D105" s="25"/>
      <c r="E105" s="25"/>
      <c r="F105" s="25"/>
      <c r="G105" s="27"/>
      <c r="H105" s="25"/>
      <c r="I105" s="26"/>
      <c r="J105" s="48"/>
      <c r="K105" s="48"/>
      <c r="L105" s="48"/>
      <c r="M105" s="48"/>
      <c r="N105" s="48"/>
    </row>
    <row r="106" customFormat="false" ht="15" hidden="false" customHeight="false" outlineLevel="0" collapsed="false">
      <c r="A106" s="25"/>
      <c r="B106" s="25"/>
      <c r="C106" s="26"/>
      <c r="D106" s="25"/>
      <c r="E106" s="25"/>
      <c r="F106" s="25"/>
      <c r="G106" s="27"/>
      <c r="H106" s="25"/>
      <c r="I106" s="26"/>
      <c r="J106" s="48"/>
      <c r="K106" s="48"/>
      <c r="L106" s="48"/>
      <c r="M106" s="48"/>
      <c r="N106" s="48"/>
    </row>
    <row r="107" customFormat="false" ht="15" hidden="false" customHeight="false" outlineLevel="0" collapsed="false">
      <c r="A107" s="25"/>
      <c r="B107" s="25"/>
      <c r="C107" s="26"/>
      <c r="D107" s="25"/>
      <c r="E107" s="25"/>
      <c r="F107" s="25"/>
      <c r="G107" s="27"/>
      <c r="H107" s="25"/>
      <c r="I107" s="26"/>
      <c r="J107" s="48"/>
      <c r="K107" s="48"/>
      <c r="L107" s="48"/>
      <c r="M107" s="48"/>
      <c r="N107" s="48"/>
    </row>
    <row r="108" customFormat="false" ht="15" hidden="false" customHeight="false" outlineLevel="0" collapsed="false">
      <c r="A108" s="25"/>
      <c r="B108" s="25"/>
      <c r="C108" s="26"/>
      <c r="D108" s="25"/>
      <c r="E108" s="25"/>
      <c r="F108" s="25"/>
      <c r="G108" s="27"/>
      <c r="H108" s="25"/>
      <c r="I108" s="26"/>
      <c r="J108" s="48"/>
      <c r="K108" s="48"/>
      <c r="L108" s="48"/>
      <c r="M108" s="48"/>
      <c r="N108" s="48"/>
    </row>
    <row r="109" customFormat="false" ht="15" hidden="false" customHeight="false" outlineLevel="0" collapsed="false">
      <c r="A109" s="25"/>
      <c r="B109" s="25"/>
      <c r="C109" s="26"/>
      <c r="D109" s="25"/>
      <c r="E109" s="25"/>
      <c r="F109" s="25"/>
      <c r="G109" s="27"/>
      <c r="H109" s="25"/>
      <c r="I109" s="26"/>
      <c r="J109" s="48"/>
      <c r="K109" s="48"/>
      <c r="L109" s="48"/>
      <c r="M109" s="48"/>
      <c r="N109" s="48"/>
    </row>
    <row r="110" customFormat="false" ht="15" hidden="false" customHeight="false" outlineLevel="0" collapsed="false">
      <c r="A110" s="25"/>
      <c r="B110" s="25"/>
      <c r="C110" s="26"/>
      <c r="D110" s="25"/>
      <c r="E110" s="25"/>
      <c r="F110" s="25"/>
      <c r="G110" s="27"/>
      <c r="H110" s="25"/>
      <c r="I110" s="26"/>
      <c r="J110" s="48"/>
      <c r="K110" s="48"/>
      <c r="L110" s="48"/>
      <c r="M110" s="48"/>
      <c r="N110" s="48"/>
    </row>
    <row r="111" customFormat="false" ht="15" hidden="false" customHeight="false" outlineLevel="0" collapsed="false">
      <c r="A111" s="25"/>
      <c r="B111" s="25"/>
      <c r="C111" s="26"/>
      <c r="D111" s="25"/>
      <c r="E111" s="25"/>
      <c r="F111" s="25"/>
      <c r="G111" s="27"/>
      <c r="H111" s="25"/>
      <c r="I111" s="26"/>
      <c r="J111" s="48"/>
      <c r="K111" s="48"/>
      <c r="L111" s="48"/>
      <c r="M111" s="48"/>
      <c r="N111" s="48"/>
    </row>
    <row r="112" customFormat="false" ht="15" hidden="false" customHeight="false" outlineLevel="0" collapsed="false">
      <c r="A112" s="25"/>
      <c r="B112" s="25"/>
      <c r="C112" s="26"/>
      <c r="D112" s="25"/>
      <c r="E112" s="25"/>
      <c r="F112" s="25"/>
      <c r="G112" s="27"/>
      <c r="H112" s="25"/>
      <c r="I112" s="26"/>
      <c r="J112" s="48"/>
      <c r="K112" s="48"/>
      <c r="L112" s="48"/>
      <c r="M112" s="48"/>
      <c r="N112" s="48"/>
    </row>
    <row r="113" customFormat="false" ht="15" hidden="false" customHeight="false" outlineLevel="0" collapsed="false">
      <c r="A113" s="25"/>
      <c r="B113" s="25"/>
      <c r="C113" s="26"/>
      <c r="D113" s="25"/>
      <c r="E113" s="25"/>
      <c r="F113" s="25"/>
      <c r="G113" s="27"/>
      <c r="H113" s="25"/>
      <c r="I113" s="26"/>
      <c r="J113" s="48"/>
      <c r="K113" s="48"/>
      <c r="L113" s="48"/>
      <c r="M113" s="48"/>
      <c r="N113" s="48"/>
    </row>
    <row r="114" customFormat="false" ht="15" hidden="false" customHeight="false" outlineLevel="0" collapsed="false">
      <c r="A114" s="25"/>
      <c r="B114" s="25"/>
      <c r="C114" s="26"/>
      <c r="D114" s="25"/>
      <c r="E114" s="25"/>
      <c r="F114" s="25"/>
      <c r="G114" s="27"/>
      <c r="H114" s="25"/>
      <c r="I114" s="26"/>
      <c r="J114" s="48"/>
      <c r="K114" s="48"/>
      <c r="L114" s="48"/>
      <c r="M114" s="48"/>
      <c r="N114" s="48"/>
    </row>
    <row r="115" customFormat="false" ht="15" hidden="false" customHeight="false" outlineLevel="0" collapsed="false">
      <c r="A115" s="25"/>
      <c r="B115" s="25"/>
      <c r="C115" s="26"/>
      <c r="D115" s="25"/>
      <c r="E115" s="25"/>
      <c r="F115" s="25"/>
      <c r="G115" s="27"/>
      <c r="H115" s="25"/>
      <c r="I115" s="26"/>
      <c r="J115" s="48"/>
      <c r="K115" s="48"/>
      <c r="L115" s="48"/>
      <c r="M115" s="48"/>
      <c r="N115" s="48"/>
    </row>
    <row r="116" customFormat="false" ht="15" hidden="false" customHeight="false" outlineLevel="0" collapsed="false">
      <c r="A116" s="25"/>
      <c r="B116" s="25"/>
      <c r="C116" s="26"/>
      <c r="D116" s="25"/>
      <c r="E116" s="25"/>
      <c r="F116" s="25"/>
      <c r="G116" s="27"/>
      <c r="H116" s="25"/>
      <c r="I116" s="26"/>
      <c r="J116" s="48"/>
      <c r="K116" s="48"/>
      <c r="L116" s="48"/>
      <c r="M116" s="48"/>
      <c r="N116" s="48"/>
    </row>
    <row r="117" customFormat="false" ht="15" hidden="false" customHeight="false" outlineLevel="0" collapsed="false">
      <c r="A117" s="25"/>
      <c r="B117" s="25"/>
      <c r="C117" s="26"/>
      <c r="D117" s="25"/>
      <c r="E117" s="25"/>
      <c r="F117" s="25"/>
      <c r="G117" s="27"/>
      <c r="H117" s="25"/>
      <c r="I117" s="26"/>
      <c r="J117" s="48"/>
      <c r="K117" s="48"/>
      <c r="L117" s="48"/>
      <c r="M117" s="48"/>
      <c r="N117" s="48"/>
    </row>
    <row r="118" customFormat="false" ht="15" hidden="false" customHeight="false" outlineLevel="0" collapsed="false">
      <c r="A118" s="25"/>
      <c r="B118" s="25"/>
      <c r="C118" s="26"/>
      <c r="D118" s="25"/>
      <c r="E118" s="25"/>
      <c r="F118" s="25"/>
      <c r="G118" s="27"/>
      <c r="H118" s="25"/>
      <c r="I118" s="26"/>
      <c r="J118" s="48"/>
      <c r="K118" s="48"/>
      <c r="L118" s="48"/>
      <c r="M118" s="48"/>
      <c r="N118" s="48"/>
    </row>
    <row r="119" customFormat="false" ht="15" hidden="false" customHeight="false" outlineLevel="0" collapsed="false">
      <c r="A119" s="25"/>
      <c r="B119" s="25"/>
      <c r="C119" s="26"/>
      <c r="D119" s="25"/>
      <c r="E119" s="25"/>
      <c r="F119" s="25"/>
      <c r="G119" s="27"/>
      <c r="H119" s="25"/>
      <c r="I119" s="26"/>
      <c r="J119" s="48"/>
      <c r="K119" s="48"/>
      <c r="L119" s="48"/>
      <c r="M119" s="48"/>
      <c r="N119" s="48"/>
    </row>
    <row r="120" customFormat="false" ht="15" hidden="false" customHeight="false" outlineLevel="0" collapsed="false">
      <c r="A120" s="25"/>
      <c r="B120" s="25"/>
      <c r="C120" s="26"/>
      <c r="D120" s="25"/>
      <c r="E120" s="25"/>
      <c r="F120" s="25"/>
      <c r="G120" s="27"/>
      <c r="H120" s="25"/>
      <c r="I120" s="26"/>
      <c r="J120" s="48"/>
      <c r="K120" s="48"/>
      <c r="L120" s="48"/>
      <c r="M120" s="48"/>
      <c r="N120" s="48"/>
    </row>
    <row r="121" customFormat="false" ht="15" hidden="false" customHeight="false" outlineLevel="0" collapsed="false">
      <c r="A121" s="25"/>
      <c r="B121" s="25"/>
      <c r="C121" s="26"/>
      <c r="D121" s="25"/>
      <c r="E121" s="25"/>
      <c r="F121" s="25"/>
      <c r="G121" s="27"/>
      <c r="H121" s="25"/>
      <c r="I121" s="26"/>
      <c r="J121" s="48"/>
      <c r="K121" s="48"/>
      <c r="L121" s="48"/>
      <c r="M121" s="48"/>
      <c r="N121" s="48"/>
    </row>
    <row r="122" customFormat="false" ht="15" hidden="false" customHeight="false" outlineLevel="0" collapsed="false">
      <c r="A122" s="25"/>
      <c r="B122" s="25"/>
      <c r="C122" s="26"/>
      <c r="D122" s="25"/>
      <c r="E122" s="25"/>
      <c r="F122" s="25"/>
      <c r="G122" s="27"/>
      <c r="H122" s="25"/>
      <c r="I122" s="26"/>
      <c r="J122" s="48"/>
      <c r="K122" s="48"/>
      <c r="L122" s="48"/>
      <c r="M122" s="48"/>
      <c r="N122" s="48"/>
    </row>
    <row r="123" customFormat="false" ht="15" hidden="false" customHeight="false" outlineLevel="0" collapsed="false">
      <c r="A123" s="25"/>
      <c r="B123" s="25"/>
      <c r="C123" s="26"/>
      <c r="D123" s="25"/>
      <c r="E123" s="25"/>
      <c r="F123" s="25"/>
      <c r="G123" s="27"/>
      <c r="H123" s="25"/>
      <c r="I123" s="26"/>
      <c r="J123" s="48"/>
      <c r="K123" s="48"/>
      <c r="L123" s="48"/>
      <c r="M123" s="48"/>
      <c r="N123" s="48"/>
    </row>
    <row r="124" customFormat="false" ht="15" hidden="false" customHeight="false" outlineLevel="0" collapsed="false">
      <c r="A124" s="25"/>
      <c r="B124" s="25"/>
      <c r="C124" s="26"/>
      <c r="D124" s="25"/>
      <c r="E124" s="25"/>
      <c r="F124" s="25"/>
      <c r="G124" s="27"/>
      <c r="H124" s="25"/>
      <c r="I124" s="26"/>
      <c r="J124" s="48"/>
      <c r="K124" s="48"/>
      <c r="L124" s="48"/>
      <c r="M124" s="48"/>
      <c r="N124" s="48"/>
    </row>
    <row r="125" customFormat="false" ht="15" hidden="false" customHeight="false" outlineLevel="0" collapsed="false">
      <c r="A125" s="25"/>
      <c r="B125" s="25"/>
      <c r="C125" s="26"/>
      <c r="D125" s="25"/>
      <c r="E125" s="25"/>
      <c r="F125" s="25"/>
      <c r="G125" s="27"/>
      <c r="H125" s="25"/>
      <c r="I125" s="26"/>
      <c r="J125" s="48"/>
      <c r="K125" s="48"/>
      <c r="L125" s="48"/>
      <c r="M125" s="48"/>
      <c r="N125" s="48"/>
    </row>
    <row r="126" customFormat="false" ht="15" hidden="false" customHeight="false" outlineLevel="0" collapsed="false">
      <c r="A126" s="25"/>
      <c r="B126" s="25"/>
      <c r="C126" s="26"/>
      <c r="D126" s="25"/>
      <c r="E126" s="25"/>
      <c r="F126" s="25"/>
      <c r="G126" s="27"/>
      <c r="H126" s="25"/>
      <c r="I126" s="26"/>
      <c r="J126" s="48"/>
      <c r="K126" s="48"/>
      <c r="L126" s="48"/>
      <c r="M126" s="48"/>
      <c r="N126" s="48"/>
    </row>
    <row r="127" customFormat="false" ht="15" hidden="false" customHeight="false" outlineLevel="0" collapsed="false">
      <c r="A127" s="25"/>
      <c r="B127" s="25"/>
      <c r="C127" s="26"/>
      <c r="D127" s="25"/>
      <c r="E127" s="25"/>
      <c r="F127" s="25"/>
      <c r="G127" s="27"/>
      <c r="H127" s="25"/>
      <c r="I127" s="26"/>
      <c r="J127" s="48"/>
      <c r="K127" s="48"/>
      <c r="L127" s="48"/>
      <c r="M127" s="48"/>
      <c r="N127" s="48"/>
    </row>
    <row r="128" customFormat="false" ht="15" hidden="false" customHeight="false" outlineLevel="0" collapsed="false">
      <c r="A128" s="25"/>
      <c r="B128" s="25"/>
      <c r="C128" s="26"/>
      <c r="D128" s="25"/>
      <c r="E128" s="25"/>
      <c r="F128" s="25"/>
      <c r="G128" s="27"/>
      <c r="H128" s="25"/>
      <c r="I128" s="26"/>
      <c r="J128" s="48"/>
      <c r="K128" s="48"/>
      <c r="L128" s="48"/>
      <c r="M128" s="48"/>
      <c r="N128" s="48"/>
    </row>
    <row r="129" customFormat="false" ht="15" hidden="false" customHeight="false" outlineLevel="0" collapsed="false">
      <c r="A129" s="25"/>
      <c r="B129" s="25"/>
      <c r="C129" s="26"/>
      <c r="D129" s="25"/>
      <c r="E129" s="25"/>
      <c r="F129" s="25"/>
      <c r="G129" s="27"/>
      <c r="H129" s="25"/>
      <c r="I129" s="26"/>
      <c r="J129" s="48"/>
      <c r="K129" s="48"/>
      <c r="L129" s="48"/>
      <c r="M129" s="48"/>
      <c r="N129" s="48"/>
    </row>
    <row r="130" customFormat="false" ht="15" hidden="false" customHeight="false" outlineLevel="0" collapsed="false">
      <c r="A130" s="25"/>
      <c r="B130" s="25"/>
      <c r="C130" s="26"/>
      <c r="D130" s="25"/>
      <c r="E130" s="25"/>
      <c r="F130" s="25"/>
      <c r="G130" s="27"/>
      <c r="H130" s="25"/>
      <c r="I130" s="26"/>
      <c r="J130" s="48"/>
      <c r="K130" s="48"/>
      <c r="L130" s="48"/>
      <c r="M130" s="48"/>
      <c r="N130" s="48"/>
    </row>
    <row r="131" customFormat="false" ht="15" hidden="false" customHeight="false" outlineLevel="0" collapsed="false">
      <c r="A131" s="25"/>
      <c r="B131" s="25"/>
      <c r="C131" s="26"/>
      <c r="D131" s="25"/>
      <c r="E131" s="25"/>
      <c r="F131" s="25"/>
      <c r="G131" s="27"/>
      <c r="H131" s="25"/>
      <c r="I131" s="26"/>
      <c r="J131" s="48"/>
      <c r="K131" s="48"/>
      <c r="L131" s="48"/>
      <c r="M131" s="48"/>
      <c r="N131" s="48"/>
    </row>
    <row r="132" customFormat="false" ht="15" hidden="false" customHeight="false" outlineLevel="0" collapsed="false">
      <c r="A132" s="25"/>
      <c r="B132" s="25"/>
      <c r="C132" s="26"/>
      <c r="D132" s="25"/>
      <c r="E132" s="25"/>
      <c r="F132" s="25"/>
      <c r="G132" s="27"/>
      <c r="H132" s="25"/>
      <c r="I132" s="26"/>
      <c r="J132" s="48"/>
      <c r="K132" s="48"/>
      <c r="L132" s="48"/>
      <c r="M132" s="48"/>
      <c r="N132" s="48"/>
    </row>
    <row r="133" customFormat="false" ht="15" hidden="false" customHeight="false" outlineLevel="0" collapsed="false">
      <c r="A133" s="25"/>
      <c r="B133" s="25"/>
      <c r="C133" s="26"/>
      <c r="D133" s="25"/>
      <c r="E133" s="25"/>
      <c r="F133" s="25"/>
      <c r="G133" s="27"/>
      <c r="H133" s="25"/>
      <c r="I133" s="26"/>
      <c r="J133" s="48"/>
      <c r="K133" s="48"/>
      <c r="L133" s="48"/>
      <c r="M133" s="48"/>
      <c r="N133" s="48"/>
    </row>
    <row r="134" customFormat="false" ht="15" hidden="false" customHeight="false" outlineLevel="0" collapsed="false">
      <c r="A134" s="25"/>
      <c r="B134" s="25"/>
      <c r="C134" s="26"/>
      <c r="D134" s="25"/>
      <c r="E134" s="25"/>
      <c r="F134" s="25"/>
      <c r="G134" s="27"/>
      <c r="H134" s="25"/>
      <c r="I134" s="26"/>
      <c r="J134" s="48"/>
      <c r="K134" s="48"/>
      <c r="L134" s="48"/>
      <c r="M134" s="48"/>
      <c r="N134" s="48"/>
    </row>
    <row r="135" customFormat="false" ht="15" hidden="false" customHeight="false" outlineLevel="0" collapsed="false">
      <c r="A135" s="25"/>
      <c r="B135" s="25"/>
      <c r="C135" s="26"/>
      <c r="D135" s="25"/>
      <c r="E135" s="25"/>
      <c r="F135" s="25"/>
      <c r="G135" s="27"/>
      <c r="H135" s="25"/>
      <c r="I135" s="26"/>
      <c r="J135" s="48"/>
      <c r="K135" s="48"/>
      <c r="L135" s="48"/>
      <c r="M135" s="48"/>
      <c r="N135" s="48"/>
    </row>
    <row r="136" customFormat="false" ht="15" hidden="false" customHeight="false" outlineLevel="0" collapsed="false">
      <c r="A136" s="25"/>
      <c r="B136" s="25"/>
      <c r="C136" s="26"/>
      <c r="D136" s="25"/>
      <c r="E136" s="25"/>
      <c r="F136" s="25"/>
      <c r="G136" s="27"/>
      <c r="H136" s="25"/>
      <c r="I136" s="26"/>
      <c r="J136" s="48"/>
      <c r="K136" s="48"/>
      <c r="L136" s="48"/>
      <c r="M136" s="48"/>
      <c r="N136" s="48"/>
    </row>
    <row r="137" customFormat="false" ht="15" hidden="false" customHeight="false" outlineLevel="0" collapsed="false">
      <c r="A137" s="25"/>
      <c r="B137" s="25"/>
      <c r="C137" s="26"/>
      <c r="D137" s="25"/>
      <c r="E137" s="25"/>
      <c r="F137" s="25"/>
      <c r="G137" s="27"/>
      <c r="H137" s="25"/>
      <c r="I137" s="26"/>
      <c r="J137" s="48"/>
      <c r="K137" s="48"/>
      <c r="L137" s="48"/>
      <c r="M137" s="48"/>
      <c r="N137" s="48"/>
    </row>
    <row r="138" customFormat="false" ht="15" hidden="false" customHeight="false" outlineLevel="0" collapsed="false">
      <c r="A138" s="25"/>
      <c r="B138" s="25"/>
      <c r="C138" s="26"/>
      <c r="D138" s="25"/>
      <c r="E138" s="25"/>
      <c r="F138" s="25"/>
      <c r="G138" s="27"/>
      <c r="H138" s="25"/>
      <c r="I138" s="26"/>
      <c r="J138" s="48"/>
      <c r="K138" s="48"/>
      <c r="L138" s="48"/>
      <c r="M138" s="48"/>
      <c r="N138" s="48"/>
    </row>
    <row r="139" customFormat="false" ht="15" hidden="false" customHeight="false" outlineLevel="0" collapsed="false">
      <c r="A139" s="25"/>
      <c r="B139" s="25"/>
      <c r="C139" s="26"/>
      <c r="D139" s="25"/>
      <c r="E139" s="25"/>
      <c r="F139" s="25"/>
      <c r="G139" s="27"/>
      <c r="H139" s="25"/>
      <c r="I139" s="26"/>
      <c r="J139" s="48"/>
      <c r="K139" s="48"/>
      <c r="L139" s="48"/>
      <c r="M139" s="48"/>
      <c r="N139" s="48"/>
    </row>
    <row r="140" customFormat="false" ht="15" hidden="false" customHeight="false" outlineLevel="0" collapsed="false">
      <c r="A140" s="25"/>
      <c r="B140" s="25"/>
      <c r="C140" s="26"/>
      <c r="D140" s="25"/>
      <c r="E140" s="25"/>
      <c r="F140" s="25"/>
      <c r="G140" s="27"/>
      <c r="H140" s="25"/>
      <c r="I140" s="26"/>
      <c r="J140" s="48"/>
      <c r="K140" s="48"/>
      <c r="L140" s="48"/>
      <c r="M140" s="48"/>
      <c r="N140" s="48"/>
    </row>
    <row r="141" customFormat="false" ht="15" hidden="false" customHeight="false" outlineLevel="0" collapsed="false">
      <c r="A141" s="25"/>
      <c r="B141" s="25"/>
      <c r="C141" s="26"/>
      <c r="D141" s="25"/>
      <c r="E141" s="25"/>
      <c r="F141" s="25"/>
      <c r="G141" s="27"/>
      <c r="H141" s="25"/>
      <c r="I141" s="26"/>
      <c r="J141" s="48"/>
      <c r="K141" s="48"/>
      <c r="L141" s="48"/>
      <c r="M141" s="48"/>
      <c r="N141" s="48"/>
    </row>
    <row r="142" customFormat="false" ht="15" hidden="false" customHeight="false" outlineLevel="0" collapsed="false">
      <c r="A142" s="25"/>
      <c r="B142" s="25"/>
      <c r="C142" s="26"/>
      <c r="D142" s="25"/>
      <c r="E142" s="25"/>
      <c r="F142" s="25"/>
      <c r="G142" s="27"/>
      <c r="H142" s="25"/>
      <c r="I142" s="26"/>
      <c r="J142" s="48"/>
      <c r="K142" s="48"/>
      <c r="L142" s="48"/>
      <c r="M142" s="48"/>
      <c r="N142" s="48"/>
    </row>
    <row r="143" customFormat="false" ht="15" hidden="false" customHeight="false" outlineLevel="0" collapsed="false">
      <c r="A143" s="25"/>
      <c r="B143" s="25"/>
      <c r="C143" s="26"/>
      <c r="D143" s="25"/>
      <c r="E143" s="25"/>
      <c r="F143" s="25"/>
      <c r="G143" s="27"/>
      <c r="H143" s="25"/>
      <c r="I143" s="26"/>
      <c r="J143" s="48"/>
      <c r="K143" s="48"/>
      <c r="L143" s="48"/>
      <c r="M143" s="48"/>
      <c r="N143" s="48"/>
    </row>
    <row r="144" customFormat="false" ht="15" hidden="false" customHeight="false" outlineLevel="0" collapsed="false">
      <c r="A144" s="25"/>
      <c r="B144" s="25"/>
      <c r="C144" s="26"/>
      <c r="D144" s="25"/>
      <c r="E144" s="25"/>
      <c r="F144" s="25"/>
      <c r="G144" s="27"/>
      <c r="H144" s="25"/>
      <c r="I144" s="26"/>
      <c r="J144" s="48"/>
      <c r="K144" s="48"/>
      <c r="L144" s="48"/>
      <c r="M144" s="48"/>
      <c r="N144" s="48"/>
    </row>
    <row r="145" customFormat="false" ht="15" hidden="false" customHeight="false" outlineLevel="0" collapsed="false">
      <c r="A145" s="25"/>
      <c r="B145" s="25"/>
      <c r="C145" s="26"/>
      <c r="D145" s="25"/>
      <c r="E145" s="25"/>
      <c r="F145" s="25"/>
      <c r="G145" s="27"/>
      <c r="H145" s="25"/>
      <c r="I145" s="26"/>
      <c r="J145" s="48"/>
      <c r="K145" s="48"/>
      <c r="L145" s="48"/>
      <c r="M145" s="48"/>
      <c r="N145" s="48"/>
    </row>
    <row r="146" customFormat="false" ht="15" hidden="false" customHeight="false" outlineLevel="0" collapsed="false">
      <c r="A146" s="25"/>
      <c r="B146" s="25"/>
      <c r="C146" s="26"/>
      <c r="D146" s="25"/>
      <c r="E146" s="25"/>
      <c r="F146" s="25"/>
      <c r="G146" s="27"/>
      <c r="H146" s="25"/>
      <c r="I146" s="26"/>
      <c r="J146" s="48"/>
      <c r="K146" s="48"/>
      <c r="L146" s="48"/>
      <c r="M146" s="48"/>
      <c r="N146" s="48"/>
    </row>
    <row r="147" customFormat="false" ht="15" hidden="false" customHeight="false" outlineLevel="0" collapsed="false">
      <c r="A147" s="25"/>
      <c r="B147" s="25"/>
      <c r="C147" s="26"/>
      <c r="D147" s="25"/>
      <c r="E147" s="25"/>
      <c r="F147" s="25"/>
      <c r="G147" s="27"/>
      <c r="H147" s="25"/>
      <c r="I147" s="26"/>
      <c r="J147" s="48"/>
      <c r="K147" s="48"/>
      <c r="L147" s="48"/>
      <c r="M147" s="48"/>
      <c r="N147" s="48"/>
    </row>
    <row r="148" customFormat="false" ht="15" hidden="false" customHeight="false" outlineLevel="0" collapsed="false">
      <c r="A148" s="25"/>
      <c r="B148" s="25"/>
      <c r="C148" s="26"/>
      <c r="D148" s="25"/>
      <c r="E148" s="25"/>
      <c r="F148" s="25"/>
      <c r="G148" s="27"/>
      <c r="H148" s="25"/>
      <c r="I148" s="26"/>
      <c r="J148" s="48"/>
      <c r="K148" s="48"/>
      <c r="L148" s="48"/>
      <c r="M148" s="48"/>
      <c r="N148" s="48"/>
    </row>
    <row r="149" customFormat="false" ht="15" hidden="false" customHeight="false" outlineLevel="0" collapsed="false">
      <c r="A149" s="25"/>
      <c r="B149" s="25"/>
      <c r="C149" s="26"/>
      <c r="D149" s="25"/>
      <c r="E149" s="25"/>
      <c r="F149" s="25"/>
      <c r="G149" s="27"/>
      <c r="H149" s="25"/>
      <c r="I149" s="26"/>
      <c r="J149" s="48"/>
      <c r="K149" s="48"/>
      <c r="L149" s="48"/>
      <c r="M149" s="48"/>
      <c r="N149" s="48"/>
    </row>
    <row r="150" customFormat="false" ht="15" hidden="false" customHeight="false" outlineLevel="0" collapsed="false">
      <c r="A150" s="25"/>
      <c r="B150" s="25"/>
      <c r="C150" s="26"/>
      <c r="D150" s="25"/>
      <c r="E150" s="25"/>
      <c r="F150" s="25"/>
      <c r="G150" s="27"/>
      <c r="H150" s="25"/>
      <c r="I150" s="26"/>
      <c r="J150" s="48"/>
      <c r="K150" s="48"/>
      <c r="L150" s="48"/>
      <c r="M150" s="48"/>
      <c r="N150" s="48"/>
    </row>
    <row r="151" customFormat="false" ht="15" hidden="false" customHeight="false" outlineLevel="0" collapsed="false">
      <c r="A151" s="25"/>
      <c r="B151" s="25"/>
      <c r="C151" s="26"/>
      <c r="D151" s="25"/>
      <c r="E151" s="25"/>
      <c r="F151" s="25"/>
      <c r="G151" s="27"/>
      <c r="H151" s="25"/>
      <c r="I151" s="26"/>
      <c r="J151" s="48"/>
      <c r="K151" s="48"/>
      <c r="L151" s="48"/>
      <c r="M151" s="48"/>
      <c r="N151" s="48"/>
    </row>
    <row r="152" customFormat="false" ht="15" hidden="false" customHeight="false" outlineLevel="0" collapsed="false">
      <c r="A152" s="25"/>
      <c r="B152" s="25"/>
      <c r="C152" s="26"/>
      <c r="D152" s="25"/>
      <c r="E152" s="25"/>
      <c r="F152" s="25"/>
      <c r="G152" s="27"/>
      <c r="H152" s="25"/>
      <c r="I152" s="26"/>
      <c r="J152" s="48"/>
      <c r="K152" s="48"/>
      <c r="L152" s="48"/>
      <c r="M152" s="48"/>
      <c r="N152" s="48"/>
    </row>
    <row r="153" customFormat="false" ht="15" hidden="false" customHeight="false" outlineLevel="0" collapsed="false">
      <c r="A153" s="25"/>
      <c r="B153" s="25"/>
      <c r="C153" s="26"/>
      <c r="D153" s="25"/>
      <c r="E153" s="25"/>
      <c r="F153" s="25"/>
      <c r="G153" s="27"/>
      <c r="H153" s="25"/>
      <c r="I153" s="26"/>
      <c r="J153" s="48"/>
      <c r="K153" s="48"/>
      <c r="L153" s="48"/>
      <c r="M153" s="48"/>
      <c r="N153" s="48"/>
    </row>
    <row r="154" customFormat="false" ht="15" hidden="false" customHeight="false" outlineLevel="0" collapsed="false">
      <c r="A154" s="25"/>
      <c r="B154" s="25"/>
      <c r="C154" s="26"/>
      <c r="D154" s="25"/>
      <c r="E154" s="25"/>
      <c r="F154" s="25"/>
      <c r="G154" s="27"/>
      <c r="H154" s="25"/>
      <c r="I154" s="26"/>
      <c r="J154" s="48"/>
      <c r="K154" s="48"/>
      <c r="L154" s="48"/>
      <c r="M154" s="48"/>
      <c r="N154" s="48"/>
    </row>
    <row r="155" customFormat="false" ht="15" hidden="false" customHeight="false" outlineLevel="0" collapsed="false">
      <c r="A155" s="25"/>
      <c r="B155" s="25"/>
      <c r="C155" s="26"/>
      <c r="D155" s="25"/>
      <c r="E155" s="25"/>
      <c r="F155" s="25"/>
      <c r="G155" s="27"/>
      <c r="H155" s="25"/>
      <c r="I155" s="26"/>
      <c r="J155" s="48"/>
      <c r="K155" s="48"/>
      <c r="L155" s="48"/>
      <c r="M155" s="48"/>
      <c r="N155" s="48"/>
    </row>
    <row r="156" customFormat="false" ht="15" hidden="false" customHeight="false" outlineLevel="0" collapsed="false">
      <c r="A156" s="25"/>
      <c r="B156" s="25"/>
      <c r="C156" s="26"/>
      <c r="D156" s="25"/>
      <c r="E156" s="25"/>
      <c r="F156" s="25"/>
      <c r="G156" s="27"/>
      <c r="H156" s="25"/>
      <c r="I156" s="26"/>
      <c r="J156" s="48"/>
      <c r="K156" s="48"/>
      <c r="L156" s="48"/>
      <c r="M156" s="48"/>
      <c r="N156" s="48"/>
    </row>
    <row r="157" customFormat="false" ht="15" hidden="false" customHeight="false" outlineLevel="0" collapsed="false">
      <c r="A157" s="25"/>
      <c r="B157" s="25"/>
      <c r="C157" s="26"/>
      <c r="D157" s="25"/>
      <c r="E157" s="25"/>
      <c r="F157" s="25"/>
      <c r="G157" s="27"/>
      <c r="H157" s="25"/>
      <c r="I157" s="26"/>
      <c r="J157" s="48"/>
      <c r="K157" s="48"/>
      <c r="L157" s="48"/>
      <c r="M157" s="48"/>
      <c r="N157" s="48"/>
    </row>
    <row r="158" customFormat="false" ht="15" hidden="false" customHeight="false" outlineLevel="0" collapsed="false">
      <c r="A158" s="25"/>
      <c r="B158" s="25"/>
      <c r="C158" s="26"/>
      <c r="D158" s="25"/>
      <c r="E158" s="25"/>
      <c r="F158" s="25"/>
      <c r="G158" s="27"/>
      <c r="H158" s="25"/>
      <c r="I158" s="26"/>
      <c r="J158" s="48"/>
      <c r="K158" s="48"/>
      <c r="L158" s="48"/>
      <c r="M158" s="48"/>
      <c r="N158" s="48"/>
    </row>
    <row r="159" customFormat="false" ht="15" hidden="false" customHeight="false" outlineLevel="0" collapsed="false">
      <c r="A159" s="25"/>
      <c r="B159" s="25"/>
      <c r="C159" s="26"/>
      <c r="D159" s="25"/>
      <c r="E159" s="25"/>
      <c r="F159" s="25"/>
      <c r="G159" s="27"/>
      <c r="H159" s="25"/>
      <c r="I159" s="26"/>
      <c r="J159" s="48"/>
      <c r="K159" s="48"/>
      <c r="L159" s="48"/>
      <c r="M159" s="48"/>
      <c r="N159" s="48"/>
    </row>
    <row r="160" customFormat="false" ht="15" hidden="false" customHeight="false" outlineLevel="0" collapsed="false">
      <c r="A160" s="25"/>
      <c r="B160" s="25"/>
      <c r="C160" s="26"/>
      <c r="D160" s="25"/>
      <c r="E160" s="25"/>
      <c r="F160" s="25"/>
      <c r="G160" s="27"/>
      <c r="H160" s="25"/>
      <c r="I160" s="26"/>
      <c r="J160" s="48"/>
      <c r="K160" s="48"/>
      <c r="L160" s="48"/>
      <c r="M160" s="48"/>
      <c r="N160" s="48"/>
    </row>
    <row r="161" customFormat="false" ht="15" hidden="false" customHeight="false" outlineLevel="0" collapsed="false">
      <c r="A161" s="25"/>
      <c r="B161" s="25"/>
      <c r="C161" s="26"/>
      <c r="D161" s="25"/>
      <c r="E161" s="25"/>
      <c r="F161" s="25"/>
      <c r="G161" s="27"/>
      <c r="H161" s="25"/>
      <c r="I161" s="26"/>
      <c r="J161" s="48"/>
      <c r="K161" s="48"/>
      <c r="L161" s="48"/>
      <c r="M161" s="48"/>
      <c r="N161" s="48"/>
    </row>
    <row r="162" customFormat="false" ht="15" hidden="false" customHeight="false" outlineLevel="0" collapsed="false">
      <c r="A162" s="25"/>
      <c r="B162" s="25"/>
      <c r="C162" s="26"/>
      <c r="D162" s="25"/>
      <c r="E162" s="25"/>
      <c r="F162" s="25"/>
      <c r="G162" s="27"/>
      <c r="H162" s="25"/>
      <c r="I162" s="26"/>
      <c r="J162" s="48"/>
      <c r="K162" s="48"/>
      <c r="L162" s="48"/>
      <c r="M162" s="48"/>
      <c r="N162" s="48"/>
    </row>
    <row r="163" customFormat="false" ht="15" hidden="false" customHeight="false" outlineLevel="0" collapsed="false">
      <c r="A163" s="25"/>
      <c r="B163" s="25"/>
      <c r="C163" s="26"/>
      <c r="D163" s="25"/>
      <c r="E163" s="25"/>
      <c r="F163" s="25"/>
      <c r="G163" s="27"/>
      <c r="H163" s="25"/>
      <c r="I163" s="26"/>
      <c r="J163" s="48"/>
      <c r="K163" s="48"/>
      <c r="L163" s="48"/>
      <c r="M163" s="48"/>
      <c r="N163" s="48"/>
    </row>
    <row r="164" customFormat="false" ht="15" hidden="false" customHeight="false" outlineLevel="0" collapsed="false">
      <c r="A164" s="25"/>
      <c r="B164" s="25"/>
      <c r="C164" s="26"/>
      <c r="D164" s="25"/>
      <c r="E164" s="25"/>
      <c r="F164" s="25"/>
      <c r="G164" s="27"/>
      <c r="H164" s="25"/>
      <c r="I164" s="26"/>
      <c r="J164" s="48"/>
      <c r="K164" s="48"/>
      <c r="L164" s="48"/>
      <c r="M164" s="48"/>
      <c r="N164" s="48"/>
    </row>
    <row r="165" customFormat="false" ht="15" hidden="false" customHeight="false" outlineLevel="0" collapsed="false">
      <c r="A165" s="25"/>
      <c r="B165" s="25"/>
      <c r="C165" s="26"/>
      <c r="D165" s="25"/>
      <c r="E165" s="25"/>
      <c r="F165" s="25"/>
      <c r="G165" s="27"/>
      <c r="H165" s="25"/>
      <c r="I165" s="26"/>
      <c r="J165" s="48"/>
      <c r="K165" s="48"/>
      <c r="L165" s="48"/>
      <c r="M165" s="48"/>
      <c r="N165" s="48"/>
    </row>
    <row r="166" customFormat="false" ht="15" hidden="false" customHeight="false" outlineLevel="0" collapsed="false">
      <c r="A166" s="25"/>
      <c r="B166" s="25"/>
      <c r="C166" s="26"/>
      <c r="D166" s="25"/>
      <c r="E166" s="25"/>
      <c r="F166" s="25"/>
      <c r="G166" s="27"/>
      <c r="H166" s="25"/>
      <c r="I166" s="26"/>
      <c r="J166" s="48"/>
      <c r="K166" s="48"/>
      <c r="L166" s="48"/>
      <c r="M166" s="48"/>
      <c r="N166" s="48"/>
    </row>
    <row r="167" customFormat="false" ht="15" hidden="false" customHeight="false" outlineLevel="0" collapsed="false">
      <c r="A167" s="25"/>
      <c r="B167" s="25"/>
      <c r="C167" s="26"/>
      <c r="D167" s="25"/>
      <c r="E167" s="25"/>
      <c r="F167" s="25"/>
      <c r="G167" s="27"/>
      <c r="H167" s="25"/>
      <c r="I167" s="26"/>
      <c r="J167" s="48"/>
      <c r="K167" s="48"/>
      <c r="L167" s="48"/>
      <c r="M167" s="48"/>
      <c r="N167" s="48"/>
    </row>
    <row r="168" customFormat="false" ht="15" hidden="false" customHeight="false" outlineLevel="0" collapsed="false">
      <c r="A168" s="25"/>
      <c r="B168" s="25"/>
      <c r="C168" s="26"/>
      <c r="D168" s="25"/>
      <c r="E168" s="25"/>
      <c r="F168" s="25"/>
      <c r="G168" s="27"/>
      <c r="H168" s="25"/>
      <c r="I168" s="26"/>
      <c r="J168" s="48"/>
      <c r="K168" s="48"/>
      <c r="L168" s="48"/>
      <c r="M168" s="48"/>
      <c r="N168" s="48"/>
    </row>
    <row r="169" customFormat="false" ht="15" hidden="false" customHeight="false" outlineLevel="0" collapsed="false">
      <c r="A169" s="25"/>
      <c r="B169" s="25"/>
      <c r="C169" s="26"/>
      <c r="D169" s="25"/>
      <c r="E169" s="25"/>
      <c r="F169" s="25"/>
      <c r="G169" s="27"/>
      <c r="H169" s="25"/>
      <c r="I169" s="26"/>
      <c r="J169" s="48"/>
      <c r="K169" s="48"/>
      <c r="L169" s="48"/>
      <c r="M169" s="48"/>
      <c r="N169" s="48"/>
    </row>
    <row r="170" customFormat="false" ht="15" hidden="false" customHeight="false" outlineLevel="0" collapsed="false">
      <c r="A170" s="25"/>
      <c r="B170" s="25"/>
      <c r="C170" s="26"/>
      <c r="D170" s="25"/>
      <c r="E170" s="25"/>
      <c r="F170" s="25"/>
      <c r="G170" s="27"/>
      <c r="H170" s="25"/>
      <c r="I170" s="26"/>
      <c r="J170" s="48"/>
      <c r="K170" s="48"/>
      <c r="L170" s="48"/>
      <c r="M170" s="48"/>
      <c r="N170" s="48"/>
    </row>
    <row r="171" customFormat="false" ht="15" hidden="false" customHeight="false" outlineLevel="0" collapsed="false">
      <c r="A171" s="25"/>
      <c r="B171" s="25"/>
      <c r="C171" s="26"/>
      <c r="D171" s="25"/>
      <c r="E171" s="25"/>
      <c r="F171" s="25"/>
      <c r="G171" s="27"/>
      <c r="H171" s="25"/>
      <c r="I171" s="26"/>
      <c r="J171" s="48"/>
      <c r="K171" s="48"/>
      <c r="L171" s="48"/>
      <c r="M171" s="48"/>
      <c r="N171" s="48"/>
    </row>
    <row r="172" customFormat="false" ht="15" hidden="false" customHeight="false" outlineLevel="0" collapsed="false">
      <c r="A172" s="25"/>
      <c r="B172" s="25"/>
      <c r="C172" s="26"/>
      <c r="D172" s="25"/>
      <c r="E172" s="25"/>
      <c r="F172" s="25"/>
      <c r="G172" s="27"/>
      <c r="H172" s="25"/>
      <c r="I172" s="26"/>
      <c r="J172" s="48"/>
      <c r="K172" s="48"/>
      <c r="L172" s="48"/>
      <c r="M172" s="48"/>
      <c r="N172" s="48"/>
    </row>
    <row r="173" customFormat="false" ht="15" hidden="false" customHeight="false" outlineLevel="0" collapsed="false">
      <c r="A173" s="25"/>
      <c r="B173" s="25"/>
      <c r="C173" s="26"/>
      <c r="D173" s="25"/>
      <c r="E173" s="25"/>
      <c r="F173" s="25"/>
      <c r="G173" s="27"/>
      <c r="H173" s="25"/>
      <c r="I173" s="26"/>
      <c r="J173" s="48"/>
      <c r="K173" s="48"/>
      <c r="L173" s="48"/>
      <c r="M173" s="48"/>
      <c r="N173" s="48"/>
    </row>
    <row r="174" customFormat="false" ht="15" hidden="false" customHeight="false" outlineLevel="0" collapsed="false">
      <c r="A174" s="25"/>
      <c r="B174" s="25"/>
      <c r="C174" s="26"/>
      <c r="D174" s="25"/>
      <c r="E174" s="25"/>
      <c r="F174" s="25"/>
      <c r="G174" s="27"/>
      <c r="H174" s="25"/>
      <c r="I174" s="26"/>
      <c r="J174" s="48"/>
      <c r="K174" s="48"/>
      <c r="L174" s="48"/>
      <c r="M174" s="48"/>
      <c r="N174" s="48"/>
    </row>
    <row r="175" customFormat="false" ht="15" hidden="false" customHeight="false" outlineLevel="0" collapsed="false">
      <c r="A175" s="25"/>
      <c r="B175" s="25"/>
      <c r="C175" s="26"/>
      <c r="D175" s="25"/>
      <c r="E175" s="25"/>
      <c r="F175" s="25"/>
      <c r="G175" s="27"/>
      <c r="H175" s="25"/>
      <c r="I175" s="26"/>
      <c r="J175" s="48"/>
      <c r="K175" s="48"/>
      <c r="L175" s="48"/>
      <c r="M175" s="48"/>
      <c r="N175" s="48"/>
    </row>
    <row r="176" customFormat="false" ht="15" hidden="false" customHeight="false" outlineLevel="0" collapsed="false">
      <c r="A176" s="25"/>
      <c r="B176" s="25"/>
      <c r="C176" s="26"/>
      <c r="D176" s="25"/>
      <c r="E176" s="25"/>
      <c r="F176" s="25"/>
      <c r="G176" s="27"/>
      <c r="H176" s="25"/>
      <c r="I176" s="26"/>
      <c r="J176" s="48"/>
      <c r="K176" s="48"/>
      <c r="L176" s="48"/>
      <c r="M176" s="48"/>
      <c r="N176" s="48"/>
    </row>
    <row r="177" customFormat="false" ht="15" hidden="false" customHeight="false" outlineLevel="0" collapsed="false">
      <c r="A177" s="25"/>
      <c r="B177" s="25"/>
      <c r="C177" s="26"/>
      <c r="D177" s="25"/>
      <c r="E177" s="25"/>
      <c r="F177" s="25"/>
      <c r="G177" s="27"/>
      <c r="H177" s="25"/>
      <c r="I177" s="26"/>
      <c r="J177" s="48"/>
      <c r="K177" s="48"/>
      <c r="L177" s="48"/>
      <c r="M177" s="48"/>
      <c r="N177" s="48"/>
    </row>
    <row r="178" customFormat="false" ht="15" hidden="false" customHeight="false" outlineLevel="0" collapsed="false">
      <c r="A178" s="25"/>
      <c r="B178" s="25"/>
      <c r="C178" s="26"/>
      <c r="D178" s="25"/>
      <c r="E178" s="25"/>
      <c r="F178" s="25"/>
      <c r="G178" s="27"/>
      <c r="H178" s="25"/>
      <c r="I178" s="26"/>
      <c r="J178" s="48"/>
      <c r="K178" s="48"/>
      <c r="L178" s="48"/>
      <c r="M178" s="48"/>
      <c r="N178" s="48"/>
    </row>
    <row r="179" customFormat="false" ht="15" hidden="false" customHeight="false" outlineLevel="0" collapsed="false">
      <c r="A179" s="25"/>
      <c r="B179" s="25"/>
      <c r="C179" s="26"/>
      <c r="D179" s="25"/>
      <c r="E179" s="25"/>
      <c r="F179" s="25"/>
      <c r="G179" s="27"/>
      <c r="H179" s="25"/>
      <c r="I179" s="26"/>
      <c r="J179" s="48"/>
      <c r="K179" s="48"/>
      <c r="L179" s="48"/>
      <c r="M179" s="48"/>
      <c r="N179" s="48"/>
    </row>
    <row r="180" customFormat="false" ht="15" hidden="false" customHeight="false" outlineLevel="0" collapsed="false">
      <c r="A180" s="25"/>
      <c r="B180" s="25"/>
      <c r="C180" s="26"/>
      <c r="D180" s="25"/>
      <c r="E180" s="25"/>
      <c r="F180" s="25"/>
      <c r="G180" s="27"/>
      <c r="H180" s="25"/>
      <c r="I180" s="26"/>
      <c r="J180" s="48"/>
      <c r="K180" s="48"/>
      <c r="L180" s="48"/>
      <c r="M180" s="48"/>
      <c r="N180" s="48"/>
    </row>
    <row r="181" customFormat="false" ht="15" hidden="false" customHeight="false" outlineLevel="0" collapsed="false">
      <c r="A181" s="25"/>
      <c r="B181" s="25"/>
      <c r="C181" s="26"/>
      <c r="D181" s="25"/>
      <c r="E181" s="25"/>
      <c r="F181" s="25"/>
      <c r="G181" s="27"/>
      <c r="H181" s="25"/>
      <c r="I181" s="26"/>
      <c r="J181" s="48"/>
      <c r="K181" s="48"/>
      <c r="L181" s="48"/>
      <c r="M181" s="48"/>
      <c r="N181" s="48"/>
    </row>
    <row r="182" customFormat="false" ht="15" hidden="false" customHeight="false" outlineLevel="0" collapsed="false">
      <c r="A182" s="25"/>
      <c r="B182" s="25"/>
      <c r="C182" s="26"/>
      <c r="D182" s="25"/>
      <c r="E182" s="25"/>
      <c r="F182" s="25"/>
      <c r="G182" s="27"/>
      <c r="H182" s="25"/>
      <c r="I182" s="26"/>
      <c r="J182" s="48"/>
      <c r="K182" s="48"/>
      <c r="L182" s="48"/>
      <c r="M182" s="48"/>
      <c r="N182" s="48"/>
    </row>
    <row r="183" customFormat="false" ht="15" hidden="false" customHeight="false" outlineLevel="0" collapsed="false">
      <c r="A183" s="25"/>
      <c r="B183" s="25"/>
      <c r="C183" s="26"/>
      <c r="D183" s="25"/>
      <c r="E183" s="25"/>
      <c r="F183" s="25"/>
      <c r="G183" s="27"/>
      <c r="H183" s="25"/>
      <c r="I183" s="26"/>
      <c r="J183" s="48"/>
      <c r="K183" s="48"/>
      <c r="L183" s="48"/>
      <c r="M183" s="48"/>
      <c r="N183" s="48"/>
    </row>
    <row r="184" customFormat="false" ht="15" hidden="false" customHeight="false" outlineLevel="0" collapsed="false">
      <c r="A184" s="25"/>
      <c r="B184" s="25"/>
      <c r="C184" s="26"/>
      <c r="D184" s="25"/>
      <c r="E184" s="25"/>
      <c r="F184" s="25"/>
      <c r="G184" s="27"/>
      <c r="H184" s="25"/>
      <c r="I184" s="26"/>
      <c r="J184" s="48"/>
      <c r="K184" s="48"/>
      <c r="L184" s="48"/>
      <c r="M184" s="48"/>
      <c r="N184" s="48"/>
    </row>
    <row r="185" customFormat="false" ht="15" hidden="false" customHeight="false" outlineLevel="0" collapsed="false">
      <c r="A185" s="25"/>
      <c r="B185" s="25"/>
      <c r="C185" s="26"/>
      <c r="D185" s="25"/>
      <c r="E185" s="25"/>
      <c r="F185" s="25"/>
      <c r="G185" s="27"/>
      <c r="H185" s="25"/>
      <c r="I185" s="26"/>
      <c r="J185" s="48"/>
      <c r="K185" s="48"/>
      <c r="L185" s="48"/>
      <c r="M185" s="48"/>
      <c r="N185" s="48"/>
    </row>
    <row r="186" customFormat="false" ht="15" hidden="false" customHeight="false" outlineLevel="0" collapsed="false">
      <c r="A186" s="25"/>
      <c r="B186" s="25"/>
      <c r="C186" s="26"/>
      <c r="D186" s="25"/>
      <c r="E186" s="25"/>
      <c r="F186" s="25"/>
      <c r="G186" s="27"/>
      <c r="H186" s="25"/>
      <c r="I186" s="26"/>
      <c r="J186" s="48"/>
      <c r="K186" s="48"/>
      <c r="L186" s="48"/>
      <c r="M186" s="48"/>
      <c r="N186" s="48"/>
    </row>
    <row r="187" customFormat="false" ht="15" hidden="false" customHeight="false" outlineLevel="0" collapsed="false">
      <c r="A187" s="25"/>
      <c r="B187" s="25"/>
      <c r="C187" s="26"/>
      <c r="D187" s="25"/>
      <c r="E187" s="25"/>
      <c r="F187" s="25"/>
      <c r="G187" s="27"/>
      <c r="H187" s="25"/>
      <c r="I187" s="26"/>
      <c r="J187" s="48"/>
      <c r="K187" s="48"/>
      <c r="L187" s="48"/>
      <c r="M187" s="48"/>
      <c r="N187" s="48"/>
    </row>
    <row r="188" customFormat="false" ht="15" hidden="false" customHeight="false" outlineLevel="0" collapsed="false">
      <c r="A188" s="25"/>
      <c r="B188" s="25"/>
      <c r="C188" s="26"/>
      <c r="D188" s="25"/>
      <c r="E188" s="25"/>
      <c r="F188" s="25"/>
      <c r="G188" s="27"/>
      <c r="H188" s="25"/>
      <c r="I188" s="26"/>
      <c r="J188" s="48"/>
      <c r="K188" s="48"/>
      <c r="L188" s="48"/>
      <c r="M188" s="48"/>
      <c r="N188" s="48"/>
    </row>
    <row r="189" customFormat="false" ht="15" hidden="false" customHeight="false" outlineLevel="0" collapsed="false">
      <c r="A189" s="25"/>
      <c r="B189" s="25"/>
      <c r="C189" s="26"/>
      <c r="D189" s="25"/>
      <c r="E189" s="25"/>
      <c r="F189" s="25"/>
      <c r="G189" s="27"/>
      <c r="H189" s="25"/>
      <c r="I189" s="26"/>
      <c r="J189" s="48"/>
      <c r="K189" s="48"/>
      <c r="L189" s="48"/>
      <c r="M189" s="48"/>
      <c r="N189" s="48"/>
    </row>
    <row r="190" customFormat="false" ht="15" hidden="false" customHeight="false" outlineLevel="0" collapsed="false">
      <c r="A190" s="25"/>
      <c r="B190" s="25"/>
      <c r="C190" s="26"/>
      <c r="D190" s="25"/>
      <c r="E190" s="25"/>
      <c r="F190" s="25"/>
      <c r="G190" s="27"/>
      <c r="H190" s="25"/>
      <c r="I190" s="26"/>
      <c r="J190" s="48"/>
      <c r="K190" s="48"/>
      <c r="L190" s="48"/>
      <c r="M190" s="48"/>
      <c r="N190" s="48"/>
    </row>
    <row r="191" customFormat="false" ht="15" hidden="false" customHeight="false" outlineLevel="0" collapsed="false">
      <c r="A191" s="25"/>
      <c r="B191" s="25"/>
      <c r="C191" s="26"/>
      <c r="D191" s="25"/>
      <c r="E191" s="25"/>
      <c r="F191" s="25"/>
      <c r="G191" s="27"/>
      <c r="H191" s="25"/>
      <c r="I191" s="26"/>
      <c r="J191" s="48"/>
      <c r="K191" s="48"/>
      <c r="L191" s="48"/>
      <c r="M191" s="48"/>
      <c r="N191" s="48"/>
    </row>
    <row r="192" customFormat="false" ht="15" hidden="false" customHeight="false" outlineLevel="0" collapsed="false">
      <c r="A192" s="25"/>
      <c r="B192" s="25"/>
      <c r="C192" s="26"/>
      <c r="D192" s="25"/>
      <c r="E192" s="25"/>
      <c r="F192" s="25"/>
      <c r="G192" s="27"/>
      <c r="H192" s="25"/>
      <c r="I192" s="26"/>
      <c r="J192" s="48"/>
      <c r="K192" s="48"/>
      <c r="L192" s="48"/>
      <c r="M192" s="48"/>
      <c r="N192" s="48"/>
    </row>
    <row r="193" customFormat="false" ht="15" hidden="false" customHeight="false" outlineLevel="0" collapsed="false">
      <c r="A193" s="25"/>
      <c r="B193" s="25"/>
      <c r="C193" s="26"/>
      <c r="D193" s="25"/>
      <c r="E193" s="25"/>
      <c r="F193" s="25"/>
      <c r="G193" s="27"/>
      <c r="H193" s="25"/>
      <c r="I193" s="26"/>
      <c r="J193" s="48"/>
      <c r="K193" s="48"/>
      <c r="L193" s="48"/>
      <c r="M193" s="48"/>
      <c r="N193" s="48"/>
    </row>
    <row r="194" customFormat="false" ht="15" hidden="false" customHeight="false" outlineLevel="0" collapsed="false">
      <c r="A194" s="25"/>
      <c r="B194" s="25"/>
      <c r="C194" s="26"/>
      <c r="D194" s="25"/>
      <c r="E194" s="25"/>
      <c r="F194" s="25"/>
      <c r="G194" s="27"/>
      <c r="H194" s="25"/>
      <c r="I194" s="26"/>
      <c r="J194" s="48"/>
      <c r="K194" s="48"/>
      <c r="L194" s="48"/>
      <c r="M194" s="48"/>
      <c r="N194" s="48"/>
    </row>
    <row r="195" customFormat="false" ht="15" hidden="false" customHeight="false" outlineLevel="0" collapsed="false">
      <c r="A195" s="25"/>
      <c r="B195" s="25"/>
      <c r="C195" s="26"/>
      <c r="D195" s="25"/>
      <c r="E195" s="25"/>
      <c r="F195" s="25"/>
      <c r="G195" s="27"/>
      <c r="H195" s="25"/>
      <c r="I195" s="26"/>
      <c r="J195" s="48"/>
      <c r="K195" s="48"/>
      <c r="L195" s="48"/>
      <c r="M195" s="48"/>
      <c r="N195" s="48"/>
    </row>
    <row r="196" customFormat="false" ht="15" hidden="false" customHeight="false" outlineLevel="0" collapsed="false">
      <c r="A196" s="25"/>
      <c r="B196" s="25"/>
      <c r="C196" s="26"/>
      <c r="D196" s="25"/>
      <c r="E196" s="25"/>
      <c r="F196" s="25"/>
      <c r="G196" s="27"/>
      <c r="H196" s="25"/>
      <c r="I196" s="26"/>
      <c r="J196" s="48"/>
      <c r="K196" s="48"/>
      <c r="L196" s="48"/>
      <c r="M196" s="48"/>
      <c r="N196" s="48"/>
    </row>
    <row r="197" customFormat="false" ht="15" hidden="false" customHeight="false" outlineLevel="0" collapsed="false">
      <c r="A197" s="25"/>
      <c r="B197" s="25"/>
      <c r="C197" s="26"/>
      <c r="D197" s="25"/>
      <c r="E197" s="25"/>
      <c r="F197" s="25"/>
      <c r="G197" s="27"/>
      <c r="H197" s="25"/>
      <c r="I197" s="26"/>
      <c r="J197" s="48"/>
      <c r="K197" s="48"/>
      <c r="L197" s="48"/>
      <c r="M197" s="48"/>
      <c r="N197" s="48"/>
    </row>
    <row r="198" customFormat="false" ht="15" hidden="false" customHeight="false" outlineLevel="0" collapsed="false">
      <c r="A198" s="25"/>
      <c r="B198" s="25"/>
      <c r="C198" s="26"/>
      <c r="D198" s="25"/>
      <c r="E198" s="25"/>
      <c r="F198" s="25"/>
      <c r="G198" s="27"/>
      <c r="H198" s="25"/>
      <c r="I198" s="26"/>
      <c r="J198" s="48"/>
      <c r="K198" s="48"/>
      <c r="L198" s="48"/>
      <c r="M198" s="48"/>
      <c r="N198" s="48"/>
    </row>
    <row r="199" customFormat="false" ht="15" hidden="false" customHeight="false" outlineLevel="0" collapsed="false">
      <c r="A199" s="25"/>
      <c r="B199" s="25"/>
      <c r="C199" s="26"/>
      <c r="D199" s="25"/>
      <c r="E199" s="25"/>
      <c r="F199" s="25"/>
      <c r="G199" s="27"/>
      <c r="H199" s="25"/>
      <c r="I199" s="26"/>
      <c r="J199" s="48"/>
      <c r="K199" s="48"/>
      <c r="L199" s="48"/>
      <c r="M199" s="48"/>
      <c r="N199" s="48"/>
    </row>
    <row r="200" customFormat="false" ht="15" hidden="false" customHeight="false" outlineLevel="0" collapsed="false">
      <c r="A200" s="25"/>
      <c r="B200" s="25"/>
      <c r="C200" s="26"/>
      <c r="D200" s="25"/>
      <c r="E200" s="25"/>
      <c r="F200" s="25"/>
      <c r="G200" s="27"/>
      <c r="H200" s="25"/>
      <c r="I200" s="26"/>
      <c r="J200" s="48"/>
      <c r="K200" s="48"/>
      <c r="L200" s="48"/>
      <c r="M200" s="48"/>
      <c r="N200" s="48"/>
    </row>
    <row r="201" customFormat="false" ht="15" hidden="false" customHeight="false" outlineLevel="0" collapsed="false">
      <c r="A201" s="25"/>
      <c r="B201" s="25"/>
      <c r="C201" s="26"/>
      <c r="D201" s="25"/>
      <c r="E201" s="25"/>
      <c r="F201" s="25"/>
      <c r="G201" s="25"/>
      <c r="H201" s="25"/>
      <c r="I201" s="26"/>
      <c r="J201" s="48"/>
      <c r="K201" s="48"/>
      <c r="L201" s="48"/>
      <c r="M201" s="48"/>
      <c r="N201" s="48"/>
    </row>
    <row r="202" customFormat="false" ht="15" hidden="false" customHeight="false" outlineLevel="0" collapsed="false">
      <c r="A202" s="25"/>
      <c r="B202" s="25"/>
      <c r="C202" s="26"/>
      <c r="D202" s="25"/>
      <c r="E202" s="25"/>
      <c r="F202" s="25"/>
      <c r="G202" s="27"/>
      <c r="H202" s="25"/>
      <c r="I202" s="26"/>
      <c r="J202" s="48"/>
      <c r="K202" s="48"/>
      <c r="L202" s="48"/>
      <c r="M202" s="48"/>
      <c r="N202" s="48"/>
    </row>
    <row r="203" customFormat="false" ht="15" hidden="false" customHeight="false" outlineLevel="0" collapsed="false">
      <c r="A203" s="25"/>
      <c r="B203" s="25"/>
      <c r="C203" s="26"/>
      <c r="D203" s="25"/>
      <c r="E203" s="25"/>
      <c r="F203" s="25"/>
      <c r="G203" s="27"/>
      <c r="H203" s="25"/>
      <c r="I203" s="26"/>
      <c r="J203" s="48"/>
      <c r="K203" s="48"/>
      <c r="L203" s="48"/>
      <c r="M203" s="48"/>
      <c r="N203" s="48"/>
    </row>
    <row r="204" customFormat="false" ht="15" hidden="false" customHeight="false" outlineLevel="0" collapsed="false">
      <c r="A204" s="25"/>
      <c r="B204" s="25"/>
      <c r="C204" s="26"/>
      <c r="D204" s="25"/>
      <c r="E204" s="25"/>
      <c r="F204" s="25"/>
      <c r="G204" s="27"/>
      <c r="H204" s="25"/>
      <c r="I204" s="26"/>
      <c r="J204" s="48"/>
      <c r="K204" s="48"/>
      <c r="L204" s="48"/>
      <c r="M204" s="48"/>
      <c r="N204" s="48"/>
    </row>
    <row r="205" customFormat="false" ht="15" hidden="false" customHeight="false" outlineLevel="0" collapsed="false">
      <c r="A205" s="25"/>
      <c r="B205" s="25"/>
      <c r="C205" s="26"/>
      <c r="D205" s="25"/>
      <c r="E205" s="25"/>
      <c r="F205" s="25"/>
      <c r="G205" s="27"/>
      <c r="H205" s="25"/>
      <c r="I205" s="26"/>
      <c r="J205" s="48"/>
      <c r="K205" s="48"/>
      <c r="L205" s="48"/>
      <c r="M205" s="48"/>
      <c r="N205" s="48"/>
    </row>
    <row r="206" customFormat="false" ht="15" hidden="false" customHeight="false" outlineLevel="0" collapsed="false">
      <c r="A206" s="25"/>
      <c r="B206" s="25"/>
      <c r="C206" s="26"/>
      <c r="D206" s="25"/>
      <c r="E206" s="25"/>
      <c r="F206" s="25"/>
      <c r="G206" s="27"/>
      <c r="H206" s="25"/>
      <c r="I206" s="26"/>
      <c r="J206" s="48"/>
      <c r="K206" s="48"/>
      <c r="L206" s="48"/>
      <c r="M206" s="48"/>
      <c r="N206" s="48"/>
    </row>
    <row r="207" customFormat="false" ht="15" hidden="false" customHeight="false" outlineLevel="0" collapsed="false">
      <c r="A207" s="25"/>
      <c r="B207" s="25"/>
      <c r="C207" s="26"/>
      <c r="D207" s="25"/>
      <c r="E207" s="25"/>
      <c r="F207" s="25"/>
      <c r="G207" s="27"/>
      <c r="H207" s="25"/>
      <c r="I207" s="26"/>
      <c r="J207" s="48"/>
      <c r="K207" s="48"/>
      <c r="L207" s="48"/>
      <c r="M207" s="48"/>
      <c r="N207" s="48"/>
    </row>
    <row r="208" customFormat="false" ht="15" hidden="false" customHeight="false" outlineLevel="0" collapsed="false">
      <c r="A208" s="25"/>
      <c r="B208" s="25"/>
      <c r="C208" s="26"/>
      <c r="D208" s="25"/>
      <c r="E208" s="25"/>
      <c r="F208" s="25"/>
      <c r="G208" s="27"/>
      <c r="H208" s="25"/>
      <c r="I208" s="26"/>
      <c r="J208" s="48"/>
      <c r="K208" s="48"/>
      <c r="L208" s="48"/>
      <c r="M208" s="48"/>
      <c r="N208" s="48"/>
    </row>
    <row r="209" customFormat="false" ht="15" hidden="false" customHeight="false" outlineLevel="0" collapsed="false">
      <c r="A209" s="25"/>
      <c r="B209" s="25"/>
      <c r="C209" s="26"/>
      <c r="D209" s="25"/>
      <c r="E209" s="25"/>
      <c r="F209" s="25"/>
      <c r="G209" s="27"/>
      <c r="H209" s="25"/>
      <c r="I209" s="26"/>
      <c r="J209" s="48"/>
      <c r="K209" s="48"/>
      <c r="L209" s="48"/>
      <c r="M209" s="48"/>
      <c r="N209" s="48"/>
    </row>
    <row r="210" customFormat="false" ht="15" hidden="false" customHeight="false" outlineLevel="0" collapsed="false">
      <c r="A210" s="25"/>
      <c r="B210" s="25"/>
      <c r="C210" s="26"/>
      <c r="D210" s="25"/>
      <c r="E210" s="25"/>
      <c r="F210" s="25"/>
      <c r="G210" s="27"/>
      <c r="H210" s="25"/>
      <c r="I210" s="26"/>
      <c r="J210" s="48"/>
      <c r="K210" s="48"/>
      <c r="L210" s="48"/>
      <c r="M210" s="48"/>
      <c r="N210" s="48"/>
    </row>
    <row r="211" customFormat="false" ht="15" hidden="false" customHeight="false" outlineLevel="0" collapsed="false">
      <c r="A211" s="25"/>
      <c r="B211" s="25"/>
      <c r="C211" s="26"/>
      <c r="D211" s="25"/>
      <c r="E211" s="25"/>
      <c r="F211" s="25"/>
      <c r="G211" s="27"/>
      <c r="H211" s="25"/>
      <c r="I211" s="26"/>
      <c r="J211" s="48"/>
      <c r="K211" s="48"/>
      <c r="L211" s="48"/>
      <c r="M211" s="48"/>
      <c r="N211" s="48"/>
    </row>
    <row r="212" customFormat="false" ht="15" hidden="false" customHeight="false" outlineLevel="0" collapsed="false">
      <c r="A212" s="25"/>
      <c r="B212" s="25"/>
      <c r="C212" s="26"/>
      <c r="D212" s="25"/>
      <c r="E212" s="25"/>
      <c r="F212" s="25"/>
      <c r="G212" s="27"/>
      <c r="H212" s="25"/>
      <c r="I212" s="26"/>
      <c r="J212" s="48"/>
      <c r="K212" s="48"/>
      <c r="L212" s="48"/>
      <c r="M212" s="48"/>
      <c r="N212" s="48"/>
    </row>
    <row r="213" customFormat="false" ht="15" hidden="false" customHeight="false" outlineLevel="0" collapsed="false">
      <c r="A213" s="25"/>
      <c r="B213" s="25"/>
      <c r="C213" s="26"/>
      <c r="D213" s="25"/>
      <c r="E213" s="25"/>
      <c r="F213" s="25"/>
      <c r="G213" s="27"/>
      <c r="H213" s="25"/>
      <c r="I213" s="26"/>
      <c r="J213" s="48"/>
      <c r="K213" s="48"/>
      <c r="L213" s="48"/>
      <c r="M213" s="48"/>
      <c r="N213" s="48"/>
    </row>
    <row r="214" customFormat="false" ht="15" hidden="false" customHeight="false" outlineLevel="0" collapsed="false">
      <c r="A214" s="25"/>
      <c r="B214" s="25"/>
      <c r="C214" s="26"/>
      <c r="D214" s="25"/>
      <c r="E214" s="25"/>
      <c r="F214" s="25"/>
      <c r="G214" s="27"/>
      <c r="H214" s="25"/>
      <c r="I214" s="26"/>
      <c r="J214" s="48"/>
      <c r="K214" s="48"/>
      <c r="L214" s="48"/>
      <c r="M214" s="48"/>
      <c r="N214" s="48"/>
    </row>
    <row r="215" customFormat="false" ht="15" hidden="false" customHeight="false" outlineLevel="0" collapsed="false">
      <c r="A215" s="25"/>
      <c r="B215" s="25"/>
      <c r="C215" s="26"/>
      <c r="D215" s="25"/>
      <c r="E215" s="25"/>
      <c r="F215" s="25"/>
      <c r="G215" s="27"/>
      <c r="H215" s="25"/>
      <c r="I215" s="26"/>
      <c r="J215" s="48"/>
      <c r="K215" s="48"/>
      <c r="L215" s="48"/>
      <c r="M215" s="48"/>
      <c r="N215" s="48"/>
    </row>
    <row r="216" customFormat="false" ht="15" hidden="false" customHeight="false" outlineLevel="0" collapsed="false">
      <c r="A216" s="25"/>
      <c r="B216" s="25"/>
      <c r="C216" s="26"/>
      <c r="D216" s="25"/>
      <c r="E216" s="25"/>
      <c r="F216" s="25"/>
      <c r="G216" s="27"/>
      <c r="H216" s="25"/>
      <c r="I216" s="26"/>
      <c r="J216" s="48"/>
      <c r="K216" s="48"/>
      <c r="L216" s="48"/>
      <c r="M216" s="48"/>
      <c r="N216" s="48"/>
    </row>
    <row r="217" customFormat="false" ht="15" hidden="false" customHeight="false" outlineLevel="0" collapsed="false">
      <c r="A217" s="25"/>
      <c r="B217" s="25"/>
      <c r="C217" s="26"/>
      <c r="D217" s="25"/>
      <c r="E217" s="25"/>
      <c r="F217" s="25"/>
      <c r="G217" s="27"/>
      <c r="H217" s="25"/>
      <c r="I217" s="26"/>
      <c r="J217" s="48"/>
      <c r="K217" s="48"/>
      <c r="L217" s="48"/>
      <c r="M217" s="48"/>
      <c r="N217" s="48"/>
    </row>
    <row r="218" customFormat="false" ht="15" hidden="false" customHeight="false" outlineLevel="0" collapsed="false">
      <c r="A218" s="25"/>
      <c r="B218" s="25"/>
      <c r="C218" s="26"/>
      <c r="D218" s="25"/>
      <c r="E218" s="25"/>
      <c r="F218" s="25"/>
      <c r="G218" s="27"/>
      <c r="H218" s="25"/>
      <c r="I218" s="26"/>
      <c r="J218" s="48"/>
      <c r="K218" s="48"/>
      <c r="L218" s="48"/>
      <c r="M218" s="48"/>
      <c r="N218" s="48"/>
    </row>
    <row r="219" customFormat="false" ht="15" hidden="false" customHeight="false" outlineLevel="0" collapsed="false">
      <c r="A219" s="25"/>
      <c r="B219" s="25"/>
      <c r="C219" s="26"/>
      <c r="D219" s="25"/>
      <c r="E219" s="25"/>
      <c r="F219" s="25"/>
      <c r="G219" s="27"/>
      <c r="H219" s="25"/>
      <c r="I219" s="26"/>
      <c r="J219" s="48"/>
      <c r="K219" s="48"/>
      <c r="L219" s="48"/>
      <c r="M219" s="48"/>
      <c r="N219" s="48"/>
    </row>
    <row r="220" customFormat="false" ht="15" hidden="false" customHeight="false" outlineLevel="0" collapsed="false">
      <c r="A220" s="25"/>
      <c r="B220" s="25"/>
      <c r="C220" s="26"/>
      <c r="D220" s="25"/>
      <c r="E220" s="25"/>
      <c r="F220" s="25"/>
      <c r="G220" s="27"/>
      <c r="H220" s="25"/>
      <c r="I220" s="26"/>
      <c r="J220" s="48"/>
      <c r="K220" s="48"/>
      <c r="L220" s="48"/>
      <c r="M220" s="48"/>
      <c r="N220" s="48"/>
    </row>
    <row r="221" customFormat="false" ht="15" hidden="false" customHeight="false" outlineLevel="0" collapsed="false">
      <c r="A221" s="25"/>
      <c r="B221" s="25"/>
      <c r="C221" s="26"/>
      <c r="D221" s="25"/>
      <c r="E221" s="25"/>
      <c r="F221" s="25"/>
      <c r="G221" s="27"/>
      <c r="H221" s="25"/>
      <c r="I221" s="26"/>
      <c r="J221" s="48"/>
      <c r="K221" s="48"/>
      <c r="L221" s="48"/>
      <c r="M221" s="48"/>
      <c r="N221" s="48"/>
    </row>
    <row r="222" customFormat="false" ht="15" hidden="false" customHeight="false" outlineLevel="0" collapsed="false">
      <c r="A222" s="25"/>
      <c r="B222" s="25"/>
      <c r="C222" s="26"/>
      <c r="D222" s="25"/>
      <c r="E222" s="25"/>
      <c r="F222" s="25"/>
      <c r="G222" s="27"/>
      <c r="H222" s="25"/>
      <c r="I222" s="26"/>
      <c r="J222" s="48"/>
      <c r="K222" s="48"/>
      <c r="L222" s="48"/>
      <c r="M222" s="48"/>
      <c r="N222" s="48"/>
    </row>
    <row r="223" customFormat="false" ht="15" hidden="false" customHeight="false" outlineLevel="0" collapsed="false">
      <c r="A223" s="25"/>
      <c r="B223" s="25"/>
      <c r="C223" s="26"/>
      <c r="D223" s="25"/>
      <c r="E223" s="25"/>
      <c r="F223" s="25"/>
      <c r="G223" s="27"/>
      <c r="H223" s="25"/>
      <c r="I223" s="26"/>
      <c r="J223" s="48"/>
      <c r="K223" s="48"/>
      <c r="L223" s="48"/>
      <c r="M223" s="48"/>
      <c r="N223" s="48"/>
    </row>
    <row r="224" customFormat="false" ht="15" hidden="false" customHeight="false" outlineLevel="0" collapsed="false">
      <c r="A224" s="25"/>
      <c r="B224" s="25"/>
      <c r="C224" s="26"/>
      <c r="D224" s="25"/>
      <c r="E224" s="25"/>
      <c r="F224" s="25"/>
      <c r="G224" s="27"/>
      <c r="H224" s="25"/>
      <c r="I224" s="26"/>
      <c r="J224" s="48"/>
      <c r="K224" s="48"/>
      <c r="L224" s="48"/>
      <c r="M224" s="48"/>
      <c r="N224" s="48"/>
    </row>
    <row r="225" customFormat="false" ht="15" hidden="false" customHeight="false" outlineLevel="0" collapsed="false">
      <c r="A225" s="25"/>
      <c r="B225" s="25"/>
      <c r="C225" s="26"/>
      <c r="D225" s="25"/>
      <c r="E225" s="25"/>
      <c r="F225" s="25"/>
      <c r="G225" s="27"/>
      <c r="H225" s="25"/>
      <c r="I225" s="26"/>
      <c r="J225" s="48"/>
      <c r="K225" s="48"/>
      <c r="L225" s="48"/>
      <c r="M225" s="48"/>
      <c r="N225" s="48"/>
    </row>
    <row r="226" customFormat="false" ht="15" hidden="false" customHeight="false" outlineLevel="0" collapsed="false">
      <c r="A226" s="25"/>
      <c r="B226" s="25"/>
      <c r="C226" s="26"/>
      <c r="D226" s="25"/>
      <c r="E226" s="25"/>
      <c r="F226" s="25"/>
      <c r="G226" s="27"/>
      <c r="H226" s="25"/>
      <c r="I226" s="26"/>
      <c r="J226" s="48"/>
      <c r="K226" s="48"/>
      <c r="L226" s="48"/>
      <c r="M226" s="48"/>
      <c r="N226" s="48"/>
    </row>
    <row r="227" customFormat="false" ht="15" hidden="false" customHeight="false" outlineLevel="0" collapsed="false">
      <c r="A227" s="25"/>
      <c r="B227" s="25"/>
      <c r="C227" s="26"/>
      <c r="D227" s="25"/>
      <c r="E227" s="25"/>
      <c r="F227" s="25"/>
      <c r="G227" s="27"/>
      <c r="H227" s="25"/>
      <c r="I227" s="26"/>
      <c r="J227" s="48"/>
      <c r="K227" s="48"/>
      <c r="L227" s="48"/>
      <c r="M227" s="48"/>
      <c r="N227" s="48"/>
    </row>
    <row r="228" customFormat="false" ht="15" hidden="false" customHeight="false" outlineLevel="0" collapsed="false">
      <c r="A228" s="25"/>
      <c r="B228" s="25"/>
      <c r="C228" s="26"/>
      <c r="D228" s="25"/>
      <c r="E228" s="25"/>
      <c r="F228" s="25"/>
      <c r="G228" s="27"/>
      <c r="H228" s="25"/>
      <c r="I228" s="26"/>
      <c r="J228" s="48"/>
      <c r="K228" s="48"/>
      <c r="L228" s="48"/>
      <c r="M228" s="48"/>
      <c r="N228" s="48"/>
    </row>
    <row r="229" customFormat="false" ht="15" hidden="false" customHeight="false" outlineLevel="0" collapsed="false">
      <c r="A229" s="25"/>
      <c r="B229" s="25"/>
      <c r="C229" s="26"/>
      <c r="D229" s="25"/>
      <c r="E229" s="25"/>
      <c r="F229" s="25"/>
      <c r="G229" s="27"/>
      <c r="H229" s="25"/>
      <c r="I229" s="26"/>
      <c r="J229" s="48"/>
      <c r="K229" s="48"/>
      <c r="L229" s="48"/>
      <c r="M229" s="48"/>
      <c r="N229" s="48"/>
    </row>
    <row r="230" customFormat="false" ht="15" hidden="false" customHeight="false" outlineLevel="0" collapsed="false">
      <c r="A230" s="25"/>
      <c r="B230" s="25"/>
      <c r="C230" s="26"/>
      <c r="D230" s="25"/>
      <c r="E230" s="25"/>
      <c r="F230" s="25"/>
      <c r="G230" s="27"/>
      <c r="H230" s="25"/>
      <c r="I230" s="26"/>
      <c r="J230" s="48"/>
      <c r="K230" s="48"/>
      <c r="L230" s="48"/>
      <c r="M230" s="48"/>
      <c r="N230" s="48"/>
    </row>
    <row r="231" customFormat="false" ht="15" hidden="false" customHeight="false" outlineLevel="0" collapsed="false">
      <c r="A231" s="25"/>
      <c r="B231" s="25"/>
      <c r="C231" s="26"/>
      <c r="D231" s="25"/>
      <c r="E231" s="25"/>
      <c r="F231" s="25"/>
      <c r="G231" s="27"/>
      <c r="H231" s="25"/>
      <c r="I231" s="26"/>
      <c r="J231" s="48"/>
      <c r="K231" s="48"/>
      <c r="L231" s="48"/>
      <c r="M231" s="48"/>
      <c r="N231" s="48"/>
    </row>
    <row r="232" customFormat="false" ht="15" hidden="false" customHeight="false" outlineLevel="0" collapsed="false">
      <c r="A232" s="25"/>
      <c r="B232" s="25"/>
      <c r="C232" s="26"/>
      <c r="D232" s="25"/>
      <c r="E232" s="25"/>
      <c r="F232" s="25"/>
      <c r="G232" s="27"/>
      <c r="H232" s="25"/>
      <c r="I232" s="26"/>
      <c r="J232" s="48"/>
      <c r="K232" s="48"/>
      <c r="L232" s="48"/>
      <c r="M232" s="48"/>
      <c r="N232" s="48"/>
    </row>
    <row r="233" customFormat="false" ht="15" hidden="false" customHeight="false" outlineLevel="0" collapsed="false">
      <c r="A233" s="25"/>
      <c r="B233" s="25"/>
      <c r="C233" s="26"/>
      <c r="D233" s="25"/>
      <c r="E233" s="25"/>
      <c r="F233" s="25"/>
      <c r="G233" s="27"/>
      <c r="H233" s="25"/>
      <c r="I233" s="26"/>
      <c r="J233" s="48"/>
      <c r="K233" s="48"/>
      <c r="L233" s="48"/>
      <c r="M233" s="48"/>
      <c r="N233" s="48"/>
    </row>
    <row r="234" customFormat="false" ht="15" hidden="false" customHeight="false" outlineLevel="0" collapsed="false">
      <c r="A234" s="25"/>
      <c r="B234" s="25"/>
      <c r="C234" s="26"/>
      <c r="D234" s="25"/>
      <c r="E234" s="25"/>
      <c r="F234" s="25"/>
      <c r="G234" s="27"/>
      <c r="H234" s="25"/>
      <c r="I234" s="26"/>
      <c r="J234" s="48"/>
      <c r="K234" s="48"/>
      <c r="L234" s="48"/>
      <c r="M234" s="48"/>
      <c r="N234" s="48"/>
    </row>
    <row r="235" customFormat="false" ht="15" hidden="false" customHeight="false" outlineLevel="0" collapsed="false">
      <c r="A235" s="25"/>
      <c r="B235" s="25"/>
      <c r="C235" s="26"/>
      <c r="D235" s="25"/>
      <c r="E235" s="25"/>
      <c r="F235" s="25"/>
      <c r="G235" s="27"/>
      <c r="H235" s="25"/>
      <c r="I235" s="26"/>
      <c r="J235" s="48"/>
      <c r="K235" s="48"/>
      <c r="L235" s="48"/>
      <c r="M235" s="48"/>
      <c r="N235" s="48"/>
    </row>
    <row r="236" customFormat="false" ht="15" hidden="false" customHeight="false" outlineLevel="0" collapsed="false">
      <c r="A236" s="25"/>
      <c r="B236" s="25"/>
      <c r="C236" s="26"/>
      <c r="D236" s="25"/>
      <c r="E236" s="25"/>
      <c r="F236" s="25"/>
      <c r="G236" s="27"/>
      <c r="H236" s="25"/>
      <c r="I236" s="26"/>
      <c r="J236" s="48"/>
      <c r="K236" s="48"/>
      <c r="L236" s="48"/>
      <c r="M236" s="48"/>
      <c r="N236" s="48"/>
    </row>
    <row r="237" customFormat="false" ht="15" hidden="false" customHeight="false" outlineLevel="0" collapsed="false">
      <c r="A237" s="25"/>
      <c r="B237" s="25"/>
      <c r="C237" s="26"/>
      <c r="D237" s="25"/>
      <c r="E237" s="25"/>
      <c r="F237" s="25"/>
      <c r="G237" s="27"/>
      <c r="H237" s="25"/>
      <c r="I237" s="26"/>
      <c r="J237" s="48"/>
      <c r="K237" s="48"/>
      <c r="L237" s="48"/>
      <c r="M237" s="48"/>
      <c r="N237" s="48"/>
    </row>
    <row r="238" customFormat="false" ht="15" hidden="false" customHeight="false" outlineLevel="0" collapsed="false">
      <c r="A238" s="25"/>
      <c r="B238" s="25"/>
      <c r="C238" s="26"/>
      <c r="D238" s="25"/>
      <c r="E238" s="25"/>
      <c r="F238" s="25"/>
      <c r="G238" s="27"/>
      <c r="H238" s="25"/>
      <c r="I238" s="26"/>
      <c r="J238" s="48"/>
      <c r="K238" s="48"/>
      <c r="L238" s="48"/>
      <c r="M238" s="48"/>
      <c r="N238" s="48"/>
    </row>
    <row r="239" customFormat="false" ht="15" hidden="false" customHeight="false" outlineLevel="0" collapsed="false">
      <c r="A239" s="25"/>
      <c r="B239" s="25"/>
      <c r="C239" s="26"/>
      <c r="D239" s="25"/>
      <c r="E239" s="25"/>
      <c r="F239" s="25"/>
      <c r="G239" s="27"/>
      <c r="H239" s="25"/>
      <c r="I239" s="26"/>
      <c r="J239" s="48"/>
      <c r="K239" s="48"/>
      <c r="L239" s="48"/>
      <c r="M239" s="48"/>
      <c r="N239" s="48"/>
    </row>
    <row r="240" customFormat="false" ht="15" hidden="false" customHeight="false" outlineLevel="0" collapsed="false">
      <c r="A240" s="25"/>
      <c r="B240" s="25"/>
      <c r="C240" s="26"/>
      <c r="D240" s="25"/>
      <c r="E240" s="25"/>
      <c r="F240" s="25"/>
      <c r="G240" s="27"/>
      <c r="H240" s="25"/>
      <c r="I240" s="26"/>
      <c r="J240" s="48"/>
      <c r="K240" s="48"/>
      <c r="L240" s="48"/>
      <c r="M240" s="48"/>
      <c r="N240" s="48"/>
    </row>
    <row r="241" customFormat="false" ht="15" hidden="false" customHeight="false" outlineLevel="0" collapsed="false">
      <c r="A241" s="25"/>
      <c r="B241" s="25"/>
      <c r="C241" s="26"/>
      <c r="D241" s="25"/>
      <c r="E241" s="25"/>
      <c r="F241" s="25"/>
      <c r="G241" s="27"/>
      <c r="H241" s="25"/>
      <c r="I241" s="26"/>
      <c r="J241" s="48"/>
      <c r="K241" s="48"/>
      <c r="L241" s="48"/>
      <c r="M241" s="48"/>
      <c r="N241" s="48"/>
    </row>
    <row r="242" customFormat="false" ht="15" hidden="false" customHeight="false" outlineLevel="0" collapsed="false">
      <c r="A242" s="25"/>
      <c r="B242" s="25"/>
      <c r="C242" s="26"/>
      <c r="D242" s="25"/>
      <c r="E242" s="25"/>
      <c r="F242" s="25"/>
      <c r="G242" s="27"/>
      <c r="H242" s="25"/>
      <c r="I242" s="26"/>
      <c r="J242" s="48"/>
      <c r="K242" s="48"/>
      <c r="L242" s="48"/>
      <c r="M242" s="48"/>
      <c r="N242" s="48"/>
    </row>
    <row r="243" customFormat="false" ht="15" hidden="false" customHeight="false" outlineLevel="0" collapsed="false">
      <c r="A243" s="25"/>
      <c r="B243" s="25"/>
      <c r="C243" s="26"/>
      <c r="D243" s="25"/>
      <c r="E243" s="25"/>
      <c r="F243" s="25"/>
      <c r="G243" s="27"/>
      <c r="H243" s="25"/>
      <c r="I243" s="26"/>
      <c r="J243" s="48"/>
      <c r="K243" s="48"/>
      <c r="L243" s="48"/>
      <c r="M243" s="48"/>
      <c r="N243" s="48"/>
    </row>
    <row r="244" customFormat="false" ht="15" hidden="false" customHeight="false" outlineLevel="0" collapsed="false">
      <c r="A244" s="25"/>
      <c r="B244" s="25"/>
      <c r="C244" s="26"/>
      <c r="D244" s="25"/>
      <c r="E244" s="25"/>
      <c r="F244" s="25"/>
      <c r="G244" s="27"/>
      <c r="H244" s="25"/>
      <c r="I244" s="26"/>
      <c r="J244" s="48"/>
      <c r="K244" s="48"/>
      <c r="L244" s="48"/>
      <c r="M244" s="48"/>
      <c r="N244" s="48"/>
    </row>
    <row r="245" customFormat="false" ht="15" hidden="false" customHeight="false" outlineLevel="0" collapsed="false">
      <c r="A245" s="25"/>
      <c r="B245" s="25"/>
      <c r="C245" s="26"/>
      <c r="D245" s="25"/>
      <c r="E245" s="25"/>
      <c r="F245" s="25"/>
      <c r="G245" s="27"/>
      <c r="H245" s="25"/>
      <c r="I245" s="26"/>
      <c r="J245" s="48"/>
      <c r="K245" s="48"/>
      <c r="L245" s="48"/>
      <c r="M245" s="48"/>
      <c r="N245" s="48"/>
    </row>
    <row r="246" customFormat="false" ht="15" hidden="false" customHeight="false" outlineLevel="0" collapsed="false">
      <c r="A246" s="25"/>
      <c r="B246" s="25"/>
      <c r="C246" s="26"/>
      <c r="D246" s="25"/>
      <c r="E246" s="25"/>
      <c r="F246" s="25"/>
      <c r="G246" s="27"/>
      <c r="H246" s="25"/>
      <c r="I246" s="26"/>
      <c r="J246" s="48"/>
      <c r="K246" s="48"/>
      <c r="L246" s="48"/>
      <c r="M246" s="48"/>
      <c r="N246" s="48"/>
    </row>
    <row r="247" customFormat="false" ht="15" hidden="false" customHeight="false" outlineLevel="0" collapsed="false">
      <c r="A247" s="25"/>
      <c r="B247" s="25"/>
      <c r="C247" s="26"/>
      <c r="D247" s="25"/>
      <c r="E247" s="25"/>
      <c r="F247" s="25"/>
      <c r="G247" s="27"/>
      <c r="H247" s="25"/>
      <c r="I247" s="26"/>
      <c r="J247" s="48"/>
      <c r="K247" s="48"/>
      <c r="L247" s="48"/>
      <c r="M247" s="48"/>
      <c r="N247" s="48"/>
    </row>
    <row r="248" customFormat="false" ht="15" hidden="false" customHeight="false" outlineLevel="0" collapsed="false">
      <c r="A248" s="25"/>
      <c r="B248" s="25"/>
      <c r="C248" s="26"/>
      <c r="D248" s="25"/>
      <c r="E248" s="25"/>
      <c r="F248" s="25"/>
      <c r="G248" s="27"/>
      <c r="H248" s="25"/>
      <c r="I248" s="26"/>
      <c r="J248" s="48"/>
      <c r="K248" s="48"/>
      <c r="L248" s="48"/>
      <c r="M248" s="48"/>
      <c r="N248" s="48"/>
    </row>
    <row r="249" customFormat="false" ht="15" hidden="false" customHeight="false" outlineLevel="0" collapsed="false">
      <c r="A249" s="25"/>
      <c r="B249" s="25"/>
      <c r="C249" s="26"/>
      <c r="D249" s="25"/>
      <c r="E249" s="25"/>
      <c r="F249" s="25"/>
      <c r="G249" s="27"/>
      <c r="H249" s="25"/>
      <c r="I249" s="26"/>
      <c r="J249" s="48"/>
      <c r="K249" s="48"/>
      <c r="L249" s="48"/>
      <c r="M249" s="48"/>
      <c r="N249" s="48"/>
    </row>
    <row r="250" customFormat="false" ht="15" hidden="false" customHeight="false" outlineLevel="0" collapsed="false">
      <c r="A250" s="25"/>
      <c r="B250" s="25"/>
      <c r="C250" s="26"/>
      <c r="D250" s="25"/>
      <c r="E250" s="25"/>
      <c r="F250" s="25"/>
      <c r="G250" s="27"/>
      <c r="H250" s="25"/>
      <c r="I250" s="26"/>
      <c r="J250" s="48"/>
      <c r="K250" s="48"/>
      <c r="L250" s="48"/>
      <c r="M250" s="48"/>
      <c r="N250" s="48"/>
    </row>
    <row r="251" customFormat="false" ht="15" hidden="false" customHeight="false" outlineLevel="0" collapsed="false">
      <c r="A251" s="25"/>
      <c r="B251" s="25"/>
      <c r="C251" s="26"/>
      <c r="D251" s="25"/>
      <c r="E251" s="25"/>
      <c r="F251" s="25"/>
      <c r="G251" s="27"/>
      <c r="H251" s="25"/>
      <c r="I251" s="26"/>
      <c r="J251" s="48"/>
      <c r="K251" s="48"/>
      <c r="L251" s="48"/>
      <c r="M251" s="48"/>
      <c r="N251" s="48"/>
    </row>
    <row r="252" customFormat="false" ht="15" hidden="false" customHeight="false" outlineLevel="0" collapsed="false">
      <c r="A252" s="25"/>
      <c r="B252" s="25"/>
      <c r="C252" s="26"/>
      <c r="D252" s="25"/>
      <c r="E252" s="25"/>
      <c r="F252" s="25"/>
      <c r="G252" s="27"/>
      <c r="H252" s="25"/>
      <c r="I252" s="26"/>
      <c r="J252" s="48"/>
      <c r="K252" s="48"/>
      <c r="L252" s="48"/>
      <c r="M252" s="48"/>
      <c r="N252" s="48"/>
    </row>
    <row r="253" customFormat="false" ht="15" hidden="false" customHeight="false" outlineLevel="0" collapsed="false">
      <c r="A253" s="25"/>
      <c r="B253" s="25"/>
      <c r="C253" s="26"/>
      <c r="D253" s="25"/>
      <c r="E253" s="25"/>
      <c r="F253" s="25"/>
      <c r="G253" s="27"/>
      <c r="H253" s="25"/>
      <c r="I253" s="26"/>
      <c r="J253" s="48"/>
      <c r="K253" s="48"/>
      <c r="L253" s="48"/>
      <c r="M253" s="48"/>
      <c r="N253" s="48"/>
    </row>
    <row r="254" customFormat="false" ht="15" hidden="false" customHeight="false" outlineLevel="0" collapsed="false">
      <c r="A254" s="25"/>
      <c r="B254" s="25"/>
      <c r="C254" s="26"/>
      <c r="D254" s="25"/>
      <c r="E254" s="25"/>
      <c r="F254" s="25"/>
      <c r="G254" s="27"/>
      <c r="H254" s="25"/>
      <c r="I254" s="26"/>
      <c r="J254" s="48"/>
      <c r="K254" s="48"/>
      <c r="L254" s="48"/>
      <c r="M254" s="48"/>
      <c r="N254" s="48"/>
    </row>
    <row r="255" customFormat="false" ht="15" hidden="false" customHeight="false" outlineLevel="0" collapsed="false">
      <c r="A255" s="25"/>
      <c r="B255" s="25"/>
      <c r="C255" s="26"/>
      <c r="D255" s="25"/>
      <c r="E255" s="25"/>
      <c r="F255" s="25"/>
      <c r="G255" s="27"/>
      <c r="H255" s="25"/>
      <c r="I255" s="26"/>
      <c r="J255" s="48"/>
      <c r="K255" s="48"/>
      <c r="L255" s="48"/>
      <c r="M255" s="48"/>
      <c r="N255" s="48"/>
    </row>
    <row r="256" customFormat="false" ht="15" hidden="false" customHeight="false" outlineLevel="0" collapsed="false">
      <c r="A256" s="25"/>
      <c r="B256" s="25"/>
      <c r="C256" s="26"/>
      <c r="D256" s="25"/>
      <c r="E256" s="25"/>
      <c r="F256" s="25"/>
      <c r="G256" s="27"/>
      <c r="H256" s="25"/>
      <c r="I256" s="26"/>
      <c r="J256" s="48"/>
      <c r="K256" s="48"/>
      <c r="L256" s="48"/>
      <c r="M256" s="48"/>
      <c r="N256" s="48"/>
    </row>
    <row r="257" customFormat="false" ht="15" hidden="false" customHeight="false" outlineLevel="0" collapsed="false">
      <c r="A257" s="25"/>
      <c r="B257" s="25"/>
      <c r="C257" s="26"/>
      <c r="D257" s="25"/>
      <c r="E257" s="25"/>
      <c r="F257" s="25"/>
      <c r="G257" s="27"/>
      <c r="H257" s="25"/>
      <c r="I257" s="26"/>
      <c r="J257" s="48"/>
      <c r="K257" s="48"/>
      <c r="L257" s="48"/>
      <c r="M257" s="48"/>
      <c r="N257" s="48"/>
    </row>
    <row r="258" customFormat="false" ht="15" hidden="false" customHeight="false" outlineLevel="0" collapsed="false">
      <c r="A258" s="25"/>
      <c r="B258" s="25"/>
      <c r="C258" s="26"/>
      <c r="D258" s="25"/>
      <c r="E258" s="25"/>
      <c r="F258" s="25"/>
      <c r="G258" s="27"/>
      <c r="H258" s="25"/>
      <c r="I258" s="26"/>
      <c r="J258" s="48"/>
      <c r="K258" s="48"/>
      <c r="L258" s="48"/>
      <c r="M258" s="48"/>
      <c r="N258" s="48"/>
    </row>
    <row r="259" customFormat="false" ht="15" hidden="false" customHeight="false" outlineLevel="0" collapsed="false">
      <c r="A259" s="25"/>
      <c r="B259" s="25"/>
      <c r="C259" s="26"/>
      <c r="D259" s="25"/>
      <c r="E259" s="25"/>
      <c r="F259" s="25"/>
      <c r="G259" s="27"/>
      <c r="H259" s="25"/>
      <c r="I259" s="26"/>
      <c r="J259" s="48"/>
      <c r="K259" s="48"/>
      <c r="L259" s="48"/>
      <c r="M259" s="48"/>
      <c r="N259" s="48"/>
    </row>
    <row r="260" customFormat="false" ht="15" hidden="false" customHeight="false" outlineLevel="0" collapsed="false">
      <c r="A260" s="25"/>
      <c r="B260" s="25"/>
      <c r="C260" s="26"/>
      <c r="D260" s="25"/>
      <c r="E260" s="25"/>
      <c r="F260" s="25"/>
      <c r="G260" s="27"/>
      <c r="H260" s="25"/>
      <c r="I260" s="26"/>
      <c r="J260" s="48"/>
      <c r="K260" s="48"/>
      <c r="L260" s="48"/>
      <c r="M260" s="48"/>
      <c r="N260" s="48"/>
    </row>
    <row r="261" customFormat="false" ht="15" hidden="false" customHeight="false" outlineLevel="0" collapsed="false">
      <c r="A261" s="25"/>
      <c r="B261" s="25"/>
      <c r="C261" s="26"/>
      <c r="D261" s="25"/>
      <c r="E261" s="25"/>
      <c r="F261" s="25"/>
      <c r="G261" s="27"/>
      <c r="H261" s="25"/>
      <c r="I261" s="26"/>
      <c r="J261" s="48"/>
      <c r="K261" s="48"/>
      <c r="L261" s="48"/>
      <c r="M261" s="48"/>
      <c r="N261" s="48"/>
    </row>
    <row r="262" customFormat="false" ht="15" hidden="false" customHeight="false" outlineLevel="0" collapsed="false">
      <c r="A262" s="25"/>
      <c r="B262" s="25"/>
      <c r="C262" s="26"/>
      <c r="D262" s="25"/>
      <c r="E262" s="25"/>
      <c r="F262" s="25"/>
      <c r="G262" s="27"/>
      <c r="H262" s="25"/>
      <c r="I262" s="26"/>
      <c r="J262" s="48"/>
      <c r="K262" s="48"/>
      <c r="L262" s="48"/>
      <c r="M262" s="48"/>
      <c r="N262" s="48"/>
    </row>
    <row r="263" customFormat="false" ht="15" hidden="false" customHeight="false" outlineLevel="0" collapsed="false">
      <c r="A263" s="25"/>
      <c r="B263" s="25"/>
      <c r="C263" s="26"/>
      <c r="D263" s="25"/>
      <c r="E263" s="25"/>
      <c r="F263" s="25"/>
      <c r="G263" s="27"/>
      <c r="H263" s="25"/>
      <c r="I263" s="26"/>
      <c r="J263" s="48"/>
      <c r="K263" s="48"/>
      <c r="L263" s="48"/>
      <c r="M263" s="48"/>
      <c r="N263" s="48"/>
    </row>
    <row r="264" customFormat="false" ht="15" hidden="false" customHeight="false" outlineLevel="0" collapsed="false">
      <c r="A264" s="25"/>
      <c r="B264" s="25"/>
      <c r="C264" s="26"/>
      <c r="D264" s="25"/>
      <c r="E264" s="25"/>
      <c r="F264" s="25"/>
      <c r="G264" s="27"/>
      <c r="H264" s="25"/>
      <c r="I264" s="26"/>
      <c r="J264" s="48"/>
      <c r="K264" s="48"/>
      <c r="L264" s="48"/>
      <c r="M264" s="48"/>
      <c r="N264" s="48"/>
    </row>
    <row r="265" customFormat="false" ht="15" hidden="false" customHeight="false" outlineLevel="0" collapsed="false">
      <c r="A265" s="25"/>
      <c r="B265" s="25"/>
      <c r="C265" s="26"/>
      <c r="D265" s="25"/>
      <c r="E265" s="25"/>
      <c r="F265" s="25"/>
      <c r="G265" s="27"/>
      <c r="H265" s="25"/>
      <c r="I265" s="26"/>
      <c r="J265" s="48"/>
      <c r="K265" s="48"/>
      <c r="L265" s="48"/>
      <c r="M265" s="48"/>
      <c r="N265" s="48"/>
    </row>
    <row r="266" customFormat="false" ht="15" hidden="false" customHeight="false" outlineLevel="0" collapsed="false">
      <c r="A266" s="25"/>
      <c r="B266" s="25"/>
      <c r="C266" s="26"/>
      <c r="D266" s="25"/>
      <c r="E266" s="25"/>
      <c r="F266" s="25"/>
      <c r="G266" s="27"/>
      <c r="H266" s="25"/>
      <c r="I266" s="26"/>
      <c r="J266" s="48"/>
      <c r="K266" s="48"/>
      <c r="L266" s="48"/>
      <c r="M266" s="48"/>
      <c r="N266" s="48"/>
    </row>
    <row r="267" customFormat="false" ht="15" hidden="false" customHeight="false" outlineLevel="0" collapsed="false">
      <c r="A267" s="25"/>
      <c r="B267" s="25"/>
      <c r="C267" s="26"/>
      <c r="D267" s="25"/>
      <c r="E267" s="25"/>
      <c r="F267" s="25"/>
      <c r="G267" s="27"/>
      <c r="H267" s="25"/>
      <c r="I267" s="26"/>
      <c r="J267" s="48"/>
      <c r="K267" s="48"/>
      <c r="L267" s="48"/>
      <c r="M267" s="48"/>
      <c r="N267" s="48"/>
    </row>
    <row r="268" customFormat="false" ht="15" hidden="false" customHeight="false" outlineLevel="0" collapsed="false">
      <c r="A268" s="25"/>
      <c r="B268" s="25"/>
      <c r="C268" s="26"/>
      <c r="D268" s="25"/>
      <c r="E268" s="25"/>
      <c r="F268" s="25"/>
      <c r="G268" s="27"/>
      <c r="H268" s="25"/>
      <c r="I268" s="26"/>
      <c r="J268" s="48"/>
      <c r="K268" s="48"/>
      <c r="L268" s="48"/>
      <c r="M268" s="48"/>
      <c r="N268" s="48"/>
    </row>
    <row r="269" customFormat="false" ht="15" hidden="false" customHeight="false" outlineLevel="0" collapsed="false">
      <c r="A269" s="25"/>
      <c r="B269" s="25"/>
      <c r="C269" s="26"/>
      <c r="D269" s="25"/>
      <c r="E269" s="25"/>
      <c r="F269" s="25"/>
      <c r="G269" s="27"/>
      <c r="H269" s="25"/>
      <c r="I269" s="26"/>
      <c r="J269" s="48"/>
      <c r="K269" s="48"/>
      <c r="L269" s="48"/>
      <c r="M269" s="48"/>
      <c r="N269" s="48"/>
    </row>
    <row r="270" customFormat="false" ht="15" hidden="false" customHeight="false" outlineLevel="0" collapsed="false">
      <c r="A270" s="25"/>
      <c r="B270" s="25"/>
      <c r="C270" s="26"/>
      <c r="D270" s="25"/>
      <c r="E270" s="25"/>
      <c r="F270" s="25"/>
      <c r="G270" s="27"/>
      <c r="H270" s="25"/>
      <c r="I270" s="26"/>
      <c r="J270" s="48"/>
      <c r="K270" s="48"/>
      <c r="L270" s="48"/>
      <c r="M270" s="48"/>
      <c r="N270" s="48"/>
    </row>
    <row r="271" customFormat="false" ht="15" hidden="false" customHeight="false" outlineLevel="0" collapsed="false">
      <c r="A271" s="25"/>
      <c r="B271" s="25"/>
      <c r="C271" s="26"/>
      <c r="D271" s="25"/>
      <c r="E271" s="25"/>
      <c r="F271" s="25"/>
      <c r="G271" s="27"/>
      <c r="H271" s="25"/>
      <c r="I271" s="26"/>
      <c r="J271" s="48"/>
      <c r="K271" s="48"/>
      <c r="L271" s="48"/>
      <c r="M271" s="48"/>
      <c r="N271" s="48"/>
    </row>
    <row r="272" customFormat="false" ht="15" hidden="false" customHeight="false" outlineLevel="0" collapsed="false">
      <c r="A272" s="25"/>
      <c r="B272" s="25"/>
      <c r="C272" s="26"/>
      <c r="D272" s="25"/>
      <c r="E272" s="25"/>
      <c r="F272" s="25"/>
      <c r="G272" s="27"/>
      <c r="H272" s="25"/>
      <c r="I272" s="26"/>
      <c r="J272" s="48"/>
      <c r="K272" s="48"/>
      <c r="L272" s="48"/>
      <c r="M272" s="48"/>
      <c r="N272" s="48"/>
    </row>
    <row r="273" customFormat="false" ht="15" hidden="false" customHeight="false" outlineLevel="0" collapsed="false">
      <c r="A273" s="25"/>
      <c r="B273" s="25"/>
      <c r="C273" s="26"/>
      <c r="D273" s="25"/>
      <c r="E273" s="25"/>
      <c r="F273" s="25"/>
      <c r="G273" s="27"/>
      <c r="H273" s="25"/>
      <c r="I273" s="26"/>
      <c r="J273" s="48"/>
      <c r="K273" s="48"/>
      <c r="L273" s="48"/>
      <c r="M273" s="48"/>
      <c r="N273" s="48"/>
    </row>
    <row r="274" customFormat="false" ht="15" hidden="false" customHeight="false" outlineLevel="0" collapsed="false">
      <c r="A274" s="25"/>
      <c r="B274" s="25"/>
      <c r="C274" s="26"/>
      <c r="D274" s="25"/>
      <c r="E274" s="25"/>
      <c r="F274" s="25"/>
      <c r="G274" s="27"/>
      <c r="H274" s="25"/>
      <c r="I274" s="26"/>
      <c r="J274" s="48"/>
      <c r="K274" s="48"/>
      <c r="L274" s="48"/>
      <c r="M274" s="48"/>
      <c r="N274" s="48"/>
    </row>
    <row r="275" customFormat="false" ht="15" hidden="false" customHeight="false" outlineLevel="0" collapsed="false">
      <c r="A275" s="25"/>
      <c r="B275" s="25"/>
      <c r="C275" s="26"/>
      <c r="D275" s="25"/>
      <c r="E275" s="25"/>
      <c r="F275" s="25"/>
      <c r="G275" s="27"/>
      <c r="H275" s="25"/>
      <c r="I275" s="26"/>
      <c r="J275" s="48"/>
      <c r="K275" s="48"/>
      <c r="L275" s="48"/>
      <c r="M275" s="48"/>
      <c r="N275" s="48"/>
    </row>
    <row r="276" customFormat="false" ht="15" hidden="false" customHeight="false" outlineLevel="0" collapsed="false">
      <c r="A276" s="25"/>
      <c r="B276" s="25"/>
      <c r="C276" s="26"/>
      <c r="D276" s="25"/>
      <c r="E276" s="25"/>
      <c r="F276" s="25"/>
      <c r="G276" s="27"/>
      <c r="H276" s="25"/>
      <c r="I276" s="26"/>
      <c r="J276" s="48"/>
      <c r="K276" s="48"/>
      <c r="L276" s="48"/>
      <c r="M276" s="48"/>
      <c r="N276" s="48"/>
    </row>
    <row r="277" customFormat="false" ht="15" hidden="false" customHeight="false" outlineLevel="0" collapsed="false">
      <c r="A277" s="25"/>
      <c r="B277" s="25"/>
      <c r="C277" s="26"/>
      <c r="D277" s="25"/>
      <c r="E277" s="25"/>
      <c r="F277" s="25"/>
      <c r="G277" s="27"/>
      <c r="H277" s="25"/>
      <c r="I277" s="26"/>
      <c r="J277" s="48"/>
      <c r="K277" s="48"/>
      <c r="L277" s="48"/>
      <c r="M277" s="48"/>
      <c r="N277" s="48"/>
    </row>
    <row r="278" customFormat="false" ht="15" hidden="false" customHeight="false" outlineLevel="0" collapsed="false">
      <c r="A278" s="25"/>
      <c r="B278" s="25"/>
      <c r="C278" s="26"/>
      <c r="D278" s="25"/>
      <c r="E278" s="25"/>
      <c r="F278" s="25"/>
      <c r="G278" s="27"/>
      <c r="H278" s="25"/>
      <c r="I278" s="26"/>
      <c r="J278" s="48"/>
      <c r="K278" s="48"/>
      <c r="L278" s="48"/>
      <c r="M278" s="48"/>
      <c r="N278" s="48"/>
    </row>
    <row r="279" customFormat="false" ht="15" hidden="false" customHeight="false" outlineLevel="0" collapsed="false">
      <c r="A279" s="25"/>
      <c r="B279" s="25"/>
      <c r="C279" s="26"/>
      <c r="D279" s="25"/>
      <c r="E279" s="25"/>
      <c r="F279" s="25"/>
      <c r="G279" s="27"/>
      <c r="H279" s="25"/>
      <c r="I279" s="26"/>
      <c r="J279" s="48"/>
      <c r="K279" s="48"/>
      <c r="L279" s="48"/>
      <c r="M279" s="48"/>
      <c r="N279" s="48"/>
    </row>
    <row r="280" customFormat="false" ht="15" hidden="false" customHeight="false" outlineLevel="0" collapsed="false">
      <c r="A280" s="25"/>
      <c r="B280" s="25"/>
      <c r="C280" s="26"/>
      <c r="D280" s="25"/>
      <c r="E280" s="25"/>
      <c r="F280" s="25"/>
      <c r="G280" s="27"/>
      <c r="H280" s="25"/>
      <c r="I280" s="26"/>
      <c r="J280" s="48"/>
      <c r="K280" s="48"/>
      <c r="L280" s="48"/>
      <c r="M280" s="48"/>
      <c r="N280" s="48"/>
    </row>
    <row r="281" customFormat="false" ht="15" hidden="false" customHeight="false" outlineLevel="0" collapsed="false">
      <c r="A281" s="25"/>
      <c r="B281" s="25"/>
      <c r="C281" s="26"/>
      <c r="D281" s="25"/>
      <c r="E281" s="25"/>
      <c r="F281" s="25"/>
      <c r="G281" s="27"/>
      <c r="H281" s="25"/>
      <c r="I281" s="26"/>
      <c r="J281" s="48"/>
      <c r="K281" s="48"/>
      <c r="L281" s="48"/>
      <c r="M281" s="48"/>
      <c r="N281" s="48"/>
    </row>
    <row r="282" customFormat="false" ht="15" hidden="false" customHeight="false" outlineLevel="0" collapsed="false">
      <c r="A282" s="25"/>
      <c r="B282" s="25"/>
      <c r="C282" s="26"/>
      <c r="D282" s="25"/>
      <c r="E282" s="25"/>
      <c r="F282" s="25"/>
      <c r="G282" s="27"/>
      <c r="H282" s="25"/>
      <c r="I282" s="26"/>
      <c r="J282" s="48"/>
      <c r="K282" s="48"/>
      <c r="L282" s="48"/>
      <c r="M282" s="48"/>
      <c r="N282" s="48"/>
    </row>
    <row r="283" customFormat="false" ht="15" hidden="false" customHeight="false" outlineLevel="0" collapsed="false">
      <c r="A283" s="25"/>
      <c r="B283" s="25"/>
      <c r="C283" s="26"/>
      <c r="D283" s="25"/>
      <c r="E283" s="25"/>
      <c r="F283" s="25"/>
      <c r="G283" s="27"/>
      <c r="H283" s="25"/>
      <c r="I283" s="26"/>
      <c r="J283" s="48"/>
      <c r="K283" s="48"/>
      <c r="L283" s="48"/>
      <c r="M283" s="48"/>
      <c r="N283" s="48"/>
    </row>
    <row r="284" customFormat="false" ht="15" hidden="false" customHeight="false" outlineLevel="0" collapsed="false">
      <c r="A284" s="25"/>
      <c r="B284" s="25"/>
      <c r="C284" s="26"/>
      <c r="D284" s="25"/>
      <c r="E284" s="25"/>
      <c r="F284" s="25"/>
      <c r="G284" s="27"/>
      <c r="H284" s="25"/>
      <c r="I284" s="26"/>
      <c r="J284" s="48"/>
      <c r="K284" s="48"/>
      <c r="L284" s="48"/>
      <c r="M284" s="48"/>
      <c r="N284" s="48"/>
    </row>
    <row r="285" customFormat="false" ht="15" hidden="false" customHeight="false" outlineLevel="0" collapsed="false">
      <c r="A285" s="25"/>
      <c r="B285" s="25"/>
      <c r="C285" s="26"/>
      <c r="D285" s="25"/>
      <c r="E285" s="25"/>
      <c r="F285" s="25"/>
      <c r="G285" s="27"/>
      <c r="H285" s="25"/>
      <c r="I285" s="26"/>
      <c r="J285" s="48"/>
      <c r="K285" s="48"/>
      <c r="L285" s="48"/>
      <c r="M285" s="48"/>
      <c r="N285" s="48"/>
    </row>
    <row r="286" customFormat="false" ht="15" hidden="false" customHeight="false" outlineLevel="0" collapsed="false">
      <c r="A286" s="25"/>
      <c r="B286" s="25"/>
      <c r="C286" s="26"/>
      <c r="D286" s="25"/>
      <c r="E286" s="25"/>
      <c r="F286" s="25"/>
      <c r="G286" s="27"/>
      <c r="H286" s="25"/>
      <c r="I286" s="26"/>
      <c r="J286" s="48"/>
      <c r="K286" s="48"/>
      <c r="L286" s="48"/>
      <c r="M286" s="48"/>
      <c r="N286" s="48"/>
    </row>
    <row r="287" customFormat="false" ht="15" hidden="false" customHeight="false" outlineLevel="0" collapsed="false">
      <c r="A287" s="25"/>
      <c r="B287" s="25"/>
      <c r="C287" s="26"/>
      <c r="D287" s="25"/>
      <c r="E287" s="25"/>
      <c r="F287" s="25"/>
      <c r="G287" s="27"/>
      <c r="H287" s="25"/>
      <c r="I287" s="26"/>
      <c r="J287" s="48"/>
      <c r="K287" s="48"/>
      <c r="L287" s="48"/>
      <c r="M287" s="48"/>
      <c r="N287" s="48"/>
    </row>
    <row r="288" customFormat="false" ht="15" hidden="false" customHeight="false" outlineLevel="0" collapsed="false">
      <c r="A288" s="25"/>
      <c r="B288" s="25"/>
      <c r="C288" s="26"/>
      <c r="D288" s="25"/>
      <c r="E288" s="25"/>
      <c r="F288" s="25"/>
      <c r="G288" s="27"/>
      <c r="H288" s="25"/>
      <c r="I288" s="26"/>
      <c r="J288" s="48"/>
      <c r="K288" s="48"/>
      <c r="L288" s="48"/>
      <c r="M288" s="48"/>
      <c r="N288" s="48"/>
    </row>
    <row r="289" customFormat="false" ht="15" hidden="false" customHeight="false" outlineLevel="0" collapsed="false">
      <c r="A289" s="25"/>
      <c r="B289" s="25"/>
      <c r="C289" s="26"/>
      <c r="D289" s="25"/>
      <c r="E289" s="25"/>
      <c r="F289" s="25"/>
      <c r="G289" s="27"/>
      <c r="H289" s="25"/>
      <c r="I289" s="26"/>
      <c r="J289" s="48"/>
      <c r="K289" s="48"/>
      <c r="L289" s="48"/>
      <c r="M289" s="48"/>
      <c r="N289" s="48"/>
    </row>
    <row r="290" customFormat="false" ht="15" hidden="false" customHeight="false" outlineLevel="0" collapsed="false">
      <c r="A290" s="25"/>
      <c r="B290" s="25"/>
      <c r="C290" s="26"/>
      <c r="D290" s="25"/>
      <c r="E290" s="25"/>
      <c r="F290" s="25"/>
      <c r="G290" s="27"/>
      <c r="H290" s="25"/>
      <c r="I290" s="26"/>
      <c r="J290" s="48"/>
      <c r="K290" s="48"/>
      <c r="L290" s="48"/>
      <c r="M290" s="48"/>
      <c r="N290" s="48"/>
    </row>
    <row r="291" customFormat="false" ht="15" hidden="false" customHeight="false" outlineLevel="0" collapsed="false">
      <c r="A291" s="25"/>
      <c r="B291" s="25"/>
      <c r="C291" s="26"/>
      <c r="D291" s="25"/>
      <c r="E291" s="25"/>
      <c r="F291" s="25"/>
      <c r="G291" s="27"/>
      <c r="H291" s="25"/>
      <c r="I291" s="26"/>
      <c r="J291" s="48"/>
      <c r="K291" s="48"/>
      <c r="L291" s="48"/>
      <c r="M291" s="48"/>
      <c r="N291" s="48"/>
    </row>
    <row r="292" customFormat="false" ht="15" hidden="false" customHeight="false" outlineLevel="0" collapsed="false">
      <c r="A292" s="25"/>
      <c r="B292" s="25"/>
      <c r="C292" s="26"/>
      <c r="D292" s="25"/>
      <c r="E292" s="25"/>
      <c r="F292" s="25"/>
      <c r="G292" s="27"/>
      <c r="H292" s="25"/>
      <c r="I292" s="26"/>
      <c r="J292" s="48"/>
      <c r="K292" s="48"/>
      <c r="L292" s="48"/>
      <c r="M292" s="48"/>
      <c r="N292" s="48"/>
    </row>
    <row r="293" customFormat="false" ht="15" hidden="false" customHeight="false" outlineLevel="0" collapsed="false">
      <c r="A293" s="25"/>
      <c r="B293" s="25"/>
      <c r="C293" s="26"/>
      <c r="D293" s="25"/>
      <c r="E293" s="25"/>
      <c r="F293" s="25"/>
      <c r="G293" s="27"/>
      <c r="H293" s="25"/>
      <c r="I293" s="26"/>
      <c r="J293" s="48"/>
      <c r="K293" s="48"/>
      <c r="L293" s="48"/>
      <c r="M293" s="48"/>
      <c r="N293" s="48"/>
    </row>
    <row r="294" customFormat="false" ht="15" hidden="false" customHeight="false" outlineLevel="0" collapsed="false">
      <c r="A294" s="25"/>
      <c r="B294" s="25"/>
      <c r="C294" s="26"/>
      <c r="D294" s="25"/>
      <c r="E294" s="25"/>
      <c r="F294" s="25"/>
      <c r="G294" s="27"/>
      <c r="H294" s="25"/>
      <c r="I294" s="26"/>
      <c r="J294" s="48"/>
      <c r="K294" s="48"/>
      <c r="L294" s="48"/>
      <c r="M294" s="48"/>
      <c r="N294" s="48"/>
    </row>
    <row r="295" customFormat="false" ht="15" hidden="false" customHeight="false" outlineLevel="0" collapsed="false">
      <c r="A295" s="25"/>
      <c r="B295" s="25"/>
      <c r="C295" s="26"/>
      <c r="D295" s="25"/>
      <c r="E295" s="25"/>
      <c r="F295" s="25"/>
      <c r="G295" s="27"/>
      <c r="H295" s="25"/>
      <c r="I295" s="26"/>
      <c r="J295" s="48"/>
      <c r="K295" s="48"/>
      <c r="L295" s="48"/>
      <c r="M295" s="48"/>
      <c r="N295" s="48"/>
    </row>
    <row r="296" customFormat="false" ht="15" hidden="false" customHeight="false" outlineLevel="0" collapsed="false">
      <c r="A296" s="25"/>
      <c r="B296" s="25"/>
      <c r="C296" s="26"/>
      <c r="D296" s="25"/>
      <c r="E296" s="25"/>
      <c r="F296" s="25"/>
      <c r="G296" s="27"/>
      <c r="H296" s="25"/>
      <c r="I296" s="26"/>
      <c r="J296" s="48"/>
      <c r="K296" s="48"/>
      <c r="L296" s="48"/>
      <c r="M296" s="48"/>
      <c r="N296" s="48"/>
    </row>
    <row r="297" customFormat="false" ht="15" hidden="false" customHeight="false" outlineLevel="0" collapsed="false">
      <c r="A297" s="25"/>
      <c r="B297" s="25"/>
      <c r="C297" s="26"/>
      <c r="D297" s="25"/>
      <c r="E297" s="25"/>
      <c r="F297" s="25"/>
      <c r="G297" s="27"/>
      <c r="H297" s="25"/>
      <c r="I297" s="26"/>
      <c r="J297" s="48"/>
      <c r="K297" s="48"/>
      <c r="L297" s="48"/>
      <c r="M297" s="48"/>
      <c r="N297" s="48"/>
    </row>
    <row r="298" customFormat="false" ht="15" hidden="false" customHeight="false" outlineLevel="0" collapsed="false">
      <c r="A298" s="25"/>
      <c r="B298" s="25"/>
      <c r="C298" s="26"/>
      <c r="D298" s="25"/>
      <c r="E298" s="25"/>
      <c r="F298" s="25"/>
      <c r="G298" s="27"/>
      <c r="H298" s="25"/>
      <c r="I298" s="26"/>
      <c r="J298" s="48"/>
      <c r="K298" s="48"/>
      <c r="L298" s="48"/>
      <c r="M298" s="48"/>
      <c r="N298" s="48"/>
    </row>
    <row r="299" customFormat="false" ht="15" hidden="false" customHeight="false" outlineLevel="0" collapsed="false">
      <c r="A299" s="25"/>
      <c r="B299" s="25"/>
      <c r="C299" s="26"/>
      <c r="D299" s="25"/>
      <c r="E299" s="25"/>
      <c r="F299" s="25"/>
      <c r="G299" s="27"/>
      <c r="H299" s="25"/>
      <c r="I299" s="26"/>
      <c r="J299" s="48"/>
      <c r="K299" s="48"/>
      <c r="L299" s="48"/>
      <c r="M299" s="48"/>
      <c r="N299" s="48"/>
    </row>
    <row r="300" customFormat="false" ht="15" hidden="false" customHeight="false" outlineLevel="0" collapsed="false">
      <c r="A300" s="25"/>
      <c r="B300" s="25"/>
      <c r="C300" s="26"/>
      <c r="D300" s="25"/>
      <c r="E300" s="25"/>
      <c r="F300" s="25"/>
      <c r="G300" s="27"/>
      <c r="H300" s="25"/>
      <c r="I300" s="26"/>
      <c r="J300" s="48"/>
      <c r="K300" s="48"/>
      <c r="L300" s="48"/>
      <c r="M300" s="48"/>
      <c r="N300" s="48"/>
    </row>
    <row r="301" customFormat="false" ht="15" hidden="false" customHeight="false" outlineLevel="0" collapsed="false">
      <c r="A301" s="25"/>
      <c r="B301" s="25"/>
      <c r="C301" s="26"/>
      <c r="D301" s="25"/>
      <c r="E301" s="25"/>
      <c r="F301" s="25"/>
      <c r="G301" s="27"/>
      <c r="H301" s="25"/>
      <c r="I301" s="26"/>
      <c r="J301" s="48"/>
      <c r="K301" s="48"/>
      <c r="L301" s="48"/>
      <c r="M301" s="48"/>
      <c r="N301" s="48"/>
    </row>
    <row r="302" customFormat="false" ht="15" hidden="false" customHeight="false" outlineLevel="0" collapsed="false">
      <c r="A302" s="25"/>
      <c r="B302" s="25"/>
      <c r="C302" s="26"/>
      <c r="D302" s="25"/>
      <c r="E302" s="25"/>
      <c r="F302" s="25"/>
      <c r="G302" s="27"/>
      <c r="H302" s="25"/>
      <c r="I302" s="26"/>
      <c r="J302" s="48"/>
      <c r="K302" s="48"/>
      <c r="L302" s="48"/>
      <c r="M302" s="48"/>
      <c r="N302" s="48"/>
    </row>
    <row r="303" customFormat="false" ht="15" hidden="false" customHeight="false" outlineLevel="0" collapsed="false">
      <c r="A303" s="25"/>
      <c r="B303" s="25"/>
      <c r="C303" s="26"/>
      <c r="D303" s="25"/>
      <c r="E303" s="25"/>
      <c r="F303" s="25"/>
      <c r="G303" s="27"/>
      <c r="H303" s="25"/>
      <c r="I303" s="26"/>
      <c r="J303" s="48"/>
      <c r="K303" s="48"/>
      <c r="L303" s="48"/>
      <c r="M303" s="48"/>
      <c r="N303" s="48"/>
    </row>
    <row r="304" customFormat="false" ht="15" hidden="false" customHeight="false" outlineLevel="0" collapsed="false">
      <c r="A304" s="25"/>
      <c r="B304" s="25"/>
      <c r="C304" s="26"/>
      <c r="D304" s="25"/>
      <c r="E304" s="25"/>
      <c r="F304" s="25"/>
      <c r="G304" s="27"/>
      <c r="H304" s="25"/>
      <c r="I304" s="26"/>
      <c r="J304" s="48"/>
      <c r="K304" s="48"/>
      <c r="L304" s="48"/>
      <c r="M304" s="48"/>
      <c r="N304" s="48"/>
    </row>
    <row r="305" customFormat="false" ht="15" hidden="false" customHeight="false" outlineLevel="0" collapsed="false">
      <c r="A305" s="25"/>
      <c r="B305" s="25"/>
      <c r="C305" s="26"/>
      <c r="D305" s="25"/>
      <c r="E305" s="25"/>
      <c r="F305" s="25"/>
      <c r="G305" s="27"/>
      <c r="H305" s="25"/>
      <c r="I305" s="26"/>
      <c r="J305" s="48"/>
      <c r="K305" s="48"/>
      <c r="L305" s="48"/>
      <c r="M305" s="48"/>
      <c r="N305" s="48"/>
    </row>
    <row r="306" customFormat="false" ht="15" hidden="false" customHeight="false" outlineLevel="0" collapsed="false">
      <c r="A306" s="25"/>
      <c r="B306" s="25"/>
      <c r="C306" s="26"/>
      <c r="D306" s="25"/>
      <c r="E306" s="25"/>
      <c r="F306" s="25"/>
      <c r="G306" s="27"/>
      <c r="H306" s="25"/>
      <c r="I306" s="26"/>
      <c r="J306" s="48"/>
      <c r="K306" s="48"/>
      <c r="L306" s="48"/>
      <c r="M306" s="48"/>
      <c r="N306" s="48"/>
    </row>
    <row r="307" customFormat="false" ht="15" hidden="false" customHeight="false" outlineLevel="0" collapsed="false">
      <c r="A307" s="25"/>
      <c r="B307" s="25"/>
      <c r="C307" s="26"/>
      <c r="D307" s="25"/>
      <c r="E307" s="25"/>
      <c r="F307" s="25"/>
      <c r="G307" s="27"/>
      <c r="H307" s="25"/>
      <c r="I307" s="26"/>
      <c r="J307" s="48"/>
      <c r="K307" s="48"/>
      <c r="L307" s="48"/>
      <c r="M307" s="48"/>
      <c r="N307" s="48"/>
    </row>
    <row r="308" customFormat="false" ht="15" hidden="false" customHeight="false" outlineLevel="0" collapsed="false">
      <c r="A308" s="25"/>
      <c r="B308" s="25"/>
      <c r="C308" s="26"/>
      <c r="D308" s="25"/>
      <c r="E308" s="25"/>
      <c r="F308" s="25"/>
      <c r="G308" s="27"/>
      <c r="H308" s="25"/>
      <c r="I308" s="26"/>
      <c r="J308" s="48"/>
      <c r="K308" s="48"/>
      <c r="L308" s="48"/>
      <c r="M308" s="48"/>
      <c r="N308" s="48"/>
    </row>
    <row r="309" customFormat="false" ht="15" hidden="false" customHeight="false" outlineLevel="0" collapsed="false">
      <c r="A309" s="25"/>
      <c r="B309" s="25"/>
      <c r="C309" s="26"/>
      <c r="D309" s="25"/>
      <c r="E309" s="25"/>
      <c r="F309" s="25"/>
      <c r="G309" s="27"/>
      <c r="H309" s="25"/>
      <c r="I309" s="26"/>
      <c r="J309" s="48"/>
      <c r="K309" s="48"/>
      <c r="L309" s="48"/>
      <c r="M309" s="48"/>
      <c r="N309" s="48"/>
    </row>
    <row r="310" customFormat="false" ht="15" hidden="false" customHeight="false" outlineLevel="0" collapsed="false">
      <c r="A310" s="25"/>
      <c r="B310" s="25"/>
      <c r="C310" s="26"/>
      <c r="D310" s="25"/>
      <c r="E310" s="25"/>
      <c r="F310" s="25"/>
      <c r="G310" s="27"/>
      <c r="H310" s="25"/>
      <c r="I310" s="26"/>
      <c r="J310" s="48"/>
      <c r="K310" s="48"/>
      <c r="L310" s="48"/>
      <c r="M310" s="48"/>
      <c r="N310" s="48"/>
    </row>
    <row r="311" customFormat="false" ht="15" hidden="false" customHeight="false" outlineLevel="0" collapsed="false">
      <c r="A311" s="25"/>
      <c r="B311" s="25"/>
      <c r="C311" s="26"/>
      <c r="D311" s="25"/>
      <c r="E311" s="25"/>
      <c r="F311" s="25"/>
      <c r="G311" s="27"/>
      <c r="H311" s="25"/>
      <c r="I311" s="26"/>
      <c r="J311" s="48"/>
      <c r="K311" s="48"/>
      <c r="L311" s="48"/>
      <c r="M311" s="48"/>
      <c r="N311" s="48"/>
    </row>
    <row r="312" customFormat="false" ht="15" hidden="false" customHeight="false" outlineLevel="0" collapsed="false">
      <c r="A312" s="25"/>
      <c r="B312" s="25"/>
      <c r="C312" s="26"/>
      <c r="D312" s="25"/>
      <c r="E312" s="25"/>
      <c r="F312" s="25"/>
      <c r="G312" s="27"/>
      <c r="H312" s="25"/>
      <c r="I312" s="26"/>
      <c r="J312" s="48"/>
      <c r="K312" s="48"/>
      <c r="L312" s="48"/>
      <c r="M312" s="48"/>
      <c r="N312" s="48"/>
    </row>
    <row r="313" customFormat="false" ht="15" hidden="false" customHeight="false" outlineLevel="0" collapsed="false">
      <c r="A313" s="25"/>
      <c r="B313" s="25"/>
      <c r="C313" s="26"/>
      <c r="D313" s="25"/>
      <c r="E313" s="25"/>
      <c r="F313" s="25"/>
      <c r="G313" s="27"/>
      <c r="H313" s="25"/>
      <c r="I313" s="26"/>
      <c r="J313" s="48"/>
      <c r="K313" s="48"/>
      <c r="L313" s="48"/>
      <c r="M313" s="48"/>
      <c r="N313" s="48"/>
    </row>
    <row r="314" customFormat="false" ht="15" hidden="false" customHeight="false" outlineLevel="0" collapsed="false">
      <c r="A314" s="25"/>
      <c r="B314" s="25"/>
      <c r="C314" s="26"/>
      <c r="D314" s="25"/>
      <c r="E314" s="25"/>
      <c r="F314" s="25"/>
      <c r="G314" s="27"/>
      <c r="H314" s="25"/>
      <c r="I314" s="26"/>
      <c r="J314" s="48"/>
      <c r="K314" s="48"/>
      <c r="L314" s="48"/>
      <c r="M314" s="48"/>
      <c r="N314" s="48"/>
    </row>
    <row r="315" customFormat="false" ht="15" hidden="false" customHeight="false" outlineLevel="0" collapsed="false">
      <c r="A315" s="25"/>
      <c r="B315" s="25"/>
      <c r="C315" s="26"/>
      <c r="D315" s="25"/>
      <c r="E315" s="25"/>
      <c r="F315" s="25"/>
      <c r="G315" s="27"/>
      <c r="H315" s="25"/>
      <c r="I315" s="26"/>
      <c r="J315" s="48"/>
      <c r="K315" s="48"/>
      <c r="L315" s="48"/>
      <c r="M315" s="48"/>
      <c r="N315" s="48"/>
    </row>
    <row r="316" customFormat="false" ht="15" hidden="false" customHeight="false" outlineLevel="0" collapsed="false">
      <c r="A316" s="25"/>
      <c r="B316" s="25"/>
      <c r="C316" s="26"/>
      <c r="D316" s="25"/>
      <c r="E316" s="25"/>
      <c r="F316" s="25"/>
      <c r="G316" s="27"/>
      <c r="H316" s="25"/>
      <c r="I316" s="26"/>
      <c r="J316" s="48"/>
      <c r="K316" s="48"/>
      <c r="L316" s="48"/>
      <c r="M316" s="48"/>
      <c r="N316" s="48"/>
    </row>
    <row r="317" customFormat="false" ht="15" hidden="false" customHeight="false" outlineLevel="0" collapsed="false">
      <c r="A317" s="25"/>
      <c r="B317" s="25"/>
      <c r="C317" s="26"/>
      <c r="D317" s="25"/>
      <c r="E317" s="25"/>
      <c r="F317" s="25"/>
      <c r="G317" s="27"/>
      <c r="H317" s="25"/>
      <c r="I317" s="26"/>
      <c r="J317" s="48"/>
      <c r="K317" s="48"/>
      <c r="L317" s="48"/>
      <c r="M317" s="48"/>
      <c r="N317" s="48"/>
    </row>
    <row r="318" customFormat="false" ht="15" hidden="false" customHeight="false" outlineLevel="0" collapsed="false">
      <c r="A318" s="25"/>
      <c r="B318" s="25"/>
      <c r="C318" s="26"/>
      <c r="D318" s="25"/>
      <c r="E318" s="25"/>
      <c r="F318" s="25"/>
      <c r="G318" s="27"/>
      <c r="H318" s="25"/>
      <c r="I318" s="26"/>
      <c r="J318" s="48"/>
      <c r="K318" s="48"/>
      <c r="L318" s="48"/>
      <c r="M318" s="48"/>
      <c r="N318" s="48"/>
    </row>
    <row r="319" customFormat="false" ht="15" hidden="false" customHeight="false" outlineLevel="0" collapsed="false">
      <c r="A319" s="25"/>
      <c r="B319" s="25"/>
      <c r="C319" s="26"/>
      <c r="D319" s="25"/>
      <c r="E319" s="25"/>
      <c r="F319" s="25"/>
      <c r="G319" s="27"/>
      <c r="H319" s="25"/>
      <c r="I319" s="26"/>
      <c r="J319" s="48"/>
      <c r="K319" s="48"/>
      <c r="L319" s="48"/>
      <c r="M319" s="48"/>
      <c r="N319" s="48"/>
    </row>
    <row r="320" customFormat="false" ht="15" hidden="false" customHeight="false" outlineLevel="0" collapsed="false">
      <c r="A320" s="25"/>
      <c r="B320" s="25"/>
      <c r="C320" s="26"/>
      <c r="D320" s="25"/>
      <c r="E320" s="25"/>
      <c r="F320" s="25"/>
      <c r="G320" s="27"/>
      <c r="H320" s="25"/>
      <c r="I320" s="26"/>
      <c r="J320" s="48"/>
      <c r="K320" s="48"/>
      <c r="L320" s="48"/>
      <c r="M320" s="48"/>
      <c r="N320" s="48"/>
    </row>
    <row r="321" customFormat="false" ht="15" hidden="false" customHeight="false" outlineLevel="0" collapsed="false">
      <c r="A321" s="25"/>
      <c r="B321" s="25"/>
      <c r="C321" s="26"/>
      <c r="D321" s="25"/>
      <c r="E321" s="25"/>
      <c r="F321" s="25"/>
      <c r="G321" s="27"/>
      <c r="H321" s="25"/>
      <c r="I321" s="26"/>
      <c r="J321" s="48"/>
      <c r="K321" s="48"/>
      <c r="L321" s="48"/>
      <c r="M321" s="48"/>
      <c r="N321" s="48"/>
    </row>
    <row r="322" customFormat="false" ht="15" hidden="false" customHeight="false" outlineLevel="0" collapsed="false">
      <c r="A322" s="25"/>
      <c r="B322" s="25"/>
      <c r="C322" s="26"/>
      <c r="D322" s="25"/>
      <c r="E322" s="25"/>
      <c r="F322" s="25"/>
      <c r="G322" s="27"/>
      <c r="H322" s="25"/>
      <c r="I322" s="26"/>
      <c r="J322" s="48"/>
      <c r="K322" s="48"/>
      <c r="L322" s="48"/>
      <c r="M322" s="48"/>
      <c r="N322" s="48"/>
    </row>
    <row r="323" customFormat="false" ht="15" hidden="false" customHeight="false" outlineLevel="0" collapsed="false">
      <c r="A323" s="25"/>
      <c r="B323" s="25"/>
      <c r="C323" s="26"/>
      <c r="D323" s="25"/>
      <c r="E323" s="25"/>
      <c r="F323" s="25"/>
      <c r="G323" s="27"/>
      <c r="H323" s="25"/>
      <c r="I323" s="26"/>
      <c r="J323" s="48"/>
      <c r="K323" s="48"/>
      <c r="L323" s="48"/>
      <c r="M323" s="48"/>
      <c r="N323" s="48"/>
    </row>
    <row r="324" customFormat="false" ht="15" hidden="false" customHeight="false" outlineLevel="0" collapsed="false">
      <c r="A324" s="25"/>
      <c r="B324" s="25"/>
      <c r="C324" s="26"/>
      <c r="D324" s="25"/>
      <c r="E324" s="25"/>
      <c r="F324" s="25"/>
      <c r="G324" s="27"/>
      <c r="H324" s="25"/>
      <c r="I324" s="26"/>
      <c r="J324" s="48"/>
      <c r="K324" s="48"/>
      <c r="L324" s="48"/>
      <c r="M324" s="48"/>
      <c r="N324" s="48"/>
    </row>
    <row r="325" customFormat="false" ht="15" hidden="false" customHeight="false" outlineLevel="0" collapsed="false">
      <c r="A325" s="25"/>
      <c r="B325" s="25"/>
      <c r="C325" s="26"/>
      <c r="D325" s="25"/>
      <c r="E325" s="25"/>
      <c r="F325" s="25"/>
      <c r="G325" s="27"/>
      <c r="H325" s="25"/>
      <c r="I325" s="26"/>
      <c r="J325" s="48"/>
      <c r="K325" s="48"/>
      <c r="L325" s="48"/>
      <c r="M325" s="48"/>
      <c r="N325" s="48"/>
    </row>
    <row r="326" customFormat="false" ht="15" hidden="false" customHeight="false" outlineLevel="0" collapsed="false">
      <c r="A326" s="25"/>
      <c r="B326" s="25"/>
      <c r="C326" s="26"/>
      <c r="D326" s="25"/>
      <c r="E326" s="25"/>
      <c r="F326" s="25"/>
      <c r="G326" s="27"/>
      <c r="H326" s="25"/>
      <c r="I326" s="26"/>
      <c r="J326" s="48"/>
      <c r="K326" s="48"/>
      <c r="L326" s="48"/>
      <c r="M326" s="48"/>
      <c r="N326" s="48"/>
    </row>
    <row r="327" customFormat="false" ht="15" hidden="false" customHeight="false" outlineLevel="0" collapsed="false">
      <c r="A327" s="25"/>
      <c r="B327" s="25"/>
      <c r="C327" s="26"/>
      <c r="D327" s="25"/>
      <c r="E327" s="25"/>
      <c r="F327" s="25"/>
      <c r="G327" s="27"/>
      <c r="H327" s="25"/>
      <c r="I327" s="26"/>
      <c r="J327" s="48"/>
      <c r="K327" s="48"/>
      <c r="L327" s="48"/>
      <c r="M327" s="48"/>
      <c r="N327" s="48"/>
    </row>
    <row r="328" customFormat="false" ht="15" hidden="false" customHeight="false" outlineLevel="0" collapsed="false">
      <c r="A328" s="25"/>
      <c r="B328" s="25"/>
      <c r="C328" s="26"/>
      <c r="D328" s="25"/>
      <c r="E328" s="25"/>
      <c r="F328" s="25"/>
      <c r="G328" s="27"/>
      <c r="H328" s="25"/>
      <c r="I328" s="26"/>
      <c r="J328" s="48"/>
      <c r="K328" s="48"/>
      <c r="L328" s="48"/>
      <c r="M328" s="48"/>
      <c r="N328" s="48"/>
    </row>
    <row r="329" customFormat="false" ht="15" hidden="false" customHeight="false" outlineLevel="0" collapsed="false">
      <c r="A329" s="25"/>
      <c r="B329" s="25"/>
      <c r="C329" s="26"/>
      <c r="D329" s="25"/>
      <c r="E329" s="25"/>
      <c r="F329" s="25"/>
      <c r="G329" s="27"/>
      <c r="H329" s="25"/>
      <c r="I329" s="26"/>
      <c r="J329" s="48"/>
      <c r="K329" s="48"/>
      <c r="L329" s="48"/>
      <c r="M329" s="48"/>
      <c r="N329" s="48"/>
    </row>
    <row r="330" customFormat="false" ht="15" hidden="false" customHeight="false" outlineLevel="0" collapsed="false">
      <c r="A330" s="25"/>
      <c r="B330" s="25"/>
      <c r="C330" s="26"/>
      <c r="D330" s="25"/>
      <c r="E330" s="25"/>
      <c r="F330" s="25"/>
      <c r="G330" s="27"/>
      <c r="H330" s="25"/>
      <c r="I330" s="26"/>
      <c r="J330" s="48"/>
      <c r="K330" s="48"/>
      <c r="L330" s="48"/>
      <c r="M330" s="48"/>
      <c r="N330" s="48"/>
    </row>
    <row r="331" customFormat="false" ht="15" hidden="false" customHeight="false" outlineLevel="0" collapsed="false">
      <c r="A331" s="25"/>
      <c r="B331" s="25"/>
      <c r="C331" s="26"/>
      <c r="D331" s="25"/>
      <c r="E331" s="25"/>
      <c r="F331" s="25"/>
      <c r="G331" s="27"/>
      <c r="H331" s="25"/>
      <c r="I331" s="26"/>
      <c r="J331" s="48"/>
      <c r="K331" s="48"/>
      <c r="L331" s="48"/>
      <c r="M331" s="48"/>
      <c r="N331" s="48"/>
    </row>
    <row r="332" customFormat="false" ht="15" hidden="false" customHeight="false" outlineLevel="0" collapsed="false">
      <c r="A332" s="25"/>
      <c r="B332" s="25"/>
      <c r="C332" s="26"/>
      <c r="D332" s="25"/>
      <c r="E332" s="25"/>
      <c r="F332" s="25"/>
      <c r="G332" s="27"/>
      <c r="H332" s="25"/>
      <c r="I332" s="26"/>
      <c r="J332" s="48"/>
      <c r="K332" s="48"/>
      <c r="L332" s="48"/>
      <c r="M332" s="48"/>
      <c r="N332" s="48"/>
    </row>
    <row r="333" customFormat="false" ht="15" hidden="false" customHeight="false" outlineLevel="0" collapsed="false">
      <c r="A333" s="25"/>
      <c r="B333" s="25"/>
      <c r="C333" s="26"/>
      <c r="D333" s="25"/>
      <c r="E333" s="25"/>
      <c r="F333" s="25"/>
      <c r="G333" s="27"/>
      <c r="H333" s="25"/>
      <c r="I333" s="26"/>
      <c r="J333" s="48"/>
      <c r="K333" s="48"/>
      <c r="L333" s="48"/>
      <c r="M333" s="48"/>
      <c r="N333" s="48"/>
    </row>
    <row r="334" customFormat="false" ht="15" hidden="false" customHeight="false" outlineLevel="0" collapsed="false">
      <c r="A334" s="25"/>
      <c r="B334" s="25"/>
      <c r="C334" s="26"/>
      <c r="D334" s="25"/>
      <c r="E334" s="25"/>
      <c r="F334" s="25"/>
      <c r="G334" s="27"/>
      <c r="H334" s="25"/>
      <c r="I334" s="26"/>
      <c r="J334" s="48"/>
      <c r="K334" s="48"/>
      <c r="L334" s="48"/>
      <c r="M334" s="48"/>
      <c r="N334" s="48"/>
    </row>
    <row r="335" customFormat="false" ht="15" hidden="false" customHeight="false" outlineLevel="0" collapsed="false">
      <c r="A335" s="25"/>
      <c r="B335" s="25"/>
      <c r="C335" s="26"/>
      <c r="D335" s="25"/>
      <c r="E335" s="25"/>
      <c r="F335" s="25"/>
      <c r="G335" s="27"/>
      <c r="H335" s="25"/>
      <c r="I335" s="26"/>
      <c r="J335" s="48" t="str">
        <f aca="false">IF($N335="","",IF(AND($N335=Consulta!$C$3,$G335&lt;&gt;"",$G335&gt;=Consulta!$C$4,$G335&lt;=Consulta!$C$5),COUNTIFS($N$6:$N335,Consulta!$C$3,$G$6:$G335,"&gt;="&amp;Consulta!$C$4,$G$6:$G335,"&lt;="&amp;Consulta!$C$5),""))</f>
        <v/>
      </c>
      <c r="K335" s="48" t="str">
        <f aca="false">IF($C335="","",IF(AND($C335=Consulta!$L$3,$G335&lt;&gt;"",$G335&gt;=Consulta!$L$4,$G335&lt;=Consulta!$L$5),COUNTIFS($C$6:$C335,Consulta!$L$3,$G$6:$G335,"&gt;="&amp;Consulta!$L$4,$G$6:$G335,"&lt;="&amp;Consulta!$L$5),""))</f>
        <v/>
      </c>
      <c r="L335" s="48" t="str">
        <f aca="false">IF($D335="","",IF($D335=Consulta!$S$3,COUNTIF($D$6:$D335,Consulta!$S$3),""))</f>
        <v/>
      </c>
      <c r="M335" s="48" t="str">
        <f aca="false">IF($N335="","",IF(AND($N335='Comprovante DEV'!$D$6,$G335='Comprovante DEV'!$D$7),COUNTIFS($N$6:$N335,'Comprovante DEV'!$D$6,$G$6:$G335,'Comprovante DEV'!$D$7),""))</f>
        <v/>
      </c>
      <c r="N335" s="48" t="str">
        <f aca="false">IF($F335="","",IFERROR(VLOOKUP($F335,Apelidos_Tecnico!$A:$B,2,0),$F335))</f>
        <v/>
      </c>
    </row>
    <row r="336" customFormat="false" ht="15" hidden="false" customHeight="false" outlineLevel="0" collapsed="false">
      <c r="A336" s="25"/>
      <c r="B336" s="25"/>
      <c r="C336" s="26"/>
      <c r="D336" s="25"/>
      <c r="E336" s="25"/>
      <c r="F336" s="25"/>
      <c r="G336" s="27"/>
      <c r="H336" s="25"/>
      <c r="I336" s="26"/>
      <c r="J336" s="48" t="str">
        <f aca="false">IF($N336="","",IF(AND($N336=Consulta!$C$3,$G336&lt;&gt;"",$G336&gt;=Consulta!$C$4,$G336&lt;=Consulta!$C$5),COUNTIFS($N$6:$N336,Consulta!$C$3,$G$6:$G336,"&gt;="&amp;Consulta!$C$4,$G$6:$G336,"&lt;="&amp;Consulta!$C$5),""))</f>
        <v/>
      </c>
      <c r="K336" s="48" t="str">
        <f aca="false">IF($C336="","",IF(AND($C336=Consulta!$L$3,$G336&lt;&gt;"",$G336&gt;=Consulta!$L$4,$G336&lt;=Consulta!$L$5),COUNTIFS($C$6:$C336,Consulta!$L$3,$G$6:$G336,"&gt;="&amp;Consulta!$L$4,$G$6:$G336,"&lt;="&amp;Consulta!$L$5),""))</f>
        <v/>
      </c>
      <c r="L336" s="48" t="str">
        <f aca="false">IF($D336="","",IF($D336=Consulta!$S$3,COUNTIF($D$6:$D336,Consulta!$S$3),""))</f>
        <v/>
      </c>
      <c r="M336" s="48" t="str">
        <f aca="false">IF($N336="","",IF(AND($N336='Comprovante DEV'!$D$6,$G336='Comprovante DEV'!$D$7),COUNTIFS($N$6:$N336,'Comprovante DEV'!$D$6,$G$6:$G336,'Comprovante DEV'!$D$7),""))</f>
        <v/>
      </c>
      <c r="N336" s="48" t="str">
        <f aca="false">IF($F336="","",IFERROR(VLOOKUP($F336,Apelidos_Tecnico!$A:$B,2,0),$F336))</f>
        <v/>
      </c>
    </row>
    <row r="337" customFormat="false" ht="15" hidden="false" customHeight="false" outlineLevel="0" collapsed="false">
      <c r="A337" s="25"/>
      <c r="B337" s="25"/>
      <c r="C337" s="26"/>
      <c r="D337" s="25"/>
      <c r="E337" s="25"/>
      <c r="F337" s="25"/>
      <c r="G337" s="27"/>
      <c r="H337" s="25"/>
      <c r="I337" s="26"/>
      <c r="J337" s="48" t="str">
        <f aca="false">IF($N337="","",IF(AND($N337=Consulta!$C$3,$G337&lt;&gt;"",$G337&gt;=Consulta!$C$4,$G337&lt;=Consulta!$C$5),COUNTIFS($N$6:$N337,Consulta!$C$3,$G$6:$G337,"&gt;="&amp;Consulta!$C$4,$G$6:$G337,"&lt;="&amp;Consulta!$C$5),""))</f>
        <v/>
      </c>
      <c r="K337" s="48" t="str">
        <f aca="false">IF($C337="","",IF(AND($C337=Consulta!$L$3,$G337&lt;&gt;"",$G337&gt;=Consulta!$L$4,$G337&lt;=Consulta!$L$5),COUNTIFS($C$6:$C337,Consulta!$L$3,$G$6:$G337,"&gt;="&amp;Consulta!$L$4,$G$6:$G337,"&lt;="&amp;Consulta!$L$5),""))</f>
        <v/>
      </c>
      <c r="L337" s="48" t="str">
        <f aca="false">IF($D337="","",IF($D337=Consulta!$S$3,COUNTIF($D$6:$D337,Consulta!$S$3),""))</f>
        <v/>
      </c>
      <c r="M337" s="48" t="str">
        <f aca="false">IF($N337="","",IF(AND($N337='Comprovante DEV'!$D$6,$G337='Comprovante DEV'!$D$7),COUNTIFS($N$6:$N337,'Comprovante DEV'!$D$6,$G$6:$G337,'Comprovante DEV'!$D$7),""))</f>
        <v/>
      </c>
      <c r="N337" s="48" t="str">
        <f aca="false">IF($F337="","",IFERROR(VLOOKUP($F337,Apelidos_Tecnico!$A:$B,2,0),$F337))</f>
        <v/>
      </c>
    </row>
    <row r="338" customFormat="false" ht="15" hidden="false" customHeight="false" outlineLevel="0" collapsed="false">
      <c r="A338" s="25"/>
      <c r="B338" s="25"/>
      <c r="C338" s="26"/>
      <c r="D338" s="25"/>
      <c r="E338" s="25"/>
      <c r="F338" s="25"/>
      <c r="G338" s="27"/>
      <c r="H338" s="25"/>
      <c r="I338" s="26"/>
      <c r="J338" s="48" t="str">
        <f aca="false">IF($N338="","",IF(AND($N338=Consulta!$C$3,$G338&lt;&gt;"",$G338&gt;=Consulta!$C$4,$G338&lt;=Consulta!$C$5),COUNTIFS($N$6:$N338,Consulta!$C$3,$G$6:$G338,"&gt;="&amp;Consulta!$C$4,$G$6:$G338,"&lt;="&amp;Consulta!$C$5),""))</f>
        <v/>
      </c>
      <c r="K338" s="48" t="str">
        <f aca="false">IF($C338="","",IF(AND($C338=Consulta!$L$3,$G338&lt;&gt;"",$G338&gt;=Consulta!$L$4,$G338&lt;=Consulta!$L$5),COUNTIFS($C$6:$C338,Consulta!$L$3,$G$6:$G338,"&gt;="&amp;Consulta!$L$4,$G$6:$G338,"&lt;="&amp;Consulta!$L$5),""))</f>
        <v/>
      </c>
      <c r="L338" s="48" t="str">
        <f aca="false">IF($D338="","",IF($D338=Consulta!$S$3,COUNTIF($D$6:$D338,Consulta!$S$3),""))</f>
        <v/>
      </c>
      <c r="M338" s="48" t="str">
        <f aca="false">IF($N338="","",IF(AND($N338='Comprovante DEV'!$D$6,$G338='Comprovante DEV'!$D$7),COUNTIFS($N$6:$N338,'Comprovante DEV'!$D$6,$G$6:$G338,'Comprovante DEV'!$D$7),""))</f>
        <v/>
      </c>
      <c r="N338" s="48" t="str">
        <f aca="false">IF($F338="","",IFERROR(VLOOKUP($F338,Apelidos_Tecnico!$A:$B,2,0),$F338))</f>
        <v/>
      </c>
    </row>
    <row r="339" customFormat="false" ht="15" hidden="false" customHeight="false" outlineLevel="0" collapsed="false">
      <c r="A339" s="25"/>
      <c r="B339" s="25"/>
      <c r="C339" s="26"/>
      <c r="D339" s="25"/>
      <c r="E339" s="25"/>
      <c r="F339" s="25"/>
      <c r="G339" s="27"/>
      <c r="H339" s="25"/>
      <c r="I339" s="26"/>
      <c r="J339" s="48" t="str">
        <f aca="false">IF($N339="","",IF(AND($N339=Consulta!$C$3,$G339&lt;&gt;"",$G339&gt;=Consulta!$C$4,$G339&lt;=Consulta!$C$5),COUNTIFS($N$6:$N339,Consulta!$C$3,$G$6:$G339,"&gt;="&amp;Consulta!$C$4,$G$6:$G339,"&lt;="&amp;Consulta!$C$5),""))</f>
        <v/>
      </c>
      <c r="K339" s="48" t="str">
        <f aca="false">IF($C339="","",IF(AND($C339=Consulta!$L$3,$G339&lt;&gt;"",$G339&gt;=Consulta!$L$4,$G339&lt;=Consulta!$L$5),COUNTIFS($C$6:$C339,Consulta!$L$3,$G$6:$G339,"&gt;="&amp;Consulta!$L$4,$G$6:$G339,"&lt;="&amp;Consulta!$L$5),""))</f>
        <v/>
      </c>
      <c r="L339" s="48" t="str">
        <f aca="false">IF($D339="","",IF($D339=Consulta!$S$3,COUNTIF($D$6:$D339,Consulta!$S$3),""))</f>
        <v/>
      </c>
      <c r="M339" s="48" t="str">
        <f aca="false">IF($N339="","",IF(AND($N339='Comprovante DEV'!$D$6,$G339='Comprovante DEV'!$D$7),COUNTIFS($N$6:$N339,'Comprovante DEV'!$D$6,$G$6:$G339,'Comprovante DEV'!$D$7),""))</f>
        <v/>
      </c>
      <c r="N339" s="48" t="str">
        <f aca="false">IF($F339="","",IFERROR(VLOOKUP($F339,Apelidos_Tecnico!$A:$B,2,0),$F339))</f>
        <v/>
      </c>
    </row>
    <row r="340" customFormat="false" ht="15" hidden="false" customHeight="false" outlineLevel="0" collapsed="false">
      <c r="A340" s="25"/>
      <c r="B340" s="25"/>
      <c r="C340" s="26"/>
      <c r="D340" s="25"/>
      <c r="E340" s="25"/>
      <c r="F340" s="25"/>
      <c r="G340" s="27"/>
      <c r="H340" s="25"/>
      <c r="I340" s="26"/>
      <c r="J340" s="48" t="str">
        <f aca="false">IF($N340="","",IF(AND($N340=Consulta!$C$3,$G340&lt;&gt;"",$G340&gt;=Consulta!$C$4,$G340&lt;=Consulta!$C$5),COUNTIFS($N$6:$N340,Consulta!$C$3,$G$6:$G340,"&gt;="&amp;Consulta!$C$4,$G$6:$G340,"&lt;="&amp;Consulta!$C$5),""))</f>
        <v/>
      </c>
      <c r="K340" s="48" t="str">
        <f aca="false">IF($C340="","",IF(AND($C340=Consulta!$L$3,$G340&lt;&gt;"",$G340&gt;=Consulta!$L$4,$G340&lt;=Consulta!$L$5),COUNTIFS($C$6:$C340,Consulta!$L$3,$G$6:$G340,"&gt;="&amp;Consulta!$L$4,$G$6:$G340,"&lt;="&amp;Consulta!$L$5),""))</f>
        <v/>
      </c>
      <c r="L340" s="48" t="str">
        <f aca="false">IF($D340="","",IF($D340=Consulta!$S$3,COUNTIF($D$6:$D340,Consulta!$S$3),""))</f>
        <v/>
      </c>
      <c r="M340" s="48" t="str">
        <f aca="false">IF($N340="","",IF(AND($N340='Comprovante DEV'!$D$6,$G340='Comprovante DEV'!$D$7),COUNTIFS($N$6:$N340,'Comprovante DEV'!$D$6,$G$6:$G340,'Comprovante DEV'!$D$7),""))</f>
        <v/>
      </c>
      <c r="N340" s="48" t="str">
        <f aca="false">IF($F340="","",IFERROR(VLOOKUP($F340,Apelidos_Tecnico!$A:$B,2,0),$F340))</f>
        <v/>
      </c>
    </row>
    <row r="341" customFormat="false" ht="15" hidden="false" customHeight="false" outlineLevel="0" collapsed="false">
      <c r="A341" s="25"/>
      <c r="B341" s="25"/>
      <c r="C341" s="26"/>
      <c r="D341" s="25"/>
      <c r="E341" s="25"/>
      <c r="F341" s="25"/>
      <c r="G341" s="27"/>
      <c r="H341" s="25"/>
      <c r="I341" s="26"/>
      <c r="J341" s="48" t="str">
        <f aca="false">IF($N341="","",IF(AND($N341=Consulta!$C$3,$G341&lt;&gt;"",$G341&gt;=Consulta!$C$4,$G341&lt;=Consulta!$C$5),COUNTIFS($N$6:$N341,Consulta!$C$3,$G$6:$G341,"&gt;="&amp;Consulta!$C$4,$G$6:$G341,"&lt;="&amp;Consulta!$C$5),""))</f>
        <v/>
      </c>
      <c r="K341" s="48" t="str">
        <f aca="false">IF($C341="","",IF(AND($C341=Consulta!$L$3,$G341&lt;&gt;"",$G341&gt;=Consulta!$L$4,$G341&lt;=Consulta!$L$5),COUNTIFS($C$6:$C341,Consulta!$L$3,$G$6:$G341,"&gt;="&amp;Consulta!$L$4,$G$6:$G341,"&lt;="&amp;Consulta!$L$5),""))</f>
        <v/>
      </c>
      <c r="L341" s="48" t="str">
        <f aca="false">IF($D341="","",IF($D341=Consulta!$S$3,COUNTIF($D$6:$D341,Consulta!$S$3),""))</f>
        <v/>
      </c>
      <c r="M341" s="48" t="str">
        <f aca="false">IF($N341="","",IF(AND($N341='Comprovante DEV'!$D$6,$G341='Comprovante DEV'!$D$7),COUNTIFS($N$6:$N341,'Comprovante DEV'!$D$6,$G$6:$G341,'Comprovante DEV'!$D$7),""))</f>
        <v/>
      </c>
      <c r="N341" s="48" t="str">
        <f aca="false">IF($F341="","",IFERROR(VLOOKUP($F341,Apelidos_Tecnico!$A:$B,2,0),$F341))</f>
        <v/>
      </c>
    </row>
    <row r="342" customFormat="false" ht="15" hidden="false" customHeight="false" outlineLevel="0" collapsed="false">
      <c r="A342" s="25"/>
      <c r="B342" s="25"/>
      <c r="C342" s="26"/>
      <c r="D342" s="25"/>
      <c r="E342" s="25"/>
      <c r="F342" s="25"/>
      <c r="G342" s="27"/>
      <c r="H342" s="25"/>
      <c r="I342" s="26"/>
      <c r="J342" s="48" t="str">
        <f aca="false">IF($N342="","",IF(AND($N342=Consulta!$C$3,$G342&lt;&gt;"",$G342&gt;=Consulta!$C$4,$G342&lt;=Consulta!$C$5),COUNTIFS($N$6:$N342,Consulta!$C$3,$G$6:$G342,"&gt;="&amp;Consulta!$C$4,$G$6:$G342,"&lt;="&amp;Consulta!$C$5),""))</f>
        <v/>
      </c>
      <c r="K342" s="48" t="str">
        <f aca="false">IF($C342="","",IF(AND($C342=Consulta!$L$3,$G342&lt;&gt;"",$G342&gt;=Consulta!$L$4,$G342&lt;=Consulta!$L$5),COUNTIFS($C$6:$C342,Consulta!$L$3,$G$6:$G342,"&gt;="&amp;Consulta!$L$4,$G$6:$G342,"&lt;="&amp;Consulta!$L$5),""))</f>
        <v/>
      </c>
      <c r="L342" s="48" t="str">
        <f aca="false">IF($D342="","",IF($D342=Consulta!$S$3,COUNTIF($D$6:$D342,Consulta!$S$3),""))</f>
        <v/>
      </c>
      <c r="M342" s="48" t="str">
        <f aca="false">IF($N342="","",IF(AND($N342='Comprovante DEV'!$D$6,$G342='Comprovante DEV'!$D$7),COUNTIFS($N$6:$N342,'Comprovante DEV'!$D$6,$G$6:$G342,'Comprovante DEV'!$D$7),""))</f>
        <v/>
      </c>
      <c r="N342" s="48" t="str">
        <f aca="false">IF($F342="","",IFERROR(VLOOKUP($F342,Apelidos_Tecnico!$A:$B,2,0),$F342))</f>
        <v/>
      </c>
    </row>
    <row r="343" customFormat="false" ht="15" hidden="false" customHeight="false" outlineLevel="0" collapsed="false">
      <c r="A343" s="25"/>
      <c r="B343" s="25"/>
      <c r="C343" s="26"/>
      <c r="D343" s="25"/>
      <c r="E343" s="25"/>
      <c r="F343" s="25"/>
      <c r="G343" s="27"/>
      <c r="H343" s="25"/>
      <c r="I343" s="26"/>
      <c r="J343" s="48" t="str">
        <f aca="false">IF($N343="","",IF(AND($N343=Consulta!$C$3,$G343&lt;&gt;"",$G343&gt;=Consulta!$C$4,$G343&lt;=Consulta!$C$5),COUNTIFS($N$6:$N343,Consulta!$C$3,$G$6:$G343,"&gt;="&amp;Consulta!$C$4,$G$6:$G343,"&lt;="&amp;Consulta!$C$5),""))</f>
        <v/>
      </c>
      <c r="K343" s="48" t="str">
        <f aca="false">IF($C343="","",IF(AND($C343=Consulta!$L$3,$G343&lt;&gt;"",$G343&gt;=Consulta!$L$4,$G343&lt;=Consulta!$L$5),COUNTIFS($C$6:$C343,Consulta!$L$3,$G$6:$G343,"&gt;="&amp;Consulta!$L$4,$G$6:$G343,"&lt;="&amp;Consulta!$L$5),""))</f>
        <v/>
      </c>
      <c r="L343" s="48" t="str">
        <f aca="false">IF($D343="","",IF($D343=Consulta!$S$3,COUNTIF($D$6:$D343,Consulta!$S$3),""))</f>
        <v/>
      </c>
      <c r="M343" s="48" t="str">
        <f aca="false">IF($N343="","",IF(AND($N343='Comprovante DEV'!$D$6,$G343='Comprovante DEV'!$D$7),COUNTIFS($N$6:$N343,'Comprovante DEV'!$D$6,$G$6:$G343,'Comprovante DEV'!$D$7),""))</f>
        <v/>
      </c>
      <c r="N343" s="48" t="str">
        <f aca="false">IF($F343="","",IFERROR(VLOOKUP($F343,Apelidos_Tecnico!$A:$B,2,0),$F343))</f>
        <v/>
      </c>
    </row>
    <row r="344" customFormat="false" ht="15" hidden="false" customHeight="false" outlineLevel="0" collapsed="false">
      <c r="A344" s="25"/>
      <c r="B344" s="25"/>
      <c r="C344" s="26"/>
      <c r="D344" s="25"/>
      <c r="E344" s="25"/>
      <c r="F344" s="25"/>
      <c r="G344" s="27"/>
      <c r="H344" s="25"/>
      <c r="I344" s="26"/>
      <c r="J344" s="48" t="str">
        <f aca="false">IF($N344="","",IF(AND($N344=Consulta!$C$3,$G344&lt;&gt;"",$G344&gt;=Consulta!$C$4,$G344&lt;=Consulta!$C$5),COUNTIFS($N$6:$N344,Consulta!$C$3,$G$6:$G344,"&gt;="&amp;Consulta!$C$4,$G$6:$G344,"&lt;="&amp;Consulta!$C$5),""))</f>
        <v/>
      </c>
      <c r="K344" s="48" t="str">
        <f aca="false">IF($C344="","",IF(AND($C344=Consulta!$L$3,$G344&lt;&gt;"",$G344&gt;=Consulta!$L$4,$G344&lt;=Consulta!$L$5),COUNTIFS($C$6:$C344,Consulta!$L$3,$G$6:$G344,"&gt;="&amp;Consulta!$L$4,$G$6:$G344,"&lt;="&amp;Consulta!$L$5),""))</f>
        <v/>
      </c>
      <c r="L344" s="48" t="str">
        <f aca="false">IF($D344="","",IF($D344=Consulta!$S$3,COUNTIF($D$6:$D344,Consulta!$S$3),""))</f>
        <v/>
      </c>
      <c r="M344" s="48" t="str">
        <f aca="false">IF($N344="","",IF(AND($N344='Comprovante DEV'!$D$6,$G344='Comprovante DEV'!$D$7),COUNTIFS($N$6:$N344,'Comprovante DEV'!$D$6,$G$6:$G344,'Comprovante DEV'!$D$7),""))</f>
        <v/>
      </c>
      <c r="N344" s="48" t="str">
        <f aca="false">IF($F344="","",IFERROR(VLOOKUP($F344,Apelidos_Tecnico!$A:$B,2,0),$F344))</f>
        <v/>
      </c>
    </row>
    <row r="345" customFormat="false" ht="15" hidden="false" customHeight="false" outlineLevel="0" collapsed="false">
      <c r="A345" s="25"/>
      <c r="B345" s="25"/>
      <c r="C345" s="26"/>
      <c r="D345" s="25"/>
      <c r="E345" s="25"/>
      <c r="F345" s="25"/>
      <c r="G345" s="27"/>
      <c r="H345" s="25"/>
      <c r="I345" s="26"/>
      <c r="J345" s="48" t="str">
        <f aca="false">IF($N345="","",IF(AND($N345=Consulta!$C$3,$G345&lt;&gt;"",$G345&gt;=Consulta!$C$4,$G345&lt;=Consulta!$C$5),COUNTIFS($N$6:$N345,Consulta!$C$3,$G$6:$G345,"&gt;="&amp;Consulta!$C$4,$G$6:$G345,"&lt;="&amp;Consulta!$C$5),""))</f>
        <v/>
      </c>
      <c r="K345" s="48" t="str">
        <f aca="false">IF($C345="","",IF(AND($C345=Consulta!$L$3,$G345&lt;&gt;"",$G345&gt;=Consulta!$L$4,$G345&lt;=Consulta!$L$5),COUNTIFS($C$6:$C345,Consulta!$L$3,$G$6:$G345,"&gt;="&amp;Consulta!$L$4,$G$6:$G345,"&lt;="&amp;Consulta!$L$5),""))</f>
        <v/>
      </c>
      <c r="L345" s="48" t="str">
        <f aca="false">IF($D345="","",IF($D345=Consulta!$S$3,COUNTIF($D$6:$D345,Consulta!$S$3),""))</f>
        <v/>
      </c>
      <c r="M345" s="48" t="str">
        <f aca="false">IF($N345="","",IF(AND($N345='Comprovante DEV'!$D$6,$G345='Comprovante DEV'!$D$7),COUNTIFS($N$6:$N345,'Comprovante DEV'!$D$6,$G$6:$G345,'Comprovante DEV'!$D$7),""))</f>
        <v/>
      </c>
      <c r="N345" s="48" t="str">
        <f aca="false">IF($F345="","",IFERROR(VLOOKUP($F345,Apelidos_Tecnico!$A:$B,2,0),$F345))</f>
        <v/>
      </c>
    </row>
    <row r="346" customFormat="false" ht="15" hidden="false" customHeight="false" outlineLevel="0" collapsed="false">
      <c r="A346" s="25"/>
      <c r="B346" s="25"/>
      <c r="C346" s="26"/>
      <c r="D346" s="25"/>
      <c r="E346" s="25"/>
      <c r="F346" s="25"/>
      <c r="G346" s="27"/>
      <c r="H346" s="25"/>
      <c r="I346" s="26"/>
      <c r="J346" s="48" t="str">
        <f aca="false">IF($N346="","",IF(AND($N346=Consulta!$C$3,$G346&lt;&gt;"",$G346&gt;=Consulta!$C$4,$G346&lt;=Consulta!$C$5),COUNTIFS($N$6:$N346,Consulta!$C$3,$G$6:$G346,"&gt;="&amp;Consulta!$C$4,$G$6:$G346,"&lt;="&amp;Consulta!$C$5),""))</f>
        <v/>
      </c>
      <c r="K346" s="48" t="str">
        <f aca="false">IF($C346="","",IF(AND($C346=Consulta!$L$3,$G346&lt;&gt;"",$G346&gt;=Consulta!$L$4,$G346&lt;=Consulta!$L$5),COUNTIFS($C$6:$C346,Consulta!$L$3,$G$6:$G346,"&gt;="&amp;Consulta!$L$4,$G$6:$G346,"&lt;="&amp;Consulta!$L$5),""))</f>
        <v/>
      </c>
      <c r="L346" s="48" t="str">
        <f aca="false">IF($D346="","",IF($D346=Consulta!$S$3,COUNTIF($D$6:$D346,Consulta!$S$3),""))</f>
        <v/>
      </c>
      <c r="M346" s="48" t="str">
        <f aca="false">IF($N346="","",IF(AND($N346='Comprovante DEV'!$D$6,$G346='Comprovante DEV'!$D$7),COUNTIFS($N$6:$N346,'Comprovante DEV'!$D$6,$G$6:$G346,'Comprovante DEV'!$D$7),""))</f>
        <v/>
      </c>
      <c r="N346" s="48" t="str">
        <f aca="false">IF($F346="","",IFERROR(VLOOKUP($F346,Apelidos_Tecnico!$A:$B,2,0),$F346))</f>
        <v/>
      </c>
    </row>
    <row r="347" customFormat="false" ht="15" hidden="false" customHeight="false" outlineLevel="0" collapsed="false">
      <c r="A347" s="25"/>
      <c r="B347" s="25"/>
      <c r="C347" s="26"/>
      <c r="D347" s="25"/>
      <c r="E347" s="25"/>
      <c r="F347" s="25"/>
      <c r="G347" s="27"/>
      <c r="H347" s="25"/>
      <c r="I347" s="26"/>
      <c r="J347" s="48" t="str">
        <f aca="false">IF($N347="","",IF(AND($N347=Consulta!$C$3,$G347&lt;&gt;"",$G347&gt;=Consulta!$C$4,$G347&lt;=Consulta!$C$5),COUNTIFS($N$6:$N347,Consulta!$C$3,$G$6:$G347,"&gt;="&amp;Consulta!$C$4,$G$6:$G347,"&lt;="&amp;Consulta!$C$5),""))</f>
        <v/>
      </c>
      <c r="K347" s="48" t="str">
        <f aca="false">IF($C347="","",IF(AND($C347=Consulta!$L$3,$G347&lt;&gt;"",$G347&gt;=Consulta!$L$4,$G347&lt;=Consulta!$L$5),COUNTIFS($C$6:$C347,Consulta!$L$3,$G$6:$G347,"&gt;="&amp;Consulta!$L$4,$G$6:$G347,"&lt;="&amp;Consulta!$L$5),""))</f>
        <v/>
      </c>
      <c r="L347" s="48" t="str">
        <f aca="false">IF($D347="","",IF($D347=Consulta!$S$3,COUNTIF($D$6:$D347,Consulta!$S$3),""))</f>
        <v/>
      </c>
      <c r="M347" s="48" t="str">
        <f aca="false">IF($N347="","",IF(AND($N347='Comprovante DEV'!$D$6,$G347='Comprovante DEV'!$D$7),COUNTIFS($N$6:$N347,'Comprovante DEV'!$D$6,$G$6:$G347,'Comprovante DEV'!$D$7),""))</f>
        <v/>
      </c>
      <c r="N347" s="48" t="str">
        <f aca="false">IF($F347="","",IFERROR(VLOOKUP($F347,Apelidos_Tecnico!$A:$B,2,0),$F347))</f>
        <v/>
      </c>
    </row>
    <row r="348" customFormat="false" ht="15" hidden="false" customHeight="false" outlineLevel="0" collapsed="false">
      <c r="A348" s="25"/>
      <c r="B348" s="25"/>
      <c r="C348" s="26"/>
      <c r="D348" s="25"/>
      <c r="E348" s="25"/>
      <c r="F348" s="25"/>
      <c r="G348" s="27"/>
      <c r="H348" s="25"/>
      <c r="I348" s="26"/>
      <c r="J348" s="48" t="str">
        <f aca="false">IF($N348="","",IF(AND($N348=Consulta!$C$3,$G348&lt;&gt;"",$G348&gt;=Consulta!$C$4,$G348&lt;=Consulta!$C$5),COUNTIFS($N$6:$N348,Consulta!$C$3,$G$6:$G348,"&gt;="&amp;Consulta!$C$4,$G$6:$G348,"&lt;="&amp;Consulta!$C$5),""))</f>
        <v/>
      </c>
      <c r="K348" s="48" t="str">
        <f aca="false">IF($C348="","",IF(AND($C348=Consulta!$L$3,$G348&lt;&gt;"",$G348&gt;=Consulta!$L$4,$G348&lt;=Consulta!$L$5),COUNTIFS($C$6:$C348,Consulta!$L$3,$G$6:$G348,"&gt;="&amp;Consulta!$L$4,$G$6:$G348,"&lt;="&amp;Consulta!$L$5),""))</f>
        <v/>
      </c>
      <c r="L348" s="48" t="str">
        <f aca="false">IF($D348="","",IF($D348=Consulta!$S$3,COUNTIF($D$6:$D348,Consulta!$S$3),""))</f>
        <v/>
      </c>
      <c r="M348" s="48" t="str">
        <f aca="false">IF($N348="","",IF(AND($N348='Comprovante DEV'!$D$6,$G348='Comprovante DEV'!$D$7),COUNTIFS($N$6:$N348,'Comprovante DEV'!$D$6,$G$6:$G348,'Comprovante DEV'!$D$7),""))</f>
        <v/>
      </c>
      <c r="N348" s="48" t="str">
        <f aca="false">IF($F348="","",IFERROR(VLOOKUP($F348,Apelidos_Tecnico!$A:$B,2,0),$F348))</f>
        <v/>
      </c>
    </row>
    <row r="349" customFormat="false" ht="15" hidden="false" customHeight="false" outlineLevel="0" collapsed="false">
      <c r="A349" s="25"/>
      <c r="B349" s="25"/>
      <c r="C349" s="26"/>
      <c r="D349" s="25"/>
      <c r="E349" s="25"/>
      <c r="F349" s="25"/>
      <c r="G349" s="27"/>
      <c r="H349" s="25"/>
      <c r="I349" s="26"/>
      <c r="J349" s="48" t="str">
        <f aca="false">IF($N349="","",IF(AND($N349=Consulta!$C$3,$G349&lt;&gt;"",$G349&gt;=Consulta!$C$4,$G349&lt;=Consulta!$C$5),COUNTIFS($N$6:$N349,Consulta!$C$3,$G$6:$G349,"&gt;="&amp;Consulta!$C$4,$G$6:$G349,"&lt;="&amp;Consulta!$C$5),""))</f>
        <v/>
      </c>
      <c r="K349" s="48" t="str">
        <f aca="false">IF($C349="","",IF(AND($C349=Consulta!$L$3,$G349&lt;&gt;"",$G349&gt;=Consulta!$L$4,$G349&lt;=Consulta!$L$5),COUNTIFS($C$6:$C349,Consulta!$L$3,$G$6:$G349,"&gt;="&amp;Consulta!$L$4,$G$6:$G349,"&lt;="&amp;Consulta!$L$5),""))</f>
        <v/>
      </c>
      <c r="L349" s="48" t="str">
        <f aca="false">IF($D349="","",IF($D349=Consulta!$S$3,COUNTIF($D$6:$D349,Consulta!$S$3),""))</f>
        <v/>
      </c>
      <c r="M349" s="48" t="str">
        <f aca="false">IF($N349="","",IF(AND($N349='Comprovante DEV'!$D$6,$G349='Comprovante DEV'!$D$7),COUNTIFS($N$6:$N349,'Comprovante DEV'!$D$6,$G$6:$G349,'Comprovante DEV'!$D$7),""))</f>
        <v/>
      </c>
      <c r="N349" s="48" t="str">
        <f aca="false">IF($F349="","",IFERROR(VLOOKUP($F349,Apelidos_Tecnico!$A:$B,2,0),$F349))</f>
        <v/>
      </c>
    </row>
    <row r="350" customFormat="false" ht="15" hidden="false" customHeight="false" outlineLevel="0" collapsed="false">
      <c r="A350" s="25"/>
      <c r="B350" s="25"/>
      <c r="C350" s="26"/>
      <c r="D350" s="25"/>
      <c r="E350" s="25"/>
      <c r="F350" s="25"/>
      <c r="G350" s="27"/>
      <c r="H350" s="25"/>
      <c r="I350" s="26"/>
      <c r="J350" s="48" t="str">
        <f aca="false">IF($N350="","",IF(AND($N350=Consulta!$C$3,$G350&lt;&gt;"",$G350&gt;=Consulta!$C$4,$G350&lt;=Consulta!$C$5),COUNTIFS($N$6:$N350,Consulta!$C$3,$G$6:$G350,"&gt;="&amp;Consulta!$C$4,$G$6:$G350,"&lt;="&amp;Consulta!$C$5),""))</f>
        <v/>
      </c>
      <c r="K350" s="48" t="str">
        <f aca="false">IF($C350="","",IF(AND($C350=Consulta!$L$3,$G350&lt;&gt;"",$G350&gt;=Consulta!$L$4,$G350&lt;=Consulta!$L$5),COUNTIFS($C$6:$C350,Consulta!$L$3,$G$6:$G350,"&gt;="&amp;Consulta!$L$4,$G$6:$G350,"&lt;="&amp;Consulta!$L$5),""))</f>
        <v/>
      </c>
      <c r="L350" s="48" t="str">
        <f aca="false">IF($D350="","",IF($D350=Consulta!$S$3,COUNTIF($D$6:$D350,Consulta!$S$3),""))</f>
        <v/>
      </c>
      <c r="M350" s="48" t="str">
        <f aca="false">IF($N350="","",IF(AND($N350='Comprovante DEV'!$D$6,$G350='Comprovante DEV'!$D$7),COUNTIFS($N$6:$N350,'Comprovante DEV'!$D$6,$G$6:$G350,'Comprovante DEV'!$D$7),""))</f>
        <v/>
      </c>
      <c r="N350" s="48" t="str">
        <f aca="false">IF($F350="","",IFERROR(VLOOKUP($F350,Apelidos_Tecnico!$A:$B,2,0),$F350))</f>
        <v/>
      </c>
    </row>
    <row r="351" customFormat="false" ht="15" hidden="false" customHeight="false" outlineLevel="0" collapsed="false">
      <c r="A351" s="25"/>
      <c r="B351" s="25"/>
      <c r="C351" s="26"/>
      <c r="D351" s="25"/>
      <c r="E351" s="25"/>
      <c r="F351" s="25"/>
      <c r="G351" s="27"/>
      <c r="H351" s="25"/>
      <c r="I351" s="26"/>
      <c r="J351" s="48" t="str">
        <f aca="false">IF($N351="","",IF(AND($N351=Consulta!$C$3,$G351&lt;&gt;"",$G351&gt;=Consulta!$C$4,$G351&lt;=Consulta!$C$5),COUNTIFS($N$6:$N351,Consulta!$C$3,$G$6:$G351,"&gt;="&amp;Consulta!$C$4,$G$6:$G351,"&lt;="&amp;Consulta!$C$5),""))</f>
        <v/>
      </c>
      <c r="K351" s="48" t="str">
        <f aca="false">IF($C351="","",IF(AND($C351=Consulta!$L$3,$G351&lt;&gt;"",$G351&gt;=Consulta!$L$4,$G351&lt;=Consulta!$L$5),COUNTIFS($C$6:$C351,Consulta!$L$3,$G$6:$G351,"&gt;="&amp;Consulta!$L$4,$G$6:$G351,"&lt;="&amp;Consulta!$L$5),""))</f>
        <v/>
      </c>
      <c r="L351" s="48" t="str">
        <f aca="false">IF($D351="","",IF($D351=Consulta!$S$3,COUNTIF($D$6:$D351,Consulta!$S$3),""))</f>
        <v/>
      </c>
      <c r="M351" s="48" t="str">
        <f aca="false">IF($N351="","",IF(AND($N351='Comprovante DEV'!$D$6,$G351='Comprovante DEV'!$D$7),COUNTIFS($N$6:$N351,'Comprovante DEV'!$D$6,$G$6:$G351,'Comprovante DEV'!$D$7),""))</f>
        <v/>
      </c>
      <c r="N351" s="48" t="str">
        <f aca="false">IF($F351="","",IFERROR(VLOOKUP($F351,Apelidos_Tecnico!$A:$B,2,0),$F351))</f>
        <v/>
      </c>
    </row>
    <row r="352" customFormat="false" ht="15" hidden="false" customHeight="false" outlineLevel="0" collapsed="false">
      <c r="A352" s="25"/>
      <c r="B352" s="25"/>
      <c r="C352" s="26"/>
      <c r="D352" s="25"/>
      <c r="E352" s="25"/>
      <c r="F352" s="25"/>
      <c r="G352" s="27"/>
      <c r="H352" s="25"/>
      <c r="I352" s="26"/>
      <c r="J352" s="48" t="str">
        <f aca="false">IF($N352="","",IF(AND($N352=Consulta!$C$3,$G352&lt;&gt;"",$G352&gt;=Consulta!$C$4,$G352&lt;=Consulta!$C$5),COUNTIFS($N$6:$N352,Consulta!$C$3,$G$6:$G352,"&gt;="&amp;Consulta!$C$4,$G$6:$G352,"&lt;="&amp;Consulta!$C$5),""))</f>
        <v/>
      </c>
      <c r="K352" s="48" t="str">
        <f aca="false">IF($C352="","",IF(AND($C352=Consulta!$L$3,$G352&lt;&gt;"",$G352&gt;=Consulta!$L$4,$G352&lt;=Consulta!$L$5),COUNTIFS($C$6:$C352,Consulta!$L$3,$G$6:$G352,"&gt;="&amp;Consulta!$L$4,$G$6:$G352,"&lt;="&amp;Consulta!$L$5),""))</f>
        <v/>
      </c>
      <c r="L352" s="48" t="str">
        <f aca="false">IF($D352="","",IF($D352=Consulta!$S$3,COUNTIF($D$6:$D352,Consulta!$S$3),""))</f>
        <v/>
      </c>
      <c r="M352" s="48" t="str">
        <f aca="false">IF($N352="","",IF(AND($N352='Comprovante DEV'!$D$6,$G352='Comprovante DEV'!$D$7),COUNTIFS($N$6:$N352,'Comprovante DEV'!$D$6,$G$6:$G352,'Comprovante DEV'!$D$7),""))</f>
        <v/>
      </c>
      <c r="N352" s="48" t="str">
        <f aca="false">IF($F352="","",IFERROR(VLOOKUP($F352,Apelidos_Tecnico!$A:$B,2,0),$F352))</f>
        <v/>
      </c>
    </row>
    <row r="353" customFormat="false" ht="15" hidden="false" customHeight="false" outlineLevel="0" collapsed="false">
      <c r="A353" s="25"/>
      <c r="B353" s="25"/>
      <c r="C353" s="26"/>
      <c r="D353" s="25"/>
      <c r="E353" s="25"/>
      <c r="F353" s="25"/>
      <c r="G353" s="27"/>
      <c r="H353" s="25"/>
      <c r="I353" s="26"/>
      <c r="J353" s="48" t="str">
        <f aca="false">IF($N353="","",IF(AND($N353=Consulta!$C$3,$G353&lt;&gt;"",$G353&gt;=Consulta!$C$4,$G353&lt;=Consulta!$C$5),COUNTIFS($N$6:$N353,Consulta!$C$3,$G$6:$G353,"&gt;="&amp;Consulta!$C$4,$G$6:$G353,"&lt;="&amp;Consulta!$C$5),""))</f>
        <v/>
      </c>
      <c r="K353" s="48" t="str">
        <f aca="false">IF($C353="","",IF(AND($C353=Consulta!$L$3,$G353&lt;&gt;"",$G353&gt;=Consulta!$L$4,$G353&lt;=Consulta!$L$5),COUNTIFS($C$6:$C353,Consulta!$L$3,$G$6:$G353,"&gt;="&amp;Consulta!$L$4,$G$6:$G353,"&lt;="&amp;Consulta!$L$5),""))</f>
        <v/>
      </c>
      <c r="L353" s="48" t="str">
        <f aca="false">IF($D353="","",IF($D353=Consulta!$S$3,COUNTIF($D$6:$D353,Consulta!$S$3),""))</f>
        <v/>
      </c>
      <c r="M353" s="48" t="str">
        <f aca="false">IF($N353="","",IF(AND($N353='Comprovante DEV'!$D$6,$G353='Comprovante DEV'!$D$7),COUNTIFS($N$6:$N353,'Comprovante DEV'!$D$6,$G$6:$G353,'Comprovante DEV'!$D$7),""))</f>
        <v/>
      </c>
      <c r="N353" s="48" t="str">
        <f aca="false">IF($F353="","",IFERROR(VLOOKUP($F353,Apelidos_Tecnico!$A:$B,2,0),$F353))</f>
        <v/>
      </c>
    </row>
    <row r="354" customFormat="false" ht="15" hidden="false" customHeight="false" outlineLevel="0" collapsed="false">
      <c r="A354" s="25"/>
      <c r="B354" s="25"/>
      <c r="C354" s="26"/>
      <c r="D354" s="25"/>
      <c r="E354" s="25"/>
      <c r="F354" s="25"/>
      <c r="G354" s="27"/>
      <c r="H354" s="25"/>
      <c r="I354" s="26"/>
      <c r="J354" s="48" t="str">
        <f aca="false">IF($N354="","",IF(AND($N354=Consulta!$C$3,$G354&lt;&gt;"",$G354&gt;=Consulta!$C$4,$G354&lt;=Consulta!$C$5),COUNTIFS($N$6:$N354,Consulta!$C$3,$G$6:$G354,"&gt;="&amp;Consulta!$C$4,$G$6:$G354,"&lt;="&amp;Consulta!$C$5),""))</f>
        <v/>
      </c>
      <c r="K354" s="48" t="str">
        <f aca="false">IF($C354="","",IF(AND($C354=Consulta!$L$3,$G354&lt;&gt;"",$G354&gt;=Consulta!$L$4,$G354&lt;=Consulta!$L$5),COUNTIFS($C$6:$C354,Consulta!$L$3,$G$6:$G354,"&gt;="&amp;Consulta!$L$4,$G$6:$G354,"&lt;="&amp;Consulta!$L$5),""))</f>
        <v/>
      </c>
      <c r="L354" s="48" t="str">
        <f aca="false">IF($D354="","",IF($D354=Consulta!$S$3,COUNTIF($D$6:$D354,Consulta!$S$3),""))</f>
        <v/>
      </c>
      <c r="M354" s="48" t="str">
        <f aca="false">IF($N354="","",IF(AND($N354='Comprovante DEV'!$D$6,$G354='Comprovante DEV'!$D$7),COUNTIFS($N$6:$N354,'Comprovante DEV'!$D$6,$G$6:$G354,'Comprovante DEV'!$D$7),""))</f>
        <v/>
      </c>
      <c r="N354" s="48" t="str">
        <f aca="false">IF($F354="","",IFERROR(VLOOKUP($F354,Apelidos_Tecnico!$A:$B,2,0),$F354))</f>
        <v/>
      </c>
    </row>
    <row r="355" customFormat="false" ht="15" hidden="false" customHeight="false" outlineLevel="0" collapsed="false">
      <c r="A355" s="25"/>
      <c r="B355" s="25"/>
      <c r="C355" s="26"/>
      <c r="D355" s="25"/>
      <c r="E355" s="25"/>
      <c r="F355" s="25"/>
      <c r="G355" s="27"/>
      <c r="H355" s="25"/>
      <c r="I355" s="26"/>
      <c r="J355" s="48" t="str">
        <f aca="false">IF($N355="","",IF(AND($N355=Consulta!$C$3,$G355&lt;&gt;"",$G355&gt;=Consulta!$C$4,$G355&lt;=Consulta!$C$5),COUNTIFS($N$6:$N355,Consulta!$C$3,$G$6:$G355,"&gt;="&amp;Consulta!$C$4,$G$6:$G355,"&lt;="&amp;Consulta!$C$5),""))</f>
        <v/>
      </c>
      <c r="K355" s="48" t="str">
        <f aca="false">IF($C355="","",IF(AND($C355=Consulta!$L$3,$G355&lt;&gt;"",$G355&gt;=Consulta!$L$4,$G355&lt;=Consulta!$L$5),COUNTIFS($C$6:$C355,Consulta!$L$3,$G$6:$G355,"&gt;="&amp;Consulta!$L$4,$G$6:$G355,"&lt;="&amp;Consulta!$L$5),""))</f>
        <v/>
      </c>
      <c r="L355" s="48" t="str">
        <f aca="false">IF($D355="","",IF($D355=Consulta!$S$3,COUNTIF($D$6:$D355,Consulta!$S$3),""))</f>
        <v/>
      </c>
      <c r="M355" s="48" t="str">
        <f aca="false">IF($N355="","",IF(AND($N355='Comprovante DEV'!$D$6,$G355='Comprovante DEV'!$D$7),COUNTIFS($N$6:$N355,'Comprovante DEV'!$D$6,$G$6:$G355,'Comprovante DEV'!$D$7),""))</f>
        <v/>
      </c>
      <c r="N355" s="48" t="str">
        <f aca="false">IF($F355="","",IFERROR(VLOOKUP($F355,Apelidos_Tecnico!$A:$B,2,0),$F355))</f>
        <v/>
      </c>
    </row>
    <row r="356" customFormat="false" ht="15" hidden="false" customHeight="false" outlineLevel="0" collapsed="false">
      <c r="A356" s="25"/>
      <c r="B356" s="25"/>
      <c r="C356" s="26"/>
      <c r="D356" s="25"/>
      <c r="E356" s="25"/>
      <c r="F356" s="25"/>
      <c r="G356" s="27"/>
      <c r="H356" s="25"/>
      <c r="I356" s="26"/>
      <c r="J356" s="48" t="str">
        <f aca="false">IF($N356="","",IF(AND($N356=Consulta!$C$3,$G356&lt;&gt;"",$G356&gt;=Consulta!$C$4,$G356&lt;=Consulta!$C$5),COUNTIFS($N$6:$N356,Consulta!$C$3,$G$6:$G356,"&gt;="&amp;Consulta!$C$4,$G$6:$G356,"&lt;="&amp;Consulta!$C$5),""))</f>
        <v/>
      </c>
      <c r="K356" s="48" t="str">
        <f aca="false">IF($C356="","",IF(AND($C356=Consulta!$L$3,$G356&lt;&gt;"",$G356&gt;=Consulta!$L$4,$G356&lt;=Consulta!$L$5),COUNTIFS($C$6:$C356,Consulta!$L$3,$G$6:$G356,"&gt;="&amp;Consulta!$L$4,$G$6:$G356,"&lt;="&amp;Consulta!$L$5),""))</f>
        <v/>
      </c>
      <c r="L356" s="48" t="str">
        <f aca="false">IF($D356="","",IF($D356=Consulta!$S$3,COUNTIF($D$6:$D356,Consulta!$S$3),""))</f>
        <v/>
      </c>
      <c r="M356" s="48" t="str">
        <f aca="false">IF($N356="","",IF(AND($N356='Comprovante DEV'!$D$6,$G356='Comprovante DEV'!$D$7),COUNTIFS($N$6:$N356,'Comprovante DEV'!$D$6,$G$6:$G356,'Comprovante DEV'!$D$7),""))</f>
        <v/>
      </c>
      <c r="N356" s="48" t="str">
        <f aca="false">IF($F356="","",IFERROR(VLOOKUP($F356,Apelidos_Tecnico!$A:$B,2,0),$F356))</f>
        <v/>
      </c>
    </row>
    <row r="357" customFormat="false" ht="15" hidden="false" customHeight="false" outlineLevel="0" collapsed="false">
      <c r="A357" s="25"/>
      <c r="B357" s="25"/>
      <c r="C357" s="26"/>
      <c r="D357" s="25"/>
      <c r="E357" s="25"/>
      <c r="F357" s="25"/>
      <c r="G357" s="27"/>
      <c r="H357" s="25"/>
      <c r="I357" s="26"/>
      <c r="J357" s="48" t="str">
        <f aca="false">IF($N357="","",IF(AND($N357=Consulta!$C$3,$G357&lt;&gt;"",$G357&gt;=Consulta!$C$4,$G357&lt;=Consulta!$C$5),COUNTIFS($N$6:$N357,Consulta!$C$3,$G$6:$G357,"&gt;="&amp;Consulta!$C$4,$G$6:$G357,"&lt;="&amp;Consulta!$C$5),""))</f>
        <v/>
      </c>
      <c r="K357" s="48" t="str">
        <f aca="false">IF($C357="","",IF(AND($C357=Consulta!$L$3,$G357&lt;&gt;"",$G357&gt;=Consulta!$L$4,$G357&lt;=Consulta!$L$5),COUNTIFS($C$6:$C357,Consulta!$L$3,$G$6:$G357,"&gt;="&amp;Consulta!$L$4,$G$6:$G357,"&lt;="&amp;Consulta!$L$5),""))</f>
        <v/>
      </c>
      <c r="L357" s="48" t="str">
        <f aca="false">IF($D357="","",IF($D357=Consulta!$S$3,COUNTIF($D$6:$D357,Consulta!$S$3),""))</f>
        <v/>
      </c>
      <c r="M357" s="48" t="str">
        <f aca="false">IF($N357="","",IF(AND($N357='Comprovante DEV'!$D$6,$G357='Comprovante DEV'!$D$7),COUNTIFS($N$6:$N357,'Comprovante DEV'!$D$6,$G$6:$G357,'Comprovante DEV'!$D$7),""))</f>
        <v/>
      </c>
      <c r="N357" s="48" t="str">
        <f aca="false">IF($F357="","",IFERROR(VLOOKUP($F357,Apelidos_Tecnico!$A:$B,2,0),$F357))</f>
        <v/>
      </c>
    </row>
    <row r="358" customFormat="false" ht="15" hidden="false" customHeight="false" outlineLevel="0" collapsed="false">
      <c r="A358" s="25"/>
      <c r="B358" s="25"/>
      <c r="C358" s="26"/>
      <c r="D358" s="25"/>
      <c r="E358" s="25"/>
      <c r="F358" s="25"/>
      <c r="G358" s="27"/>
      <c r="H358" s="25"/>
      <c r="I358" s="26"/>
      <c r="J358" s="48" t="str">
        <f aca="false">IF($N358="","",IF(AND($N358=Consulta!$C$3,$G358&lt;&gt;"",$G358&gt;=Consulta!$C$4,$G358&lt;=Consulta!$C$5),COUNTIFS($N$6:$N358,Consulta!$C$3,$G$6:$G358,"&gt;="&amp;Consulta!$C$4,$G$6:$G358,"&lt;="&amp;Consulta!$C$5),""))</f>
        <v/>
      </c>
      <c r="K358" s="48" t="str">
        <f aca="false">IF($C358="","",IF(AND($C358=Consulta!$L$3,$G358&lt;&gt;"",$G358&gt;=Consulta!$L$4,$G358&lt;=Consulta!$L$5),COUNTIFS($C$6:$C358,Consulta!$L$3,$G$6:$G358,"&gt;="&amp;Consulta!$L$4,$G$6:$G358,"&lt;="&amp;Consulta!$L$5),""))</f>
        <v/>
      </c>
      <c r="L358" s="48" t="str">
        <f aca="false">IF($D358="","",IF($D358=Consulta!$S$3,COUNTIF($D$6:$D358,Consulta!$S$3),""))</f>
        <v/>
      </c>
      <c r="M358" s="48" t="str">
        <f aca="false">IF($N358="","",IF(AND($N358='Comprovante DEV'!$D$6,$G358='Comprovante DEV'!$D$7),COUNTIFS($N$6:$N358,'Comprovante DEV'!$D$6,$G$6:$G358,'Comprovante DEV'!$D$7),""))</f>
        <v/>
      </c>
      <c r="N358" s="48" t="str">
        <f aca="false">IF($F358="","",IFERROR(VLOOKUP($F358,Apelidos_Tecnico!$A:$B,2,0),$F358))</f>
        <v/>
      </c>
    </row>
    <row r="359" customFormat="false" ht="15" hidden="false" customHeight="false" outlineLevel="0" collapsed="false">
      <c r="A359" s="25"/>
      <c r="B359" s="25"/>
      <c r="C359" s="26"/>
      <c r="D359" s="25"/>
      <c r="E359" s="25"/>
      <c r="F359" s="25"/>
      <c r="G359" s="27"/>
      <c r="H359" s="25"/>
      <c r="I359" s="26"/>
      <c r="J359" s="48" t="str">
        <f aca="false">IF($N359="","",IF(AND($N359=Consulta!$C$3,$G359&lt;&gt;"",$G359&gt;=Consulta!$C$4,$G359&lt;=Consulta!$C$5),COUNTIFS($N$6:$N359,Consulta!$C$3,$G$6:$G359,"&gt;="&amp;Consulta!$C$4,$G$6:$G359,"&lt;="&amp;Consulta!$C$5),""))</f>
        <v/>
      </c>
      <c r="K359" s="48" t="str">
        <f aca="false">IF($C359="","",IF(AND($C359=Consulta!$L$3,$G359&lt;&gt;"",$G359&gt;=Consulta!$L$4,$G359&lt;=Consulta!$L$5),COUNTIFS($C$6:$C359,Consulta!$L$3,$G$6:$G359,"&gt;="&amp;Consulta!$L$4,$G$6:$G359,"&lt;="&amp;Consulta!$L$5),""))</f>
        <v/>
      </c>
      <c r="L359" s="48" t="str">
        <f aca="false">IF($D359="","",IF($D359=Consulta!$S$3,COUNTIF($D$6:$D359,Consulta!$S$3),""))</f>
        <v/>
      </c>
      <c r="M359" s="48" t="str">
        <f aca="false">IF($N359="","",IF(AND($N359='Comprovante DEV'!$D$6,$G359='Comprovante DEV'!$D$7),COUNTIFS($N$6:$N359,'Comprovante DEV'!$D$6,$G$6:$G359,'Comprovante DEV'!$D$7),""))</f>
        <v/>
      </c>
      <c r="N359" s="48" t="str">
        <f aca="false">IF($F359="","",IFERROR(VLOOKUP($F359,Apelidos_Tecnico!$A:$B,2,0),$F359))</f>
        <v/>
      </c>
    </row>
    <row r="360" customFormat="false" ht="15" hidden="false" customHeight="false" outlineLevel="0" collapsed="false">
      <c r="A360" s="25"/>
      <c r="B360" s="25"/>
      <c r="C360" s="26"/>
      <c r="D360" s="25"/>
      <c r="E360" s="25"/>
      <c r="F360" s="25"/>
      <c r="G360" s="27"/>
      <c r="H360" s="25"/>
      <c r="I360" s="26"/>
      <c r="J360" s="48" t="str">
        <f aca="false">IF($N360="","",IF(AND($N360=Consulta!$C$3,$G360&lt;&gt;"",$G360&gt;=Consulta!$C$4,$G360&lt;=Consulta!$C$5),COUNTIFS($N$6:$N360,Consulta!$C$3,$G$6:$G360,"&gt;="&amp;Consulta!$C$4,$G$6:$G360,"&lt;="&amp;Consulta!$C$5),""))</f>
        <v/>
      </c>
      <c r="K360" s="48" t="str">
        <f aca="false">IF($C360="","",IF(AND($C360=Consulta!$L$3,$G360&lt;&gt;"",$G360&gt;=Consulta!$L$4,$G360&lt;=Consulta!$L$5),COUNTIFS($C$6:$C360,Consulta!$L$3,$G$6:$G360,"&gt;="&amp;Consulta!$L$4,$G$6:$G360,"&lt;="&amp;Consulta!$L$5),""))</f>
        <v/>
      </c>
      <c r="L360" s="48" t="str">
        <f aca="false">IF($D360="","",IF($D360=Consulta!$S$3,COUNTIF($D$6:$D360,Consulta!$S$3),""))</f>
        <v/>
      </c>
      <c r="M360" s="48" t="str">
        <f aca="false">IF($N360="","",IF(AND($N360='Comprovante DEV'!$D$6,$G360='Comprovante DEV'!$D$7),COUNTIFS($N$6:$N360,'Comprovante DEV'!$D$6,$G$6:$G360,'Comprovante DEV'!$D$7),""))</f>
        <v/>
      </c>
      <c r="N360" s="48" t="str">
        <f aca="false">IF($F360="","",IFERROR(VLOOKUP($F360,Apelidos_Tecnico!$A:$B,2,0),$F360))</f>
        <v/>
      </c>
    </row>
    <row r="361" customFormat="false" ht="15" hidden="false" customHeight="false" outlineLevel="0" collapsed="false">
      <c r="A361" s="25"/>
      <c r="B361" s="25"/>
      <c r="C361" s="26"/>
      <c r="D361" s="25"/>
      <c r="E361" s="25"/>
      <c r="F361" s="25"/>
      <c r="G361" s="27"/>
      <c r="H361" s="25"/>
      <c r="I361" s="26"/>
      <c r="J361" s="48" t="str">
        <f aca="false">IF($N361="","",IF(AND($N361=Consulta!$C$3,$G361&lt;&gt;"",$G361&gt;=Consulta!$C$4,$G361&lt;=Consulta!$C$5),COUNTIFS($N$6:$N361,Consulta!$C$3,$G$6:$G361,"&gt;="&amp;Consulta!$C$4,$G$6:$G361,"&lt;="&amp;Consulta!$C$5),""))</f>
        <v/>
      </c>
      <c r="K361" s="48" t="str">
        <f aca="false">IF($C361="","",IF(AND($C361=Consulta!$L$3,$G361&lt;&gt;"",$G361&gt;=Consulta!$L$4,$G361&lt;=Consulta!$L$5),COUNTIFS($C$6:$C361,Consulta!$L$3,$G$6:$G361,"&gt;="&amp;Consulta!$L$4,$G$6:$G361,"&lt;="&amp;Consulta!$L$5),""))</f>
        <v/>
      </c>
      <c r="L361" s="48" t="str">
        <f aca="false">IF($D361="","",IF($D361=Consulta!$S$3,COUNTIF($D$6:$D361,Consulta!$S$3),""))</f>
        <v/>
      </c>
      <c r="M361" s="48" t="str">
        <f aca="false">IF($N361="","",IF(AND($N361='Comprovante DEV'!$D$6,$G361='Comprovante DEV'!$D$7),COUNTIFS($N$6:$N361,'Comprovante DEV'!$D$6,$G$6:$G361,'Comprovante DEV'!$D$7),""))</f>
        <v/>
      </c>
      <c r="N361" s="48" t="str">
        <f aca="false">IF($F361="","",IFERROR(VLOOKUP($F361,Apelidos_Tecnico!$A:$B,2,0),$F361))</f>
        <v/>
      </c>
    </row>
    <row r="362" customFormat="false" ht="15" hidden="false" customHeight="false" outlineLevel="0" collapsed="false">
      <c r="A362" s="25"/>
      <c r="B362" s="25"/>
      <c r="C362" s="26"/>
      <c r="D362" s="25"/>
      <c r="E362" s="25"/>
      <c r="F362" s="25"/>
      <c r="G362" s="27"/>
      <c r="H362" s="25"/>
      <c r="I362" s="26"/>
      <c r="J362" s="48" t="str">
        <f aca="false">IF($N362="","",IF(AND($N362=Consulta!$C$3,$G362&lt;&gt;"",$G362&gt;=Consulta!$C$4,$G362&lt;=Consulta!$C$5),COUNTIFS($N$6:$N362,Consulta!$C$3,$G$6:$G362,"&gt;="&amp;Consulta!$C$4,$G$6:$G362,"&lt;="&amp;Consulta!$C$5),""))</f>
        <v/>
      </c>
      <c r="K362" s="48" t="str">
        <f aca="false">IF($C362="","",IF(AND($C362=Consulta!$L$3,$G362&lt;&gt;"",$G362&gt;=Consulta!$L$4,$G362&lt;=Consulta!$L$5),COUNTIFS($C$6:$C362,Consulta!$L$3,$G$6:$G362,"&gt;="&amp;Consulta!$L$4,$G$6:$G362,"&lt;="&amp;Consulta!$L$5),""))</f>
        <v/>
      </c>
      <c r="L362" s="48" t="str">
        <f aca="false">IF($D362="","",IF($D362=Consulta!$S$3,COUNTIF($D$6:$D362,Consulta!$S$3),""))</f>
        <v/>
      </c>
      <c r="M362" s="48" t="str">
        <f aca="false">IF($N362="","",IF(AND($N362='Comprovante DEV'!$D$6,$G362='Comprovante DEV'!$D$7),COUNTIFS($N$6:$N362,'Comprovante DEV'!$D$6,$G$6:$G362,'Comprovante DEV'!$D$7),""))</f>
        <v/>
      </c>
      <c r="N362" s="48" t="str">
        <f aca="false">IF($F362="","",IFERROR(VLOOKUP($F362,Apelidos_Tecnico!$A:$B,2,0),$F362))</f>
        <v/>
      </c>
    </row>
    <row r="363" customFormat="false" ht="15" hidden="false" customHeight="false" outlineLevel="0" collapsed="false">
      <c r="A363" s="25"/>
      <c r="B363" s="25"/>
      <c r="C363" s="26"/>
      <c r="D363" s="25"/>
      <c r="E363" s="25"/>
      <c r="F363" s="25"/>
      <c r="G363" s="27"/>
      <c r="H363" s="25"/>
      <c r="I363" s="26"/>
      <c r="J363" s="48" t="str">
        <f aca="false">IF($N363="","",IF(AND($N363=Consulta!$C$3,$G363&lt;&gt;"",$G363&gt;=Consulta!$C$4,$G363&lt;=Consulta!$C$5),COUNTIFS($N$6:$N363,Consulta!$C$3,$G$6:$G363,"&gt;="&amp;Consulta!$C$4,$G$6:$G363,"&lt;="&amp;Consulta!$C$5),""))</f>
        <v/>
      </c>
      <c r="K363" s="48" t="str">
        <f aca="false">IF($C363="","",IF(AND($C363=Consulta!$L$3,$G363&lt;&gt;"",$G363&gt;=Consulta!$L$4,$G363&lt;=Consulta!$L$5),COUNTIFS($C$6:$C363,Consulta!$L$3,$G$6:$G363,"&gt;="&amp;Consulta!$L$4,$G$6:$G363,"&lt;="&amp;Consulta!$L$5),""))</f>
        <v/>
      </c>
      <c r="L363" s="48" t="str">
        <f aca="false">IF($D363="","",IF($D363=Consulta!$S$3,COUNTIF($D$6:$D363,Consulta!$S$3),""))</f>
        <v/>
      </c>
      <c r="M363" s="48" t="str">
        <f aca="false">IF($N363="","",IF(AND($N363='Comprovante DEV'!$D$6,$G363='Comprovante DEV'!$D$7),COUNTIFS($N$6:$N363,'Comprovante DEV'!$D$6,$G$6:$G363,'Comprovante DEV'!$D$7),""))</f>
        <v/>
      </c>
      <c r="N363" s="48" t="str">
        <f aca="false">IF($F363="","",IFERROR(VLOOKUP($F363,Apelidos_Tecnico!$A:$B,2,0),$F363))</f>
        <v/>
      </c>
    </row>
    <row r="364" customFormat="false" ht="15" hidden="false" customHeight="false" outlineLevel="0" collapsed="false">
      <c r="A364" s="25"/>
      <c r="B364" s="25"/>
      <c r="C364" s="26"/>
      <c r="D364" s="25"/>
      <c r="E364" s="25"/>
      <c r="F364" s="25"/>
      <c r="G364" s="27"/>
      <c r="H364" s="25"/>
      <c r="I364" s="26"/>
      <c r="J364" s="48" t="str">
        <f aca="false">IF($N364="","",IF(AND($N364=Consulta!$C$3,$G364&lt;&gt;"",$G364&gt;=Consulta!$C$4,$G364&lt;=Consulta!$C$5),COUNTIFS($N$6:$N364,Consulta!$C$3,$G$6:$G364,"&gt;="&amp;Consulta!$C$4,$G$6:$G364,"&lt;="&amp;Consulta!$C$5),""))</f>
        <v/>
      </c>
      <c r="K364" s="48" t="str">
        <f aca="false">IF($C364="","",IF(AND($C364=Consulta!$L$3,$G364&lt;&gt;"",$G364&gt;=Consulta!$L$4,$G364&lt;=Consulta!$L$5),COUNTIFS($C$6:$C364,Consulta!$L$3,$G$6:$G364,"&gt;="&amp;Consulta!$L$4,$G$6:$G364,"&lt;="&amp;Consulta!$L$5),""))</f>
        <v/>
      </c>
      <c r="L364" s="48" t="str">
        <f aca="false">IF($D364="","",IF($D364=Consulta!$S$3,COUNTIF($D$6:$D364,Consulta!$S$3),""))</f>
        <v/>
      </c>
      <c r="M364" s="48" t="str">
        <f aca="false">IF($N364="","",IF(AND($N364='Comprovante DEV'!$D$6,$G364='Comprovante DEV'!$D$7),COUNTIFS($N$6:$N364,'Comprovante DEV'!$D$6,$G$6:$G364,'Comprovante DEV'!$D$7),""))</f>
        <v/>
      </c>
      <c r="N364" s="48" t="str">
        <f aca="false">IF($F364="","",IFERROR(VLOOKUP($F364,Apelidos_Tecnico!$A:$B,2,0),$F364))</f>
        <v/>
      </c>
    </row>
    <row r="365" customFormat="false" ht="15" hidden="false" customHeight="false" outlineLevel="0" collapsed="false">
      <c r="A365" s="25"/>
      <c r="B365" s="25"/>
      <c r="C365" s="26"/>
      <c r="D365" s="25"/>
      <c r="E365" s="25"/>
      <c r="F365" s="25"/>
      <c r="G365" s="27"/>
      <c r="H365" s="25"/>
      <c r="I365" s="26"/>
      <c r="J365" s="48" t="str">
        <f aca="false">IF($N365="","",IF(AND($N365=Consulta!$C$3,$G365&lt;&gt;"",$G365&gt;=Consulta!$C$4,$G365&lt;=Consulta!$C$5),COUNTIFS($N$6:$N365,Consulta!$C$3,$G$6:$G365,"&gt;="&amp;Consulta!$C$4,$G$6:$G365,"&lt;="&amp;Consulta!$C$5),""))</f>
        <v/>
      </c>
      <c r="K365" s="48" t="str">
        <f aca="false">IF($C365="","",IF(AND($C365=Consulta!$L$3,$G365&lt;&gt;"",$G365&gt;=Consulta!$L$4,$G365&lt;=Consulta!$L$5),COUNTIFS($C$6:$C365,Consulta!$L$3,$G$6:$G365,"&gt;="&amp;Consulta!$L$4,$G$6:$G365,"&lt;="&amp;Consulta!$L$5),""))</f>
        <v/>
      </c>
      <c r="L365" s="48" t="str">
        <f aca="false">IF($D365="","",IF($D365=Consulta!$S$3,COUNTIF($D$6:$D365,Consulta!$S$3),""))</f>
        <v/>
      </c>
      <c r="M365" s="48" t="str">
        <f aca="false">IF($N365="","",IF(AND($N365='Comprovante DEV'!$D$6,$G365='Comprovante DEV'!$D$7),COUNTIFS($N$6:$N365,'Comprovante DEV'!$D$6,$G$6:$G365,'Comprovante DEV'!$D$7),""))</f>
        <v/>
      </c>
      <c r="N365" s="48" t="str">
        <f aca="false">IF($F365="","",IFERROR(VLOOKUP($F365,Apelidos_Tecnico!$A:$B,2,0),$F365))</f>
        <v/>
      </c>
    </row>
    <row r="366" customFormat="false" ht="15" hidden="false" customHeight="false" outlineLevel="0" collapsed="false">
      <c r="A366" s="25"/>
      <c r="B366" s="25"/>
      <c r="C366" s="26"/>
      <c r="D366" s="25"/>
      <c r="E366" s="25"/>
      <c r="F366" s="25"/>
      <c r="G366" s="27"/>
      <c r="H366" s="25"/>
      <c r="I366" s="26"/>
      <c r="J366" s="48" t="str">
        <f aca="false">IF($N366="","",IF(AND($N366=Consulta!$C$3,$G366&lt;&gt;"",$G366&gt;=Consulta!$C$4,$G366&lt;=Consulta!$C$5),COUNTIFS($N$6:$N366,Consulta!$C$3,$G$6:$G366,"&gt;="&amp;Consulta!$C$4,$G$6:$G366,"&lt;="&amp;Consulta!$C$5),""))</f>
        <v/>
      </c>
      <c r="K366" s="48" t="str">
        <f aca="false">IF($C366="","",IF(AND($C366=Consulta!$L$3,$G366&lt;&gt;"",$G366&gt;=Consulta!$L$4,$G366&lt;=Consulta!$L$5),COUNTIFS($C$6:$C366,Consulta!$L$3,$G$6:$G366,"&gt;="&amp;Consulta!$L$4,$G$6:$G366,"&lt;="&amp;Consulta!$L$5),""))</f>
        <v/>
      </c>
      <c r="L366" s="48" t="str">
        <f aca="false">IF($D366="","",IF($D366=Consulta!$S$3,COUNTIF($D$6:$D366,Consulta!$S$3),""))</f>
        <v/>
      </c>
      <c r="M366" s="48" t="str">
        <f aca="false">IF($N366="","",IF(AND($N366='Comprovante DEV'!$D$6,$G366='Comprovante DEV'!$D$7),COUNTIFS($N$6:$N366,'Comprovante DEV'!$D$6,$G$6:$G366,'Comprovante DEV'!$D$7),""))</f>
        <v/>
      </c>
      <c r="N366" s="48" t="str">
        <f aca="false">IF($F366="","",IFERROR(VLOOKUP($F366,Apelidos_Tecnico!$A:$B,2,0),$F366))</f>
        <v/>
      </c>
    </row>
    <row r="367" customFormat="false" ht="15" hidden="false" customHeight="false" outlineLevel="0" collapsed="false">
      <c r="A367" s="25"/>
      <c r="B367" s="25"/>
      <c r="C367" s="26"/>
      <c r="D367" s="25"/>
      <c r="E367" s="25"/>
      <c r="F367" s="25"/>
      <c r="G367" s="27"/>
      <c r="H367" s="25"/>
      <c r="I367" s="26"/>
      <c r="J367" s="48" t="str">
        <f aca="false">IF($N367="","",IF(AND($N367=Consulta!$C$3,$G367&lt;&gt;"",$G367&gt;=Consulta!$C$4,$G367&lt;=Consulta!$C$5),COUNTIFS($N$6:$N367,Consulta!$C$3,$G$6:$G367,"&gt;="&amp;Consulta!$C$4,$G$6:$G367,"&lt;="&amp;Consulta!$C$5),""))</f>
        <v/>
      </c>
      <c r="K367" s="48" t="str">
        <f aca="false">IF($C367="","",IF(AND($C367=Consulta!$L$3,$G367&lt;&gt;"",$G367&gt;=Consulta!$L$4,$G367&lt;=Consulta!$L$5),COUNTIFS($C$6:$C367,Consulta!$L$3,$G$6:$G367,"&gt;="&amp;Consulta!$L$4,$G$6:$G367,"&lt;="&amp;Consulta!$L$5),""))</f>
        <v/>
      </c>
      <c r="L367" s="48" t="str">
        <f aca="false">IF($D367="","",IF($D367=Consulta!$S$3,COUNTIF($D$6:$D367,Consulta!$S$3),""))</f>
        <v/>
      </c>
      <c r="M367" s="48" t="str">
        <f aca="false">IF($N367="","",IF(AND($N367='Comprovante DEV'!$D$6,$G367='Comprovante DEV'!$D$7),COUNTIFS($N$6:$N367,'Comprovante DEV'!$D$6,$G$6:$G367,'Comprovante DEV'!$D$7),""))</f>
        <v/>
      </c>
      <c r="N367" s="48" t="str">
        <f aca="false">IF($F367="","",IFERROR(VLOOKUP($F367,Apelidos_Tecnico!$A:$B,2,0),$F367))</f>
        <v/>
      </c>
    </row>
    <row r="368" customFormat="false" ht="15" hidden="false" customHeight="false" outlineLevel="0" collapsed="false">
      <c r="A368" s="25"/>
      <c r="B368" s="25"/>
      <c r="C368" s="26"/>
      <c r="D368" s="25"/>
      <c r="E368" s="25"/>
      <c r="F368" s="25"/>
      <c r="G368" s="27"/>
      <c r="H368" s="25"/>
      <c r="I368" s="26"/>
      <c r="J368" s="48" t="str">
        <f aca="false">IF($N368="","",IF(AND($N368=Consulta!$C$3,$G368&lt;&gt;"",$G368&gt;=Consulta!$C$4,$G368&lt;=Consulta!$C$5),COUNTIFS($N$6:$N368,Consulta!$C$3,$G$6:$G368,"&gt;="&amp;Consulta!$C$4,$G$6:$G368,"&lt;="&amp;Consulta!$C$5),""))</f>
        <v/>
      </c>
      <c r="K368" s="48" t="str">
        <f aca="false">IF($C368="","",IF(AND($C368=Consulta!$L$3,$G368&lt;&gt;"",$G368&gt;=Consulta!$L$4,$G368&lt;=Consulta!$L$5),COUNTIFS($C$6:$C368,Consulta!$L$3,$G$6:$G368,"&gt;="&amp;Consulta!$L$4,$G$6:$G368,"&lt;="&amp;Consulta!$L$5),""))</f>
        <v/>
      </c>
      <c r="L368" s="48" t="str">
        <f aca="false">IF($D368="","",IF($D368=Consulta!$S$3,COUNTIF($D$6:$D368,Consulta!$S$3),""))</f>
        <v/>
      </c>
      <c r="M368" s="48" t="str">
        <f aca="false">IF($N368="","",IF(AND($N368='Comprovante DEV'!$D$6,$G368='Comprovante DEV'!$D$7),COUNTIFS($N$6:$N368,'Comprovante DEV'!$D$6,$G$6:$G368,'Comprovante DEV'!$D$7),""))</f>
        <v/>
      </c>
      <c r="N368" s="48" t="str">
        <f aca="false">IF($F368="","",IFERROR(VLOOKUP($F368,Apelidos_Tecnico!$A:$B,2,0),$F368))</f>
        <v/>
      </c>
    </row>
    <row r="369" customFormat="false" ht="15" hidden="false" customHeight="false" outlineLevel="0" collapsed="false">
      <c r="A369" s="25"/>
      <c r="B369" s="25"/>
      <c r="C369" s="26"/>
      <c r="D369" s="25"/>
      <c r="E369" s="25"/>
      <c r="F369" s="25"/>
      <c r="G369" s="27"/>
      <c r="H369" s="25"/>
      <c r="I369" s="26"/>
      <c r="J369" s="48" t="str">
        <f aca="false">IF($N369="","",IF(AND($N369=Consulta!$C$3,$G369&lt;&gt;"",$G369&gt;=Consulta!$C$4,$G369&lt;=Consulta!$C$5),COUNTIFS($N$6:$N369,Consulta!$C$3,$G$6:$G369,"&gt;="&amp;Consulta!$C$4,$G$6:$G369,"&lt;="&amp;Consulta!$C$5),""))</f>
        <v/>
      </c>
      <c r="K369" s="48" t="str">
        <f aca="false">IF($C369="","",IF(AND($C369=Consulta!$L$3,$G369&lt;&gt;"",$G369&gt;=Consulta!$L$4,$G369&lt;=Consulta!$L$5),COUNTIFS($C$6:$C369,Consulta!$L$3,$G$6:$G369,"&gt;="&amp;Consulta!$L$4,$G$6:$G369,"&lt;="&amp;Consulta!$L$5),""))</f>
        <v/>
      </c>
      <c r="L369" s="48" t="str">
        <f aca="false">IF($D369="","",IF($D369=Consulta!$S$3,COUNTIF($D$6:$D369,Consulta!$S$3),""))</f>
        <v/>
      </c>
      <c r="M369" s="48" t="str">
        <f aca="false">IF($N369="","",IF(AND($N369='Comprovante DEV'!$D$6,$G369='Comprovante DEV'!$D$7),COUNTIFS($N$6:$N369,'Comprovante DEV'!$D$6,$G$6:$G369,'Comprovante DEV'!$D$7),""))</f>
        <v/>
      </c>
      <c r="N369" s="48" t="str">
        <f aca="false">IF($F369="","",IFERROR(VLOOKUP($F369,Apelidos_Tecnico!$A:$B,2,0),$F369))</f>
        <v/>
      </c>
    </row>
    <row r="370" customFormat="false" ht="15" hidden="false" customHeight="false" outlineLevel="0" collapsed="false">
      <c r="A370" s="25"/>
      <c r="B370" s="25"/>
      <c r="C370" s="26"/>
      <c r="D370" s="25"/>
      <c r="E370" s="25"/>
      <c r="F370" s="25"/>
      <c r="G370" s="27"/>
      <c r="H370" s="25"/>
      <c r="I370" s="26"/>
      <c r="J370" s="48" t="str">
        <f aca="false">IF($N370="","",IF(AND($N370=Consulta!$C$3,$G370&lt;&gt;"",$G370&gt;=Consulta!$C$4,$G370&lt;=Consulta!$C$5),COUNTIFS($N$6:$N370,Consulta!$C$3,$G$6:$G370,"&gt;="&amp;Consulta!$C$4,$G$6:$G370,"&lt;="&amp;Consulta!$C$5),""))</f>
        <v/>
      </c>
      <c r="K370" s="48" t="str">
        <f aca="false">IF($C370="","",IF(AND($C370=Consulta!$L$3,$G370&lt;&gt;"",$G370&gt;=Consulta!$L$4,$G370&lt;=Consulta!$L$5),COUNTIFS($C$6:$C370,Consulta!$L$3,$G$6:$G370,"&gt;="&amp;Consulta!$L$4,$G$6:$G370,"&lt;="&amp;Consulta!$L$5),""))</f>
        <v/>
      </c>
      <c r="L370" s="48" t="str">
        <f aca="false">IF($D370="","",IF($D370=Consulta!$S$3,COUNTIF($D$6:$D370,Consulta!$S$3),""))</f>
        <v/>
      </c>
      <c r="M370" s="48" t="str">
        <f aca="false">IF($N370="","",IF(AND($N370='Comprovante DEV'!$D$6,$G370='Comprovante DEV'!$D$7),COUNTIFS($N$6:$N370,'Comprovante DEV'!$D$6,$G$6:$G370,'Comprovante DEV'!$D$7),""))</f>
        <v/>
      </c>
      <c r="N370" s="48" t="str">
        <f aca="false">IF($F370="","",IFERROR(VLOOKUP($F370,Apelidos_Tecnico!$A:$B,2,0),$F370))</f>
        <v/>
      </c>
    </row>
    <row r="371" customFormat="false" ht="15" hidden="false" customHeight="false" outlineLevel="0" collapsed="false">
      <c r="A371" s="25"/>
      <c r="B371" s="25"/>
      <c r="C371" s="26"/>
      <c r="D371" s="25"/>
      <c r="E371" s="25"/>
      <c r="F371" s="25"/>
      <c r="G371" s="27"/>
      <c r="H371" s="25"/>
      <c r="I371" s="26"/>
      <c r="J371" s="48" t="str">
        <f aca="false">IF($N371="","",IF(AND($N371=Consulta!$C$3,$G371&lt;&gt;"",$G371&gt;=Consulta!$C$4,$G371&lt;=Consulta!$C$5),COUNTIFS($N$6:$N371,Consulta!$C$3,$G$6:$G371,"&gt;="&amp;Consulta!$C$4,$G$6:$G371,"&lt;="&amp;Consulta!$C$5),""))</f>
        <v/>
      </c>
      <c r="K371" s="48" t="str">
        <f aca="false">IF($C371="","",IF(AND($C371=Consulta!$L$3,$G371&lt;&gt;"",$G371&gt;=Consulta!$L$4,$G371&lt;=Consulta!$L$5),COUNTIFS($C$6:$C371,Consulta!$L$3,$G$6:$G371,"&gt;="&amp;Consulta!$L$4,$G$6:$G371,"&lt;="&amp;Consulta!$L$5),""))</f>
        <v/>
      </c>
      <c r="L371" s="48" t="str">
        <f aca="false">IF($D371="","",IF($D371=Consulta!$S$3,COUNTIF($D$6:$D371,Consulta!$S$3),""))</f>
        <v/>
      </c>
      <c r="M371" s="48" t="str">
        <f aca="false">IF($N371="","",IF(AND($N371='Comprovante DEV'!$D$6,$G371='Comprovante DEV'!$D$7),COUNTIFS($N$6:$N371,'Comprovante DEV'!$D$6,$G$6:$G371,'Comprovante DEV'!$D$7),""))</f>
        <v/>
      </c>
      <c r="N371" s="48" t="str">
        <f aca="false">IF($F371="","",IFERROR(VLOOKUP($F371,Apelidos_Tecnico!$A:$B,2,0),$F371))</f>
        <v/>
      </c>
    </row>
    <row r="372" customFormat="false" ht="15" hidden="false" customHeight="false" outlineLevel="0" collapsed="false">
      <c r="A372" s="25"/>
      <c r="B372" s="25"/>
      <c r="C372" s="26"/>
      <c r="D372" s="25"/>
      <c r="E372" s="25"/>
      <c r="F372" s="25"/>
      <c r="G372" s="27"/>
      <c r="H372" s="25"/>
      <c r="I372" s="26"/>
      <c r="J372" s="48" t="str">
        <f aca="false">IF($N372="","",IF(AND($N372=Consulta!$C$3,$G372&lt;&gt;"",$G372&gt;=Consulta!$C$4,$G372&lt;=Consulta!$C$5),COUNTIFS($N$6:$N372,Consulta!$C$3,$G$6:$G372,"&gt;="&amp;Consulta!$C$4,$G$6:$G372,"&lt;="&amp;Consulta!$C$5),""))</f>
        <v/>
      </c>
      <c r="K372" s="48" t="str">
        <f aca="false">IF($C372="","",IF(AND($C372=Consulta!$L$3,$G372&lt;&gt;"",$G372&gt;=Consulta!$L$4,$G372&lt;=Consulta!$L$5),COUNTIFS($C$6:$C372,Consulta!$L$3,$G$6:$G372,"&gt;="&amp;Consulta!$L$4,$G$6:$G372,"&lt;="&amp;Consulta!$L$5),""))</f>
        <v/>
      </c>
      <c r="L372" s="48" t="str">
        <f aca="false">IF($D372="","",IF($D372=Consulta!$S$3,COUNTIF($D$6:$D372,Consulta!$S$3),""))</f>
        <v/>
      </c>
      <c r="M372" s="48" t="str">
        <f aca="false">IF($N372="","",IF(AND($N372='Comprovante DEV'!$D$6,$G372='Comprovante DEV'!$D$7),COUNTIFS($N$6:$N372,'Comprovante DEV'!$D$6,$G$6:$G372,'Comprovante DEV'!$D$7),""))</f>
        <v/>
      </c>
      <c r="N372" s="48" t="str">
        <f aca="false">IF($F372="","",IFERROR(VLOOKUP($F372,Apelidos_Tecnico!$A:$B,2,0),$F372))</f>
        <v/>
      </c>
    </row>
    <row r="373" customFormat="false" ht="15" hidden="false" customHeight="false" outlineLevel="0" collapsed="false">
      <c r="A373" s="25"/>
      <c r="B373" s="25"/>
      <c r="C373" s="26"/>
      <c r="D373" s="25"/>
      <c r="E373" s="25"/>
      <c r="F373" s="25"/>
      <c r="G373" s="27"/>
      <c r="H373" s="25"/>
      <c r="I373" s="26"/>
      <c r="J373" s="48" t="str">
        <f aca="false">IF($N373="","",IF(AND($N373=Consulta!$C$3,$G373&lt;&gt;"",$G373&gt;=Consulta!$C$4,$G373&lt;=Consulta!$C$5),COUNTIFS($N$6:$N373,Consulta!$C$3,$G$6:$G373,"&gt;="&amp;Consulta!$C$4,$G$6:$G373,"&lt;="&amp;Consulta!$C$5),""))</f>
        <v/>
      </c>
      <c r="K373" s="48" t="str">
        <f aca="false">IF($C373="","",IF(AND($C373=Consulta!$L$3,$G373&lt;&gt;"",$G373&gt;=Consulta!$L$4,$G373&lt;=Consulta!$L$5),COUNTIFS($C$6:$C373,Consulta!$L$3,$G$6:$G373,"&gt;="&amp;Consulta!$L$4,$G$6:$G373,"&lt;="&amp;Consulta!$L$5),""))</f>
        <v/>
      </c>
      <c r="L373" s="48" t="str">
        <f aca="false">IF($D373="","",IF($D373=Consulta!$S$3,COUNTIF($D$6:$D373,Consulta!$S$3),""))</f>
        <v/>
      </c>
      <c r="M373" s="48" t="str">
        <f aca="false">IF($N373="","",IF(AND($N373='Comprovante DEV'!$D$6,$G373='Comprovante DEV'!$D$7),COUNTIFS($N$6:$N373,'Comprovante DEV'!$D$6,$G$6:$G373,'Comprovante DEV'!$D$7),""))</f>
        <v/>
      </c>
      <c r="N373" s="48" t="str">
        <f aca="false">IF($F373="","",IFERROR(VLOOKUP($F373,Apelidos_Tecnico!$A:$B,2,0),$F373))</f>
        <v/>
      </c>
    </row>
    <row r="374" customFormat="false" ht="15" hidden="false" customHeight="false" outlineLevel="0" collapsed="false">
      <c r="A374" s="25"/>
      <c r="B374" s="25"/>
      <c r="C374" s="26"/>
      <c r="D374" s="25"/>
      <c r="E374" s="25"/>
      <c r="F374" s="25"/>
      <c r="G374" s="27"/>
      <c r="H374" s="25"/>
      <c r="I374" s="26"/>
      <c r="J374" s="48" t="str">
        <f aca="false">IF($N374="","",IF(AND($N374=Consulta!$C$3,$G374&lt;&gt;"",$G374&gt;=Consulta!$C$4,$G374&lt;=Consulta!$C$5),COUNTIFS($N$6:$N374,Consulta!$C$3,$G$6:$G374,"&gt;="&amp;Consulta!$C$4,$G$6:$G374,"&lt;="&amp;Consulta!$C$5),""))</f>
        <v/>
      </c>
      <c r="K374" s="48" t="str">
        <f aca="false">IF($C374="","",IF(AND($C374=Consulta!$L$3,$G374&lt;&gt;"",$G374&gt;=Consulta!$L$4,$G374&lt;=Consulta!$L$5),COUNTIFS($C$6:$C374,Consulta!$L$3,$G$6:$G374,"&gt;="&amp;Consulta!$L$4,$G$6:$G374,"&lt;="&amp;Consulta!$L$5),""))</f>
        <v/>
      </c>
      <c r="L374" s="48" t="str">
        <f aca="false">IF($D374="","",IF($D374=Consulta!$S$3,COUNTIF($D$6:$D374,Consulta!$S$3),""))</f>
        <v/>
      </c>
      <c r="M374" s="48" t="str">
        <f aca="false">IF($N374="","",IF(AND($N374='Comprovante DEV'!$D$6,$G374='Comprovante DEV'!$D$7),COUNTIFS($N$6:$N374,'Comprovante DEV'!$D$6,$G$6:$G374,'Comprovante DEV'!$D$7),""))</f>
        <v/>
      </c>
      <c r="N374" s="48" t="str">
        <f aca="false">IF($F374="","",IFERROR(VLOOKUP($F374,Apelidos_Tecnico!$A:$B,2,0),$F374))</f>
        <v/>
      </c>
    </row>
    <row r="375" customFormat="false" ht="15" hidden="false" customHeight="false" outlineLevel="0" collapsed="false">
      <c r="A375" s="25"/>
      <c r="B375" s="25"/>
      <c r="C375" s="26"/>
      <c r="D375" s="25"/>
      <c r="E375" s="25"/>
      <c r="F375" s="25"/>
      <c r="G375" s="27"/>
      <c r="H375" s="25"/>
      <c r="I375" s="26"/>
      <c r="J375" s="48" t="str">
        <f aca="false">IF($N375="","",IF(AND($N375=Consulta!$C$3,$G375&lt;&gt;"",$G375&gt;=Consulta!$C$4,$G375&lt;=Consulta!$C$5),COUNTIFS($N$6:$N375,Consulta!$C$3,$G$6:$G375,"&gt;="&amp;Consulta!$C$4,$G$6:$G375,"&lt;="&amp;Consulta!$C$5),""))</f>
        <v/>
      </c>
      <c r="K375" s="48" t="str">
        <f aca="false">IF($C375="","",IF(AND($C375=Consulta!$L$3,$G375&lt;&gt;"",$G375&gt;=Consulta!$L$4,$G375&lt;=Consulta!$L$5),COUNTIFS($C$6:$C375,Consulta!$L$3,$G$6:$G375,"&gt;="&amp;Consulta!$L$4,$G$6:$G375,"&lt;="&amp;Consulta!$L$5),""))</f>
        <v/>
      </c>
      <c r="L375" s="48" t="str">
        <f aca="false">IF($D375="","",IF($D375=Consulta!$S$3,COUNTIF($D$6:$D375,Consulta!$S$3),""))</f>
        <v/>
      </c>
      <c r="M375" s="48" t="str">
        <f aca="false">IF($N375="","",IF(AND($N375='Comprovante DEV'!$D$6,$G375='Comprovante DEV'!$D$7),COUNTIFS($N$6:$N375,'Comprovante DEV'!$D$6,$G$6:$G375,'Comprovante DEV'!$D$7),""))</f>
        <v/>
      </c>
      <c r="N375" s="48" t="str">
        <f aca="false">IF($F375="","",IFERROR(VLOOKUP($F375,Apelidos_Tecnico!$A:$B,2,0),$F375))</f>
        <v/>
      </c>
    </row>
    <row r="376" customFormat="false" ht="15" hidden="false" customHeight="false" outlineLevel="0" collapsed="false">
      <c r="A376" s="25"/>
      <c r="B376" s="25"/>
      <c r="C376" s="26"/>
      <c r="D376" s="25"/>
      <c r="E376" s="25"/>
      <c r="F376" s="25"/>
      <c r="G376" s="27"/>
      <c r="H376" s="25"/>
      <c r="I376" s="26"/>
      <c r="J376" s="48" t="str">
        <f aca="false">IF($N376="","",IF(AND($N376=Consulta!$C$3,$G376&lt;&gt;"",$G376&gt;=Consulta!$C$4,$G376&lt;=Consulta!$C$5),COUNTIFS($N$6:$N376,Consulta!$C$3,$G$6:$G376,"&gt;="&amp;Consulta!$C$4,$G$6:$G376,"&lt;="&amp;Consulta!$C$5),""))</f>
        <v/>
      </c>
      <c r="K376" s="48" t="str">
        <f aca="false">IF($C376="","",IF(AND($C376=Consulta!$L$3,$G376&lt;&gt;"",$G376&gt;=Consulta!$L$4,$G376&lt;=Consulta!$L$5),COUNTIFS($C$6:$C376,Consulta!$L$3,$G$6:$G376,"&gt;="&amp;Consulta!$L$4,$G$6:$G376,"&lt;="&amp;Consulta!$L$5),""))</f>
        <v/>
      </c>
      <c r="L376" s="48" t="str">
        <f aca="false">IF($D376="","",IF($D376=Consulta!$S$3,COUNTIF($D$6:$D376,Consulta!$S$3),""))</f>
        <v/>
      </c>
      <c r="M376" s="48" t="str">
        <f aca="false">IF($N376="","",IF(AND($N376='Comprovante DEV'!$D$6,$G376='Comprovante DEV'!$D$7),COUNTIFS($N$6:$N376,'Comprovante DEV'!$D$6,$G$6:$G376,'Comprovante DEV'!$D$7),""))</f>
        <v/>
      </c>
      <c r="N376" s="48" t="str">
        <f aca="false">IF($F376="","",IFERROR(VLOOKUP($F376,Apelidos_Tecnico!$A:$B,2,0),$F376))</f>
        <v/>
      </c>
    </row>
    <row r="377" customFormat="false" ht="15" hidden="false" customHeight="false" outlineLevel="0" collapsed="false">
      <c r="A377" s="25"/>
      <c r="B377" s="25"/>
      <c r="C377" s="26"/>
      <c r="D377" s="25"/>
      <c r="E377" s="25"/>
      <c r="F377" s="25"/>
      <c r="G377" s="27"/>
      <c r="H377" s="25"/>
      <c r="I377" s="26"/>
      <c r="J377" s="48" t="str">
        <f aca="false">IF($N377="","",IF(AND($N377=Consulta!$C$3,$G377&lt;&gt;"",$G377&gt;=Consulta!$C$4,$G377&lt;=Consulta!$C$5),COUNTIFS($N$6:$N377,Consulta!$C$3,$G$6:$G377,"&gt;="&amp;Consulta!$C$4,$G$6:$G377,"&lt;="&amp;Consulta!$C$5),""))</f>
        <v/>
      </c>
      <c r="K377" s="48" t="str">
        <f aca="false">IF($C377="","",IF(AND($C377=Consulta!$L$3,$G377&lt;&gt;"",$G377&gt;=Consulta!$L$4,$G377&lt;=Consulta!$L$5),COUNTIFS($C$6:$C377,Consulta!$L$3,$G$6:$G377,"&gt;="&amp;Consulta!$L$4,$G$6:$G377,"&lt;="&amp;Consulta!$L$5),""))</f>
        <v/>
      </c>
      <c r="L377" s="48" t="str">
        <f aca="false">IF($D377="","",IF($D377=Consulta!$S$3,COUNTIF($D$6:$D377,Consulta!$S$3),""))</f>
        <v/>
      </c>
      <c r="M377" s="48" t="str">
        <f aca="false">IF($N377="","",IF(AND($N377='Comprovante DEV'!$D$6,$G377='Comprovante DEV'!$D$7),COUNTIFS($N$6:$N377,'Comprovante DEV'!$D$6,$G$6:$G377,'Comprovante DEV'!$D$7),""))</f>
        <v/>
      </c>
      <c r="N377" s="48" t="str">
        <f aca="false">IF($F377="","",IFERROR(VLOOKUP($F377,Apelidos_Tecnico!$A:$B,2,0),$F377))</f>
        <v/>
      </c>
    </row>
    <row r="378" customFormat="false" ht="15" hidden="false" customHeight="false" outlineLevel="0" collapsed="false">
      <c r="A378" s="25"/>
      <c r="B378" s="25"/>
      <c r="C378" s="26"/>
      <c r="D378" s="25"/>
      <c r="E378" s="25"/>
      <c r="F378" s="25"/>
      <c r="G378" s="27"/>
      <c r="H378" s="25"/>
      <c r="I378" s="26"/>
      <c r="J378" s="48" t="str">
        <f aca="false">IF($N378="","",IF(AND($N378=Consulta!$C$3,$G378&lt;&gt;"",$G378&gt;=Consulta!$C$4,$G378&lt;=Consulta!$C$5),COUNTIFS($N$6:$N378,Consulta!$C$3,$G$6:$G378,"&gt;="&amp;Consulta!$C$4,$G$6:$G378,"&lt;="&amp;Consulta!$C$5),""))</f>
        <v/>
      </c>
      <c r="K378" s="48" t="str">
        <f aca="false">IF($C378="","",IF(AND($C378=Consulta!$L$3,$G378&lt;&gt;"",$G378&gt;=Consulta!$L$4,$G378&lt;=Consulta!$L$5),COUNTIFS($C$6:$C378,Consulta!$L$3,$G$6:$G378,"&gt;="&amp;Consulta!$L$4,$G$6:$G378,"&lt;="&amp;Consulta!$L$5),""))</f>
        <v/>
      </c>
      <c r="L378" s="48" t="str">
        <f aca="false">IF($D378="","",IF($D378=Consulta!$S$3,COUNTIF($D$6:$D378,Consulta!$S$3),""))</f>
        <v/>
      </c>
      <c r="M378" s="48" t="str">
        <f aca="false">IF($N378="","",IF(AND($N378='Comprovante DEV'!$D$6,$G378='Comprovante DEV'!$D$7),COUNTIFS($N$6:$N378,'Comprovante DEV'!$D$6,$G$6:$G378,'Comprovante DEV'!$D$7),""))</f>
        <v/>
      </c>
      <c r="N378" s="48" t="str">
        <f aca="false">IF($F378="","",IFERROR(VLOOKUP($F378,Apelidos_Tecnico!$A:$B,2,0),$F378))</f>
        <v/>
      </c>
    </row>
    <row r="379" customFormat="false" ht="15" hidden="false" customHeight="false" outlineLevel="0" collapsed="false">
      <c r="A379" s="25"/>
      <c r="B379" s="25"/>
      <c r="C379" s="26"/>
      <c r="D379" s="25"/>
      <c r="E379" s="25"/>
      <c r="F379" s="25"/>
      <c r="G379" s="27"/>
      <c r="H379" s="25"/>
      <c r="I379" s="26"/>
      <c r="J379" s="48" t="str">
        <f aca="false">IF($N379="","",IF(AND($N379=Consulta!$C$3,$G379&lt;&gt;"",$G379&gt;=Consulta!$C$4,$G379&lt;=Consulta!$C$5),COUNTIFS($N$6:$N379,Consulta!$C$3,$G$6:$G379,"&gt;="&amp;Consulta!$C$4,$G$6:$G379,"&lt;="&amp;Consulta!$C$5),""))</f>
        <v/>
      </c>
      <c r="K379" s="48" t="str">
        <f aca="false">IF($C379="","",IF(AND($C379=Consulta!$L$3,$G379&lt;&gt;"",$G379&gt;=Consulta!$L$4,$G379&lt;=Consulta!$L$5),COUNTIFS($C$6:$C379,Consulta!$L$3,$G$6:$G379,"&gt;="&amp;Consulta!$L$4,$G$6:$G379,"&lt;="&amp;Consulta!$L$5),""))</f>
        <v/>
      </c>
      <c r="L379" s="48" t="str">
        <f aca="false">IF($D379="","",IF($D379=Consulta!$S$3,COUNTIF($D$6:$D379,Consulta!$S$3),""))</f>
        <v/>
      </c>
      <c r="M379" s="48" t="str">
        <f aca="false">IF($N379="","",IF(AND($N379='Comprovante DEV'!$D$6,$G379='Comprovante DEV'!$D$7),COUNTIFS($N$6:$N379,'Comprovante DEV'!$D$6,$G$6:$G379,'Comprovante DEV'!$D$7),""))</f>
        <v/>
      </c>
      <c r="N379" s="48" t="str">
        <f aca="false">IF($F379="","",IFERROR(VLOOKUP($F379,Apelidos_Tecnico!$A:$B,2,0),$F379))</f>
        <v/>
      </c>
    </row>
    <row r="380" customFormat="false" ht="15" hidden="false" customHeight="false" outlineLevel="0" collapsed="false">
      <c r="A380" s="25"/>
      <c r="B380" s="25"/>
      <c r="C380" s="26"/>
      <c r="D380" s="25"/>
      <c r="E380" s="25"/>
      <c r="F380" s="25"/>
      <c r="G380" s="27"/>
      <c r="H380" s="25"/>
      <c r="I380" s="26"/>
      <c r="J380" s="48" t="str">
        <f aca="false">IF($N380="","",IF(AND($N380=Consulta!$C$3,$G380&lt;&gt;"",$G380&gt;=Consulta!$C$4,$G380&lt;=Consulta!$C$5),COUNTIFS($N$6:$N380,Consulta!$C$3,$G$6:$G380,"&gt;="&amp;Consulta!$C$4,$G$6:$G380,"&lt;="&amp;Consulta!$C$5),""))</f>
        <v/>
      </c>
      <c r="K380" s="48" t="str">
        <f aca="false">IF($C380="","",IF(AND($C380=Consulta!$L$3,$G380&lt;&gt;"",$G380&gt;=Consulta!$L$4,$G380&lt;=Consulta!$L$5),COUNTIFS($C$6:$C380,Consulta!$L$3,$G$6:$G380,"&gt;="&amp;Consulta!$L$4,$G$6:$G380,"&lt;="&amp;Consulta!$L$5),""))</f>
        <v/>
      </c>
      <c r="L380" s="48" t="str">
        <f aca="false">IF($D380="","",IF($D380=Consulta!$S$3,COUNTIF($D$6:$D380,Consulta!$S$3),""))</f>
        <v/>
      </c>
      <c r="M380" s="48" t="str">
        <f aca="false">IF($N380="","",IF(AND($N380='Comprovante DEV'!$D$6,$G380='Comprovante DEV'!$D$7),COUNTIFS($N$6:$N380,'Comprovante DEV'!$D$6,$G$6:$G380,'Comprovante DEV'!$D$7),""))</f>
        <v/>
      </c>
      <c r="N380" s="48" t="str">
        <f aca="false">IF($F380="","",IFERROR(VLOOKUP($F380,Apelidos_Tecnico!$A:$B,2,0),$F380))</f>
        <v/>
      </c>
    </row>
    <row r="381" customFormat="false" ht="15" hidden="false" customHeight="false" outlineLevel="0" collapsed="false">
      <c r="A381" s="25"/>
      <c r="B381" s="25"/>
      <c r="C381" s="26"/>
      <c r="D381" s="25"/>
      <c r="E381" s="25"/>
      <c r="F381" s="25"/>
      <c r="G381" s="27"/>
      <c r="H381" s="25"/>
      <c r="I381" s="26"/>
      <c r="J381" s="48" t="str">
        <f aca="false">IF($N381="","",IF(AND($N381=Consulta!$C$3,$G381&lt;&gt;"",$G381&gt;=Consulta!$C$4,$G381&lt;=Consulta!$C$5),COUNTIFS($N$6:$N381,Consulta!$C$3,$G$6:$G381,"&gt;="&amp;Consulta!$C$4,$G$6:$G381,"&lt;="&amp;Consulta!$C$5),""))</f>
        <v/>
      </c>
      <c r="K381" s="48" t="str">
        <f aca="false">IF($C381="","",IF(AND($C381=Consulta!$L$3,$G381&lt;&gt;"",$G381&gt;=Consulta!$L$4,$G381&lt;=Consulta!$L$5),COUNTIFS($C$6:$C381,Consulta!$L$3,$G$6:$G381,"&gt;="&amp;Consulta!$L$4,$G$6:$G381,"&lt;="&amp;Consulta!$L$5),""))</f>
        <v/>
      </c>
      <c r="L381" s="48" t="str">
        <f aca="false">IF($D381="","",IF($D381=Consulta!$S$3,COUNTIF($D$6:$D381,Consulta!$S$3),""))</f>
        <v/>
      </c>
      <c r="M381" s="48" t="str">
        <f aca="false">IF($N381="","",IF(AND($N381='Comprovante DEV'!$D$6,$G381='Comprovante DEV'!$D$7),COUNTIFS($N$6:$N381,'Comprovante DEV'!$D$6,$G$6:$G381,'Comprovante DEV'!$D$7),""))</f>
        <v/>
      </c>
      <c r="N381" s="48" t="str">
        <f aca="false">IF($F381="","",IFERROR(VLOOKUP($F381,Apelidos_Tecnico!$A:$B,2,0),$F381))</f>
        <v/>
      </c>
    </row>
    <row r="382" customFormat="false" ht="15" hidden="false" customHeight="false" outlineLevel="0" collapsed="false">
      <c r="A382" s="25"/>
      <c r="B382" s="25"/>
      <c r="C382" s="26"/>
      <c r="D382" s="25"/>
      <c r="E382" s="25"/>
      <c r="F382" s="25"/>
      <c r="G382" s="27"/>
      <c r="H382" s="25"/>
      <c r="I382" s="26"/>
      <c r="J382" s="48" t="str">
        <f aca="false">IF($N382="","",IF(AND($N382=Consulta!$C$3,$G382&lt;&gt;"",$G382&gt;=Consulta!$C$4,$G382&lt;=Consulta!$C$5),COUNTIFS($N$6:$N382,Consulta!$C$3,$G$6:$G382,"&gt;="&amp;Consulta!$C$4,$G$6:$G382,"&lt;="&amp;Consulta!$C$5),""))</f>
        <v/>
      </c>
      <c r="K382" s="48" t="str">
        <f aca="false">IF($C382="","",IF(AND($C382=Consulta!$L$3,$G382&lt;&gt;"",$G382&gt;=Consulta!$L$4,$G382&lt;=Consulta!$L$5),COUNTIFS($C$6:$C382,Consulta!$L$3,$G$6:$G382,"&gt;="&amp;Consulta!$L$4,$G$6:$G382,"&lt;="&amp;Consulta!$L$5),""))</f>
        <v/>
      </c>
      <c r="L382" s="48" t="str">
        <f aca="false">IF($D382="","",IF($D382=Consulta!$S$3,COUNTIF($D$6:$D382,Consulta!$S$3),""))</f>
        <v/>
      </c>
      <c r="M382" s="48" t="str">
        <f aca="false">IF($N382="","",IF(AND($N382='Comprovante DEV'!$D$6,$G382='Comprovante DEV'!$D$7),COUNTIFS($N$6:$N382,'Comprovante DEV'!$D$6,$G$6:$G382,'Comprovante DEV'!$D$7),""))</f>
        <v/>
      </c>
      <c r="N382" s="48" t="str">
        <f aca="false">IF($F382="","",IFERROR(VLOOKUP($F382,Apelidos_Tecnico!$A:$B,2,0),$F382))</f>
        <v/>
      </c>
    </row>
    <row r="383" customFormat="false" ht="15" hidden="false" customHeight="false" outlineLevel="0" collapsed="false">
      <c r="A383" s="25"/>
      <c r="B383" s="25"/>
      <c r="C383" s="26"/>
      <c r="D383" s="25"/>
      <c r="E383" s="25"/>
      <c r="F383" s="25"/>
      <c r="G383" s="27"/>
      <c r="H383" s="25"/>
      <c r="I383" s="26"/>
      <c r="J383" s="48" t="str">
        <f aca="false">IF($N383="","",IF(AND($N383=Consulta!$C$3,$G383&lt;&gt;"",$G383&gt;=Consulta!$C$4,$G383&lt;=Consulta!$C$5),COUNTIFS($N$6:$N383,Consulta!$C$3,$G$6:$G383,"&gt;="&amp;Consulta!$C$4,$G$6:$G383,"&lt;="&amp;Consulta!$C$5),""))</f>
        <v/>
      </c>
      <c r="K383" s="48" t="str">
        <f aca="false">IF($C383="","",IF(AND($C383=Consulta!$L$3,$G383&lt;&gt;"",$G383&gt;=Consulta!$L$4,$G383&lt;=Consulta!$L$5),COUNTIFS($C$6:$C383,Consulta!$L$3,$G$6:$G383,"&gt;="&amp;Consulta!$L$4,$G$6:$G383,"&lt;="&amp;Consulta!$L$5),""))</f>
        <v/>
      </c>
      <c r="L383" s="48" t="str">
        <f aca="false">IF($D383="","",IF($D383=Consulta!$S$3,COUNTIF($D$6:$D383,Consulta!$S$3),""))</f>
        <v/>
      </c>
      <c r="M383" s="48" t="str">
        <f aca="false">IF($N383="","",IF(AND($N383='Comprovante DEV'!$D$6,$G383='Comprovante DEV'!$D$7),COUNTIFS($N$6:$N383,'Comprovante DEV'!$D$6,$G$6:$G383,'Comprovante DEV'!$D$7),""))</f>
        <v/>
      </c>
      <c r="N383" s="48" t="str">
        <f aca="false">IF($F383="","",IFERROR(VLOOKUP($F383,Apelidos_Tecnico!$A:$B,2,0),$F383))</f>
        <v/>
      </c>
    </row>
    <row r="384" customFormat="false" ht="15" hidden="false" customHeight="false" outlineLevel="0" collapsed="false">
      <c r="A384" s="25"/>
      <c r="B384" s="25"/>
      <c r="C384" s="26"/>
      <c r="D384" s="25"/>
      <c r="E384" s="25"/>
      <c r="F384" s="25"/>
      <c r="G384" s="27"/>
      <c r="H384" s="25"/>
      <c r="I384" s="26"/>
      <c r="J384" s="48" t="str">
        <f aca="false">IF($N384="","",IF(AND($N384=Consulta!$C$3,$G384&lt;&gt;"",$G384&gt;=Consulta!$C$4,$G384&lt;=Consulta!$C$5),COUNTIFS($N$6:$N384,Consulta!$C$3,$G$6:$G384,"&gt;="&amp;Consulta!$C$4,$G$6:$G384,"&lt;="&amp;Consulta!$C$5),""))</f>
        <v/>
      </c>
      <c r="K384" s="48" t="str">
        <f aca="false">IF($C384="","",IF(AND($C384=Consulta!$L$3,$G384&lt;&gt;"",$G384&gt;=Consulta!$L$4,$G384&lt;=Consulta!$L$5),COUNTIFS($C$6:$C384,Consulta!$L$3,$G$6:$G384,"&gt;="&amp;Consulta!$L$4,$G$6:$G384,"&lt;="&amp;Consulta!$L$5),""))</f>
        <v/>
      </c>
      <c r="L384" s="48" t="str">
        <f aca="false">IF($D384="","",IF($D384=Consulta!$S$3,COUNTIF($D$6:$D384,Consulta!$S$3),""))</f>
        <v/>
      </c>
      <c r="M384" s="48" t="str">
        <f aca="false">IF($N384="","",IF(AND($N384='Comprovante DEV'!$D$6,$G384='Comprovante DEV'!$D$7),COUNTIFS($N$6:$N384,'Comprovante DEV'!$D$6,$G$6:$G384,'Comprovante DEV'!$D$7),""))</f>
        <v/>
      </c>
      <c r="N384" s="48" t="str">
        <f aca="false">IF($F384="","",IFERROR(VLOOKUP($F384,Apelidos_Tecnico!$A:$B,2,0),$F384))</f>
        <v/>
      </c>
    </row>
    <row r="385" customFormat="false" ht="15" hidden="false" customHeight="false" outlineLevel="0" collapsed="false">
      <c r="A385" s="25"/>
      <c r="B385" s="25"/>
      <c r="C385" s="26"/>
      <c r="D385" s="25"/>
      <c r="E385" s="25"/>
      <c r="F385" s="25"/>
      <c r="G385" s="27"/>
      <c r="H385" s="25"/>
      <c r="I385" s="26"/>
      <c r="J385" s="48" t="str">
        <f aca="false">IF($N385="","",IF(AND($N385=Consulta!$C$3,$G385&lt;&gt;"",$G385&gt;=Consulta!$C$4,$G385&lt;=Consulta!$C$5),COUNTIFS($N$6:$N385,Consulta!$C$3,$G$6:$G385,"&gt;="&amp;Consulta!$C$4,$G$6:$G385,"&lt;="&amp;Consulta!$C$5),""))</f>
        <v/>
      </c>
      <c r="K385" s="48" t="str">
        <f aca="false">IF($C385="","",IF(AND($C385=Consulta!$L$3,$G385&lt;&gt;"",$G385&gt;=Consulta!$L$4,$G385&lt;=Consulta!$L$5),COUNTIFS($C$6:$C385,Consulta!$L$3,$G$6:$G385,"&gt;="&amp;Consulta!$L$4,$G$6:$G385,"&lt;="&amp;Consulta!$L$5),""))</f>
        <v/>
      </c>
      <c r="L385" s="48" t="str">
        <f aca="false">IF($D385="","",IF($D385=Consulta!$S$3,COUNTIF($D$6:$D385,Consulta!$S$3),""))</f>
        <v/>
      </c>
      <c r="M385" s="48" t="str">
        <f aca="false">IF($N385="","",IF(AND($N385='Comprovante DEV'!$D$6,$G385='Comprovante DEV'!$D$7),COUNTIFS($N$6:$N385,'Comprovante DEV'!$D$6,$G$6:$G385,'Comprovante DEV'!$D$7),""))</f>
        <v/>
      </c>
      <c r="N385" s="48" t="str">
        <f aca="false">IF($F385="","",IFERROR(VLOOKUP($F385,Apelidos_Tecnico!$A:$B,2,0),$F385))</f>
        <v/>
      </c>
    </row>
    <row r="386" customFormat="false" ht="15" hidden="false" customHeight="false" outlineLevel="0" collapsed="false">
      <c r="A386" s="25"/>
      <c r="B386" s="25"/>
      <c r="C386" s="26"/>
      <c r="D386" s="25"/>
      <c r="E386" s="25"/>
      <c r="F386" s="25"/>
      <c r="G386" s="27"/>
      <c r="H386" s="25"/>
      <c r="I386" s="26"/>
      <c r="J386" s="48" t="str">
        <f aca="false">IF($N386="","",IF(AND($N386=Consulta!$C$3,$G386&lt;&gt;"",$G386&gt;=Consulta!$C$4,$G386&lt;=Consulta!$C$5),COUNTIFS($N$6:$N386,Consulta!$C$3,$G$6:$G386,"&gt;="&amp;Consulta!$C$4,$G$6:$G386,"&lt;="&amp;Consulta!$C$5),""))</f>
        <v/>
      </c>
      <c r="K386" s="48" t="str">
        <f aca="false">IF($C386="","",IF(AND($C386=Consulta!$L$3,$G386&lt;&gt;"",$G386&gt;=Consulta!$L$4,$G386&lt;=Consulta!$L$5),COUNTIFS($C$6:$C386,Consulta!$L$3,$G$6:$G386,"&gt;="&amp;Consulta!$L$4,$G$6:$G386,"&lt;="&amp;Consulta!$L$5),""))</f>
        <v/>
      </c>
      <c r="L386" s="48" t="str">
        <f aca="false">IF($D386="","",IF($D386=Consulta!$S$3,COUNTIF($D$6:$D386,Consulta!$S$3),""))</f>
        <v/>
      </c>
      <c r="M386" s="48" t="str">
        <f aca="false">IF($N386="","",IF(AND($N386='Comprovante DEV'!$D$6,$G386='Comprovante DEV'!$D$7),COUNTIFS($N$6:$N386,'Comprovante DEV'!$D$6,$G$6:$G386,'Comprovante DEV'!$D$7),""))</f>
        <v/>
      </c>
      <c r="N386" s="48" t="str">
        <f aca="false">IF($F386="","",IFERROR(VLOOKUP($F386,Apelidos_Tecnico!$A:$B,2,0),$F386))</f>
        <v/>
      </c>
    </row>
    <row r="387" customFormat="false" ht="15" hidden="false" customHeight="false" outlineLevel="0" collapsed="false">
      <c r="A387" s="25"/>
      <c r="B387" s="25"/>
      <c r="C387" s="26"/>
      <c r="D387" s="25"/>
      <c r="E387" s="25"/>
      <c r="F387" s="25"/>
      <c r="G387" s="27"/>
      <c r="H387" s="25"/>
      <c r="I387" s="26"/>
      <c r="J387" s="48" t="str">
        <f aca="false">IF($N387="","",IF(AND($N387=Consulta!$C$3,$G387&lt;&gt;"",$G387&gt;=Consulta!$C$4,$G387&lt;=Consulta!$C$5),COUNTIFS($N$6:$N387,Consulta!$C$3,$G$6:$G387,"&gt;="&amp;Consulta!$C$4,$G$6:$G387,"&lt;="&amp;Consulta!$C$5),""))</f>
        <v/>
      </c>
      <c r="K387" s="48" t="str">
        <f aca="false">IF($C387="","",IF(AND($C387=Consulta!$L$3,$G387&lt;&gt;"",$G387&gt;=Consulta!$L$4,$G387&lt;=Consulta!$L$5),COUNTIFS($C$6:$C387,Consulta!$L$3,$G$6:$G387,"&gt;="&amp;Consulta!$L$4,$G$6:$G387,"&lt;="&amp;Consulta!$L$5),""))</f>
        <v/>
      </c>
      <c r="L387" s="48" t="str">
        <f aca="false">IF($D387="","",IF($D387=Consulta!$S$3,COUNTIF($D$6:$D387,Consulta!$S$3),""))</f>
        <v/>
      </c>
      <c r="M387" s="48" t="str">
        <f aca="false">IF($N387="","",IF(AND($N387='Comprovante DEV'!$D$6,$G387='Comprovante DEV'!$D$7),COUNTIFS($N$6:$N387,'Comprovante DEV'!$D$6,$G$6:$G387,'Comprovante DEV'!$D$7),""))</f>
        <v/>
      </c>
      <c r="N387" s="48" t="str">
        <f aca="false">IF($F387="","",IFERROR(VLOOKUP($F387,Apelidos_Tecnico!$A:$B,2,0),$F387))</f>
        <v/>
      </c>
    </row>
    <row r="388" customFormat="false" ht="15" hidden="false" customHeight="false" outlineLevel="0" collapsed="false">
      <c r="A388" s="25"/>
      <c r="B388" s="25"/>
      <c r="C388" s="26"/>
      <c r="D388" s="25"/>
      <c r="E388" s="25"/>
      <c r="F388" s="25"/>
      <c r="G388" s="27"/>
      <c r="H388" s="25"/>
      <c r="I388" s="26"/>
      <c r="J388" s="48" t="str">
        <f aca="false">IF($N388="","",IF(AND($N388=Consulta!$C$3,$G388&lt;&gt;"",$G388&gt;=Consulta!$C$4,$G388&lt;=Consulta!$C$5),COUNTIFS($N$6:$N388,Consulta!$C$3,$G$6:$G388,"&gt;="&amp;Consulta!$C$4,$G$6:$G388,"&lt;="&amp;Consulta!$C$5),""))</f>
        <v/>
      </c>
      <c r="K388" s="48" t="str">
        <f aca="false">IF($C388="","",IF(AND($C388=Consulta!$L$3,$G388&lt;&gt;"",$G388&gt;=Consulta!$L$4,$G388&lt;=Consulta!$L$5),COUNTIFS($C$6:$C388,Consulta!$L$3,$G$6:$G388,"&gt;="&amp;Consulta!$L$4,$G$6:$G388,"&lt;="&amp;Consulta!$L$5),""))</f>
        <v/>
      </c>
      <c r="L388" s="48" t="str">
        <f aca="false">IF($D388="","",IF($D388=Consulta!$S$3,COUNTIF($D$6:$D388,Consulta!$S$3),""))</f>
        <v/>
      </c>
      <c r="M388" s="48" t="str">
        <f aca="false">IF($N388="","",IF(AND($N388='Comprovante DEV'!$D$6,$G388='Comprovante DEV'!$D$7),COUNTIFS($N$6:$N388,'Comprovante DEV'!$D$6,$G$6:$G388,'Comprovante DEV'!$D$7),""))</f>
        <v/>
      </c>
      <c r="N388" s="48" t="str">
        <f aca="false">IF($F388="","",IFERROR(VLOOKUP($F388,Apelidos_Tecnico!$A:$B,2,0),$F388))</f>
        <v/>
      </c>
    </row>
    <row r="389" customFormat="false" ht="15" hidden="false" customHeight="false" outlineLevel="0" collapsed="false">
      <c r="A389" s="25"/>
      <c r="B389" s="25"/>
      <c r="C389" s="26"/>
      <c r="D389" s="25"/>
      <c r="E389" s="25"/>
      <c r="F389" s="25"/>
      <c r="G389" s="27"/>
      <c r="H389" s="25"/>
      <c r="I389" s="26"/>
      <c r="J389" s="48" t="str">
        <f aca="false">IF($N389="","",IF(AND($N389=Consulta!$C$3,$G389&lt;&gt;"",$G389&gt;=Consulta!$C$4,$G389&lt;=Consulta!$C$5),COUNTIFS($N$6:$N389,Consulta!$C$3,$G$6:$G389,"&gt;="&amp;Consulta!$C$4,$G$6:$G389,"&lt;="&amp;Consulta!$C$5),""))</f>
        <v/>
      </c>
      <c r="K389" s="48" t="str">
        <f aca="false">IF($C389="","",IF(AND($C389=Consulta!$L$3,$G389&lt;&gt;"",$G389&gt;=Consulta!$L$4,$G389&lt;=Consulta!$L$5),COUNTIFS($C$6:$C389,Consulta!$L$3,$G$6:$G389,"&gt;="&amp;Consulta!$L$4,$G$6:$G389,"&lt;="&amp;Consulta!$L$5),""))</f>
        <v/>
      </c>
      <c r="L389" s="48" t="str">
        <f aca="false">IF($D389="","",IF($D389=Consulta!$S$3,COUNTIF($D$6:$D389,Consulta!$S$3),""))</f>
        <v/>
      </c>
      <c r="M389" s="48" t="str">
        <f aca="false">IF($N389="","",IF(AND($N389='Comprovante DEV'!$D$6,$G389='Comprovante DEV'!$D$7),COUNTIFS($N$6:$N389,'Comprovante DEV'!$D$6,$G$6:$G389,'Comprovante DEV'!$D$7),""))</f>
        <v/>
      </c>
      <c r="N389" s="48" t="str">
        <f aca="false">IF($F389="","",IFERROR(VLOOKUP($F389,Apelidos_Tecnico!$A:$B,2,0),$F389))</f>
        <v/>
      </c>
    </row>
    <row r="390" customFormat="false" ht="15" hidden="false" customHeight="false" outlineLevel="0" collapsed="false">
      <c r="A390" s="25"/>
      <c r="B390" s="25"/>
      <c r="C390" s="26"/>
      <c r="D390" s="25"/>
      <c r="E390" s="25"/>
      <c r="F390" s="25"/>
      <c r="G390" s="27"/>
      <c r="H390" s="25"/>
      <c r="I390" s="26"/>
      <c r="J390" s="48" t="str">
        <f aca="false">IF($N390="","",IF(AND($N390=Consulta!$C$3,$G390&lt;&gt;"",$G390&gt;=Consulta!$C$4,$G390&lt;=Consulta!$C$5),COUNTIFS($N$6:$N390,Consulta!$C$3,$G$6:$G390,"&gt;="&amp;Consulta!$C$4,$G$6:$G390,"&lt;="&amp;Consulta!$C$5),""))</f>
        <v/>
      </c>
      <c r="K390" s="48" t="str">
        <f aca="false">IF($C390="","",IF(AND($C390=Consulta!$L$3,$G390&lt;&gt;"",$G390&gt;=Consulta!$L$4,$G390&lt;=Consulta!$L$5),COUNTIFS($C$6:$C390,Consulta!$L$3,$G$6:$G390,"&gt;="&amp;Consulta!$L$4,$G$6:$G390,"&lt;="&amp;Consulta!$L$5),""))</f>
        <v/>
      </c>
      <c r="L390" s="48" t="str">
        <f aca="false">IF($D390="","",IF($D390=Consulta!$S$3,COUNTIF($D$6:$D390,Consulta!$S$3),""))</f>
        <v/>
      </c>
      <c r="M390" s="48" t="str">
        <f aca="false">IF($N390="","",IF(AND($N390='Comprovante DEV'!$D$6,$G390='Comprovante DEV'!$D$7),COUNTIFS($N$6:$N390,'Comprovante DEV'!$D$6,$G$6:$G390,'Comprovante DEV'!$D$7),""))</f>
        <v/>
      </c>
      <c r="N390" s="48" t="str">
        <f aca="false">IF($F390="","",IFERROR(VLOOKUP($F390,Apelidos_Tecnico!$A:$B,2,0),$F390))</f>
        <v/>
      </c>
    </row>
    <row r="391" customFormat="false" ht="15" hidden="false" customHeight="false" outlineLevel="0" collapsed="false">
      <c r="A391" s="25"/>
      <c r="B391" s="25"/>
      <c r="C391" s="26"/>
      <c r="D391" s="25"/>
      <c r="E391" s="25"/>
      <c r="F391" s="25"/>
      <c r="G391" s="27"/>
      <c r="H391" s="25"/>
      <c r="I391" s="26"/>
      <c r="J391" s="48" t="str">
        <f aca="false">IF($N391="","",IF(AND($N391=Consulta!$C$3,$G391&lt;&gt;"",$G391&gt;=Consulta!$C$4,$G391&lt;=Consulta!$C$5),COUNTIFS($N$6:$N391,Consulta!$C$3,$G$6:$G391,"&gt;="&amp;Consulta!$C$4,$G$6:$G391,"&lt;="&amp;Consulta!$C$5),""))</f>
        <v/>
      </c>
      <c r="K391" s="48" t="str">
        <f aca="false">IF($C391="","",IF(AND($C391=Consulta!$L$3,$G391&lt;&gt;"",$G391&gt;=Consulta!$L$4,$G391&lt;=Consulta!$L$5),COUNTIFS($C$6:$C391,Consulta!$L$3,$G$6:$G391,"&gt;="&amp;Consulta!$L$4,$G$6:$G391,"&lt;="&amp;Consulta!$L$5),""))</f>
        <v/>
      </c>
      <c r="L391" s="48" t="str">
        <f aca="false">IF($D391="","",IF($D391=Consulta!$S$3,COUNTIF($D$6:$D391,Consulta!$S$3),""))</f>
        <v/>
      </c>
      <c r="M391" s="48" t="str">
        <f aca="false">IF($N391="","",IF(AND($N391='Comprovante DEV'!$D$6,$G391='Comprovante DEV'!$D$7),COUNTIFS($N$6:$N391,'Comprovante DEV'!$D$6,$G$6:$G391,'Comprovante DEV'!$D$7),""))</f>
        <v/>
      </c>
      <c r="N391" s="48" t="str">
        <f aca="false">IF($F391="","",IFERROR(VLOOKUP($F391,Apelidos_Tecnico!$A:$B,2,0),$F391))</f>
        <v/>
      </c>
    </row>
    <row r="392" customFormat="false" ht="15" hidden="false" customHeight="false" outlineLevel="0" collapsed="false">
      <c r="A392" s="25"/>
      <c r="B392" s="25"/>
      <c r="C392" s="26"/>
      <c r="D392" s="25"/>
      <c r="E392" s="25"/>
      <c r="F392" s="25"/>
      <c r="G392" s="27"/>
      <c r="H392" s="25"/>
      <c r="I392" s="26"/>
      <c r="J392" s="48" t="str">
        <f aca="false">IF($N392="","",IF(AND($N392=Consulta!$C$3,$G392&lt;&gt;"",$G392&gt;=Consulta!$C$4,$G392&lt;=Consulta!$C$5),COUNTIFS($N$6:$N392,Consulta!$C$3,$G$6:$G392,"&gt;="&amp;Consulta!$C$4,$G$6:$G392,"&lt;="&amp;Consulta!$C$5),""))</f>
        <v/>
      </c>
      <c r="K392" s="48" t="str">
        <f aca="false">IF($C392="","",IF(AND($C392=Consulta!$L$3,$G392&lt;&gt;"",$G392&gt;=Consulta!$L$4,$G392&lt;=Consulta!$L$5),COUNTIFS($C$6:$C392,Consulta!$L$3,$G$6:$G392,"&gt;="&amp;Consulta!$L$4,$G$6:$G392,"&lt;="&amp;Consulta!$L$5),""))</f>
        <v/>
      </c>
      <c r="L392" s="48" t="str">
        <f aca="false">IF($D392="","",IF($D392=Consulta!$S$3,COUNTIF($D$6:$D392,Consulta!$S$3),""))</f>
        <v/>
      </c>
      <c r="M392" s="48" t="str">
        <f aca="false">IF($N392="","",IF(AND($N392='Comprovante DEV'!$D$6,$G392='Comprovante DEV'!$D$7),COUNTIFS($N$6:$N392,'Comprovante DEV'!$D$6,$G$6:$G392,'Comprovante DEV'!$D$7),""))</f>
        <v/>
      </c>
      <c r="N392" s="48" t="str">
        <f aca="false">IF($F392="","",IFERROR(VLOOKUP($F392,Apelidos_Tecnico!$A:$B,2,0),$F392))</f>
        <v/>
      </c>
    </row>
    <row r="393" customFormat="false" ht="15" hidden="false" customHeight="false" outlineLevel="0" collapsed="false">
      <c r="A393" s="25"/>
      <c r="B393" s="25"/>
      <c r="C393" s="26"/>
      <c r="D393" s="25"/>
      <c r="E393" s="25"/>
      <c r="F393" s="25"/>
      <c r="G393" s="27"/>
      <c r="H393" s="25"/>
      <c r="I393" s="26"/>
      <c r="J393" s="48" t="str">
        <f aca="false">IF($N393="","",IF(AND($N393=Consulta!$C$3,$G393&lt;&gt;"",$G393&gt;=Consulta!$C$4,$G393&lt;=Consulta!$C$5),COUNTIFS($N$6:$N393,Consulta!$C$3,$G$6:$G393,"&gt;="&amp;Consulta!$C$4,$G$6:$G393,"&lt;="&amp;Consulta!$C$5),""))</f>
        <v/>
      </c>
      <c r="K393" s="48" t="str">
        <f aca="false">IF($C393="","",IF(AND($C393=Consulta!$L$3,$G393&lt;&gt;"",$G393&gt;=Consulta!$L$4,$G393&lt;=Consulta!$L$5),COUNTIFS($C$6:$C393,Consulta!$L$3,$G$6:$G393,"&gt;="&amp;Consulta!$L$4,$G$6:$G393,"&lt;="&amp;Consulta!$L$5),""))</f>
        <v/>
      </c>
      <c r="L393" s="48" t="str">
        <f aca="false">IF($D393="","",IF($D393=Consulta!$S$3,COUNTIF($D$6:$D393,Consulta!$S$3),""))</f>
        <v/>
      </c>
      <c r="M393" s="48" t="str">
        <f aca="false">IF($N393="","",IF(AND($N393='Comprovante DEV'!$D$6,$G393='Comprovante DEV'!$D$7),COUNTIFS($N$6:$N393,'Comprovante DEV'!$D$6,$G$6:$G393,'Comprovante DEV'!$D$7),""))</f>
        <v/>
      </c>
      <c r="N393" s="48" t="str">
        <f aca="false">IF($F393="","",IFERROR(VLOOKUP($F393,Apelidos_Tecnico!$A:$B,2,0),$F393))</f>
        <v/>
      </c>
    </row>
    <row r="394" customFormat="false" ht="15" hidden="false" customHeight="false" outlineLevel="0" collapsed="false">
      <c r="A394" s="25"/>
      <c r="B394" s="25"/>
      <c r="C394" s="26"/>
      <c r="D394" s="25"/>
      <c r="E394" s="25"/>
      <c r="F394" s="25"/>
      <c r="G394" s="27"/>
      <c r="H394" s="25"/>
      <c r="I394" s="26"/>
      <c r="J394" s="48" t="str">
        <f aca="false">IF($N394="","",IF(AND($N394=Consulta!$C$3,$G394&lt;&gt;"",$G394&gt;=Consulta!$C$4,$G394&lt;=Consulta!$C$5),COUNTIFS($N$6:$N394,Consulta!$C$3,$G$6:$G394,"&gt;="&amp;Consulta!$C$4,$G$6:$G394,"&lt;="&amp;Consulta!$C$5),""))</f>
        <v/>
      </c>
      <c r="K394" s="48" t="str">
        <f aca="false">IF($C394="","",IF(AND($C394=Consulta!$L$3,$G394&lt;&gt;"",$G394&gt;=Consulta!$L$4,$G394&lt;=Consulta!$L$5),COUNTIFS($C$6:$C394,Consulta!$L$3,$G$6:$G394,"&gt;="&amp;Consulta!$L$4,$G$6:$G394,"&lt;="&amp;Consulta!$L$5),""))</f>
        <v/>
      </c>
      <c r="L394" s="48" t="str">
        <f aca="false">IF($D394="","",IF($D394=Consulta!$S$3,COUNTIF($D$6:$D394,Consulta!$S$3),""))</f>
        <v/>
      </c>
      <c r="M394" s="48" t="str">
        <f aca="false">IF($N394="","",IF(AND($N394='Comprovante DEV'!$D$6,$G394='Comprovante DEV'!$D$7),COUNTIFS($N$6:$N394,'Comprovante DEV'!$D$6,$G$6:$G394,'Comprovante DEV'!$D$7),""))</f>
        <v/>
      </c>
      <c r="N394" s="48" t="str">
        <f aca="false">IF($F394="","",IFERROR(VLOOKUP($F394,Apelidos_Tecnico!$A:$B,2,0),$F394))</f>
        <v/>
      </c>
    </row>
    <row r="395" customFormat="false" ht="15" hidden="false" customHeight="false" outlineLevel="0" collapsed="false">
      <c r="A395" s="25"/>
      <c r="B395" s="25"/>
      <c r="C395" s="26"/>
      <c r="D395" s="25"/>
      <c r="E395" s="25"/>
      <c r="F395" s="25"/>
      <c r="G395" s="27"/>
      <c r="H395" s="25"/>
      <c r="I395" s="26"/>
      <c r="J395" s="48" t="str">
        <f aca="false">IF($N395="","",IF(AND($N395=Consulta!$C$3,$G395&lt;&gt;"",$G395&gt;=Consulta!$C$4,$G395&lt;=Consulta!$C$5),COUNTIFS($N$6:$N395,Consulta!$C$3,$G$6:$G395,"&gt;="&amp;Consulta!$C$4,$G$6:$G395,"&lt;="&amp;Consulta!$C$5),""))</f>
        <v/>
      </c>
      <c r="K395" s="48" t="str">
        <f aca="false">IF($C395="","",IF(AND($C395=Consulta!$L$3,$G395&lt;&gt;"",$G395&gt;=Consulta!$L$4,$G395&lt;=Consulta!$L$5),COUNTIFS($C$6:$C395,Consulta!$L$3,$G$6:$G395,"&gt;="&amp;Consulta!$L$4,$G$6:$G395,"&lt;="&amp;Consulta!$L$5),""))</f>
        <v/>
      </c>
      <c r="L395" s="48" t="str">
        <f aca="false">IF($D395="","",IF($D395=Consulta!$S$3,COUNTIF($D$6:$D395,Consulta!$S$3),""))</f>
        <v/>
      </c>
      <c r="M395" s="48" t="str">
        <f aca="false">IF($N395="","",IF(AND($N395='Comprovante DEV'!$D$6,$G395='Comprovante DEV'!$D$7),COUNTIFS($N$6:$N395,'Comprovante DEV'!$D$6,$G$6:$G395,'Comprovante DEV'!$D$7),""))</f>
        <v/>
      </c>
      <c r="N395" s="48" t="str">
        <f aca="false">IF($F395="","",IFERROR(VLOOKUP($F395,Apelidos_Tecnico!$A:$B,2,0),$F395))</f>
        <v/>
      </c>
    </row>
    <row r="396" customFormat="false" ht="15" hidden="false" customHeight="false" outlineLevel="0" collapsed="false">
      <c r="A396" s="25"/>
      <c r="B396" s="25"/>
      <c r="C396" s="26"/>
      <c r="D396" s="25"/>
      <c r="E396" s="25"/>
      <c r="F396" s="25"/>
      <c r="G396" s="27"/>
      <c r="H396" s="25"/>
      <c r="I396" s="26"/>
      <c r="J396" s="48" t="str">
        <f aca="false">IF($N396="","",IF(AND($N396=Consulta!$C$3,$G396&lt;&gt;"",$G396&gt;=Consulta!$C$4,$G396&lt;=Consulta!$C$5),COUNTIFS($N$6:$N396,Consulta!$C$3,$G$6:$G396,"&gt;="&amp;Consulta!$C$4,$G$6:$G396,"&lt;="&amp;Consulta!$C$5),""))</f>
        <v/>
      </c>
      <c r="K396" s="48" t="str">
        <f aca="false">IF($C396="","",IF(AND($C396=Consulta!$L$3,$G396&lt;&gt;"",$G396&gt;=Consulta!$L$4,$G396&lt;=Consulta!$L$5),COUNTIFS($C$6:$C396,Consulta!$L$3,$G$6:$G396,"&gt;="&amp;Consulta!$L$4,$G$6:$G396,"&lt;="&amp;Consulta!$L$5),""))</f>
        <v/>
      </c>
      <c r="L396" s="48" t="str">
        <f aca="false">IF($D396="","",IF($D396=Consulta!$S$3,COUNTIF($D$6:$D396,Consulta!$S$3),""))</f>
        <v/>
      </c>
      <c r="M396" s="48" t="str">
        <f aca="false">IF($N396="","",IF(AND($N396='Comprovante DEV'!$D$6,$G396='Comprovante DEV'!$D$7),COUNTIFS($N$6:$N396,'Comprovante DEV'!$D$6,$G$6:$G396,'Comprovante DEV'!$D$7),""))</f>
        <v/>
      </c>
      <c r="N396" s="48" t="str">
        <f aca="false">IF($F396="","",IFERROR(VLOOKUP($F396,Apelidos_Tecnico!$A:$B,2,0),$F396))</f>
        <v/>
      </c>
    </row>
    <row r="397" customFormat="false" ht="15" hidden="false" customHeight="false" outlineLevel="0" collapsed="false">
      <c r="A397" s="25"/>
      <c r="B397" s="25"/>
      <c r="C397" s="26"/>
      <c r="D397" s="25"/>
      <c r="E397" s="25"/>
      <c r="F397" s="25"/>
      <c r="G397" s="27"/>
      <c r="H397" s="25"/>
      <c r="I397" s="26"/>
      <c r="J397" s="48" t="str">
        <f aca="false">IF($N397="","",IF(AND($N397=Consulta!$C$3,$G397&lt;&gt;"",$G397&gt;=Consulta!$C$4,$G397&lt;=Consulta!$C$5),COUNTIFS($N$6:$N397,Consulta!$C$3,$G$6:$G397,"&gt;="&amp;Consulta!$C$4,$G$6:$G397,"&lt;="&amp;Consulta!$C$5),""))</f>
        <v/>
      </c>
      <c r="K397" s="48" t="str">
        <f aca="false">IF($C397="","",IF(AND($C397=Consulta!$L$3,$G397&lt;&gt;"",$G397&gt;=Consulta!$L$4,$G397&lt;=Consulta!$L$5),COUNTIFS($C$6:$C397,Consulta!$L$3,$G$6:$G397,"&gt;="&amp;Consulta!$L$4,$G$6:$G397,"&lt;="&amp;Consulta!$L$5),""))</f>
        <v/>
      </c>
      <c r="L397" s="48" t="str">
        <f aca="false">IF($D397="","",IF($D397=Consulta!$S$3,COUNTIF($D$6:$D397,Consulta!$S$3),""))</f>
        <v/>
      </c>
      <c r="M397" s="48" t="str">
        <f aca="false">IF($N397="","",IF(AND($N397='Comprovante DEV'!$D$6,$G397='Comprovante DEV'!$D$7),COUNTIFS($N$6:$N397,'Comprovante DEV'!$D$6,$G$6:$G397,'Comprovante DEV'!$D$7),""))</f>
        <v/>
      </c>
      <c r="N397" s="48" t="str">
        <f aca="false">IF($F397="","",IFERROR(VLOOKUP($F397,Apelidos_Tecnico!$A:$B,2,0),$F397))</f>
        <v/>
      </c>
    </row>
    <row r="398" customFormat="false" ht="15" hidden="false" customHeight="false" outlineLevel="0" collapsed="false">
      <c r="A398" s="25"/>
      <c r="B398" s="25"/>
      <c r="C398" s="26"/>
      <c r="D398" s="25"/>
      <c r="E398" s="25"/>
      <c r="F398" s="25"/>
      <c r="G398" s="27"/>
      <c r="H398" s="25"/>
      <c r="I398" s="26"/>
      <c r="J398" s="48" t="str">
        <f aca="false">IF($N398="","",IF(AND($N398=Consulta!$C$3,$G398&lt;&gt;"",$G398&gt;=Consulta!$C$4,$G398&lt;=Consulta!$C$5),COUNTIFS($N$6:$N398,Consulta!$C$3,$G$6:$G398,"&gt;="&amp;Consulta!$C$4,$G$6:$G398,"&lt;="&amp;Consulta!$C$5),""))</f>
        <v/>
      </c>
      <c r="K398" s="48" t="str">
        <f aca="false">IF($C398="","",IF(AND($C398=Consulta!$L$3,$G398&lt;&gt;"",$G398&gt;=Consulta!$L$4,$G398&lt;=Consulta!$L$5),COUNTIFS($C$6:$C398,Consulta!$L$3,$G$6:$G398,"&gt;="&amp;Consulta!$L$4,$G$6:$G398,"&lt;="&amp;Consulta!$L$5),""))</f>
        <v/>
      </c>
      <c r="L398" s="48" t="str">
        <f aca="false">IF($D398="","",IF($D398=Consulta!$S$3,COUNTIF($D$6:$D398,Consulta!$S$3),""))</f>
        <v/>
      </c>
      <c r="M398" s="48" t="str">
        <f aca="false">IF($N398="","",IF(AND($N398='Comprovante DEV'!$D$6,$G398='Comprovante DEV'!$D$7),COUNTIFS($N$6:$N398,'Comprovante DEV'!$D$6,$G$6:$G398,'Comprovante DEV'!$D$7),""))</f>
        <v/>
      </c>
      <c r="N398" s="48" t="str">
        <f aca="false">IF($F398="","",IFERROR(VLOOKUP($F398,Apelidos_Tecnico!$A:$B,2,0),$F398))</f>
        <v/>
      </c>
    </row>
    <row r="399" customFormat="false" ht="15" hidden="false" customHeight="false" outlineLevel="0" collapsed="false">
      <c r="A399" s="25"/>
      <c r="B399" s="25"/>
      <c r="C399" s="26"/>
      <c r="D399" s="25"/>
      <c r="E399" s="25"/>
      <c r="F399" s="25"/>
      <c r="G399" s="27"/>
      <c r="H399" s="25"/>
      <c r="I399" s="26"/>
      <c r="J399" s="48" t="str">
        <f aca="false">IF($N399="","",IF(AND($N399=Consulta!$C$3,$G399&lt;&gt;"",$G399&gt;=Consulta!$C$4,$G399&lt;=Consulta!$C$5),COUNTIFS($N$6:$N399,Consulta!$C$3,$G$6:$G399,"&gt;="&amp;Consulta!$C$4,$G$6:$G399,"&lt;="&amp;Consulta!$C$5),""))</f>
        <v/>
      </c>
      <c r="K399" s="48" t="str">
        <f aca="false">IF($C399="","",IF(AND($C399=Consulta!$L$3,$G399&lt;&gt;"",$G399&gt;=Consulta!$L$4,$G399&lt;=Consulta!$L$5),COUNTIFS($C$6:$C399,Consulta!$L$3,$G$6:$G399,"&gt;="&amp;Consulta!$L$4,$G$6:$G399,"&lt;="&amp;Consulta!$L$5),""))</f>
        <v/>
      </c>
      <c r="L399" s="48" t="str">
        <f aca="false">IF($D399="","",IF($D399=Consulta!$S$3,COUNTIF($D$6:$D399,Consulta!$S$3),""))</f>
        <v/>
      </c>
      <c r="M399" s="48" t="str">
        <f aca="false">IF($N399="","",IF(AND($N399='Comprovante DEV'!$D$6,$G399='Comprovante DEV'!$D$7),COUNTIFS($N$6:$N399,'Comprovante DEV'!$D$6,$G$6:$G399,'Comprovante DEV'!$D$7),""))</f>
        <v/>
      </c>
      <c r="N399" s="48" t="str">
        <f aca="false">IF($F399="","",IFERROR(VLOOKUP($F399,Apelidos_Tecnico!$A:$B,2,0),$F399))</f>
        <v/>
      </c>
    </row>
    <row r="400" customFormat="false" ht="15" hidden="false" customHeight="false" outlineLevel="0" collapsed="false">
      <c r="A400" s="25"/>
      <c r="B400" s="25"/>
      <c r="C400" s="26"/>
      <c r="D400" s="25"/>
      <c r="E400" s="25"/>
      <c r="F400" s="25"/>
      <c r="G400" s="27"/>
      <c r="H400" s="25"/>
      <c r="I400" s="26"/>
      <c r="J400" s="48" t="str">
        <f aca="false">IF($N400="","",IF(AND($N400=Consulta!$C$3,$G400&lt;&gt;"",$G400&gt;=Consulta!$C$4,$G400&lt;=Consulta!$C$5),COUNTIFS($N$6:$N400,Consulta!$C$3,$G$6:$G400,"&gt;="&amp;Consulta!$C$4,$G$6:$G400,"&lt;="&amp;Consulta!$C$5),""))</f>
        <v/>
      </c>
      <c r="K400" s="48" t="str">
        <f aca="false">IF($C400="","",IF(AND($C400=Consulta!$L$3,$G400&lt;&gt;"",$G400&gt;=Consulta!$L$4,$G400&lt;=Consulta!$L$5),COUNTIFS($C$6:$C400,Consulta!$L$3,$G$6:$G400,"&gt;="&amp;Consulta!$L$4,$G$6:$G400,"&lt;="&amp;Consulta!$L$5),""))</f>
        <v/>
      </c>
      <c r="L400" s="48" t="str">
        <f aca="false">IF($D400="","",IF($D400=Consulta!$S$3,COUNTIF($D$6:$D400,Consulta!$S$3),""))</f>
        <v/>
      </c>
      <c r="M400" s="48" t="str">
        <f aca="false">IF($N400="","",IF(AND($N400='Comprovante DEV'!$D$6,$G400='Comprovante DEV'!$D$7),COUNTIFS($N$6:$N400,'Comprovante DEV'!$D$6,$G$6:$G400,'Comprovante DEV'!$D$7),""))</f>
        <v/>
      </c>
      <c r="N400" s="48" t="str">
        <f aca="false">IF($F400="","",IFERROR(VLOOKUP($F400,Apelidos_Tecnico!$A:$B,2,0),$F400))</f>
        <v/>
      </c>
    </row>
    <row r="401" customFormat="false" ht="15" hidden="false" customHeight="false" outlineLevel="0" collapsed="false">
      <c r="A401" s="25"/>
      <c r="B401" s="25"/>
      <c r="C401" s="26"/>
      <c r="D401" s="25"/>
      <c r="E401" s="25"/>
      <c r="F401" s="25"/>
      <c r="G401" s="27"/>
      <c r="H401" s="25"/>
      <c r="I401" s="26"/>
      <c r="J401" s="48" t="str">
        <f aca="false">IF($N401="","",IF(AND($N401=Consulta!$C$3,$G401&lt;&gt;"",$G401&gt;=Consulta!$C$4,$G401&lt;=Consulta!$C$5),COUNTIFS($N$6:$N401,Consulta!$C$3,$G$6:$G401,"&gt;="&amp;Consulta!$C$4,$G$6:$G401,"&lt;="&amp;Consulta!$C$5),""))</f>
        <v/>
      </c>
      <c r="K401" s="48" t="str">
        <f aca="false">IF($C401="","",IF(AND($C401=Consulta!$L$3,$G401&lt;&gt;"",$G401&gt;=Consulta!$L$4,$G401&lt;=Consulta!$L$5),COUNTIFS($C$6:$C401,Consulta!$L$3,$G$6:$G401,"&gt;="&amp;Consulta!$L$4,$G$6:$G401,"&lt;="&amp;Consulta!$L$5),""))</f>
        <v/>
      </c>
      <c r="L401" s="48" t="str">
        <f aca="false">IF($D401="","",IF($D401=Consulta!$S$3,COUNTIF($D$6:$D401,Consulta!$S$3),""))</f>
        <v/>
      </c>
      <c r="M401" s="48" t="str">
        <f aca="false">IF($N401="","",IF(AND($N401='Comprovante DEV'!$D$6,$G401='Comprovante DEV'!$D$7),COUNTIFS($N$6:$N401,'Comprovante DEV'!$D$6,$G$6:$G401,'Comprovante DEV'!$D$7),""))</f>
        <v/>
      </c>
      <c r="N401" s="48" t="str">
        <f aca="false">IF($F401="","",IFERROR(VLOOKUP($F401,Apelidos_Tecnico!$A:$B,2,0),$F401))</f>
        <v/>
      </c>
    </row>
    <row r="402" customFormat="false" ht="15" hidden="false" customHeight="false" outlineLevel="0" collapsed="false">
      <c r="A402" s="25"/>
      <c r="B402" s="25"/>
      <c r="C402" s="26"/>
      <c r="D402" s="25"/>
      <c r="E402" s="25"/>
      <c r="F402" s="25"/>
      <c r="G402" s="27"/>
      <c r="H402" s="25"/>
      <c r="I402" s="26"/>
      <c r="J402" s="48" t="str">
        <f aca="false">IF($N402="","",IF(AND($N402=Consulta!$C$3,$G402&lt;&gt;"",$G402&gt;=Consulta!$C$4,$G402&lt;=Consulta!$C$5),COUNTIFS($N$6:$N402,Consulta!$C$3,$G$6:$G402,"&gt;="&amp;Consulta!$C$4,$G$6:$G402,"&lt;="&amp;Consulta!$C$5),""))</f>
        <v/>
      </c>
      <c r="K402" s="48" t="str">
        <f aca="false">IF($C402="","",IF(AND($C402=Consulta!$L$3,$G402&lt;&gt;"",$G402&gt;=Consulta!$L$4,$G402&lt;=Consulta!$L$5),COUNTIFS($C$6:$C402,Consulta!$L$3,$G$6:$G402,"&gt;="&amp;Consulta!$L$4,$G$6:$G402,"&lt;="&amp;Consulta!$L$5),""))</f>
        <v/>
      </c>
      <c r="L402" s="48" t="str">
        <f aca="false">IF($D402="","",IF($D402=Consulta!$S$3,COUNTIF($D$6:$D402,Consulta!$S$3),""))</f>
        <v/>
      </c>
      <c r="M402" s="48" t="str">
        <f aca="false">IF($N402="","",IF(AND($N402='Comprovante DEV'!$D$6,$G402='Comprovante DEV'!$D$7),COUNTIFS($N$6:$N402,'Comprovante DEV'!$D$6,$G$6:$G402,'Comprovante DEV'!$D$7),""))</f>
        <v/>
      </c>
      <c r="N402" s="48" t="str">
        <f aca="false">IF($F402="","",IFERROR(VLOOKUP($F402,Apelidos_Tecnico!$A:$B,2,0),$F402))</f>
        <v/>
      </c>
    </row>
    <row r="403" customFormat="false" ht="15" hidden="false" customHeight="false" outlineLevel="0" collapsed="false">
      <c r="A403" s="25"/>
      <c r="B403" s="25"/>
      <c r="C403" s="26"/>
      <c r="D403" s="25"/>
      <c r="E403" s="25"/>
      <c r="F403" s="25"/>
      <c r="G403" s="27"/>
      <c r="H403" s="25"/>
      <c r="I403" s="26"/>
      <c r="J403" s="48" t="str">
        <f aca="false">IF($N403="","",IF(AND($N403=Consulta!$C$3,$G403&lt;&gt;"",$G403&gt;=Consulta!$C$4,$G403&lt;=Consulta!$C$5),COUNTIFS($N$6:$N403,Consulta!$C$3,$G$6:$G403,"&gt;="&amp;Consulta!$C$4,$G$6:$G403,"&lt;="&amp;Consulta!$C$5),""))</f>
        <v/>
      </c>
      <c r="K403" s="48" t="str">
        <f aca="false">IF($C403="","",IF(AND($C403=Consulta!$L$3,$G403&lt;&gt;"",$G403&gt;=Consulta!$L$4,$G403&lt;=Consulta!$L$5),COUNTIFS($C$6:$C403,Consulta!$L$3,$G$6:$G403,"&gt;="&amp;Consulta!$L$4,$G$6:$G403,"&lt;="&amp;Consulta!$L$5),""))</f>
        <v/>
      </c>
      <c r="L403" s="48" t="str">
        <f aca="false">IF($D403="","",IF($D403=Consulta!$S$3,COUNTIF($D$6:$D403,Consulta!$S$3),""))</f>
        <v/>
      </c>
      <c r="M403" s="48" t="str">
        <f aca="false">IF($N403="","",IF(AND($N403='Comprovante DEV'!$D$6,$G403='Comprovante DEV'!$D$7),COUNTIFS($N$6:$N403,'Comprovante DEV'!$D$6,$G$6:$G403,'Comprovante DEV'!$D$7),""))</f>
        <v/>
      </c>
      <c r="N403" s="48" t="str">
        <f aca="false">IF($F403="","",IFERROR(VLOOKUP($F403,Apelidos_Tecnico!$A:$B,2,0),$F403))</f>
        <v/>
      </c>
    </row>
    <row r="404" customFormat="false" ht="15" hidden="false" customHeight="false" outlineLevel="0" collapsed="false">
      <c r="A404" s="25"/>
      <c r="B404" s="25"/>
      <c r="C404" s="26"/>
      <c r="D404" s="25"/>
      <c r="E404" s="25"/>
      <c r="F404" s="25"/>
      <c r="G404" s="27"/>
      <c r="H404" s="25"/>
      <c r="I404" s="26"/>
      <c r="J404" s="48" t="str">
        <f aca="false">IF($N404="","",IF(AND($N404=Consulta!$C$3,$G404&lt;&gt;"",$G404&gt;=Consulta!$C$4,$G404&lt;=Consulta!$C$5),COUNTIFS($N$6:$N404,Consulta!$C$3,$G$6:$G404,"&gt;="&amp;Consulta!$C$4,$G$6:$G404,"&lt;="&amp;Consulta!$C$5),""))</f>
        <v/>
      </c>
      <c r="K404" s="48" t="str">
        <f aca="false">IF($C404="","",IF(AND($C404=Consulta!$L$3,$G404&lt;&gt;"",$G404&gt;=Consulta!$L$4,$G404&lt;=Consulta!$L$5),COUNTIFS($C$6:$C404,Consulta!$L$3,$G$6:$G404,"&gt;="&amp;Consulta!$L$4,$G$6:$G404,"&lt;="&amp;Consulta!$L$5),""))</f>
        <v/>
      </c>
      <c r="L404" s="48" t="str">
        <f aca="false">IF($D404="","",IF($D404=Consulta!$S$3,COUNTIF($D$6:$D404,Consulta!$S$3),""))</f>
        <v/>
      </c>
      <c r="M404" s="48" t="str">
        <f aca="false">IF($N404="","",IF(AND($N404='Comprovante DEV'!$D$6,$G404='Comprovante DEV'!$D$7),COUNTIFS($N$6:$N404,'Comprovante DEV'!$D$6,$G$6:$G404,'Comprovante DEV'!$D$7),""))</f>
        <v/>
      </c>
      <c r="N404" s="48" t="str">
        <f aca="false">IF($F404="","",IFERROR(VLOOKUP($F404,Apelidos_Tecnico!$A:$B,2,0),$F404))</f>
        <v/>
      </c>
    </row>
    <row r="405" customFormat="false" ht="15" hidden="false" customHeight="false" outlineLevel="0" collapsed="false">
      <c r="A405" s="25"/>
      <c r="B405" s="25"/>
      <c r="C405" s="26"/>
      <c r="D405" s="25"/>
      <c r="E405" s="25"/>
      <c r="F405" s="25"/>
      <c r="G405" s="27"/>
      <c r="H405" s="25"/>
      <c r="I405" s="26"/>
      <c r="J405" s="48" t="str">
        <f aca="false">IF($N405="","",IF(AND($N405=Consulta!$C$3,$G405&lt;&gt;"",$G405&gt;=Consulta!$C$4,$G405&lt;=Consulta!$C$5),COUNTIFS($N$6:$N405,Consulta!$C$3,$G$6:$G405,"&gt;="&amp;Consulta!$C$4,$G$6:$G405,"&lt;="&amp;Consulta!$C$5),""))</f>
        <v/>
      </c>
      <c r="K405" s="48" t="str">
        <f aca="false">IF($C405="","",IF(AND($C405=Consulta!$L$3,$G405&lt;&gt;"",$G405&gt;=Consulta!$L$4,$G405&lt;=Consulta!$L$5),COUNTIFS($C$6:$C405,Consulta!$L$3,$G$6:$G405,"&gt;="&amp;Consulta!$L$4,$G$6:$G405,"&lt;="&amp;Consulta!$L$5),""))</f>
        <v/>
      </c>
      <c r="L405" s="48" t="str">
        <f aca="false">IF($D405="","",IF($D405=Consulta!$S$3,COUNTIF($D$6:$D405,Consulta!$S$3),""))</f>
        <v/>
      </c>
      <c r="M405" s="48" t="str">
        <f aca="false">IF($N405="","",IF(AND($N405='Comprovante DEV'!$D$6,$G405='Comprovante DEV'!$D$7),COUNTIFS($N$6:$N405,'Comprovante DEV'!$D$6,$G$6:$G405,'Comprovante DEV'!$D$7),""))</f>
        <v/>
      </c>
      <c r="N405" s="48" t="str">
        <f aca="false">IF($F405="","",IFERROR(VLOOKUP($F405,Apelidos_Tecnico!$A:$B,2,0),$F405))</f>
        <v/>
      </c>
    </row>
    <row r="406" customFormat="false" ht="15" hidden="false" customHeight="false" outlineLevel="0" collapsed="false">
      <c r="A406" s="25"/>
      <c r="B406" s="25"/>
      <c r="C406" s="26"/>
      <c r="D406" s="25"/>
      <c r="E406" s="25"/>
      <c r="F406" s="25"/>
      <c r="G406" s="27"/>
      <c r="H406" s="25"/>
      <c r="I406" s="26"/>
      <c r="J406" s="48" t="str">
        <f aca="false">IF($N406="","",IF(AND($N406=Consulta!$C$3,$G406&lt;&gt;"",$G406&gt;=Consulta!$C$4,$G406&lt;=Consulta!$C$5),COUNTIFS($N$6:$N406,Consulta!$C$3,$G$6:$G406,"&gt;="&amp;Consulta!$C$4,$G$6:$G406,"&lt;="&amp;Consulta!$C$5),""))</f>
        <v/>
      </c>
      <c r="K406" s="48" t="str">
        <f aca="false">IF($C406="","",IF(AND($C406=Consulta!$L$3,$G406&lt;&gt;"",$G406&gt;=Consulta!$L$4,$G406&lt;=Consulta!$L$5),COUNTIFS($C$6:$C406,Consulta!$L$3,$G$6:$G406,"&gt;="&amp;Consulta!$L$4,$G$6:$G406,"&lt;="&amp;Consulta!$L$5),""))</f>
        <v/>
      </c>
      <c r="L406" s="48" t="str">
        <f aca="false">IF($D406="","",IF($D406=Consulta!$S$3,COUNTIF($D$6:$D406,Consulta!$S$3),""))</f>
        <v/>
      </c>
      <c r="M406" s="48" t="str">
        <f aca="false">IF($N406="","",IF(AND($N406='Comprovante DEV'!$D$6,$G406='Comprovante DEV'!$D$7),COUNTIFS($N$6:$N406,'Comprovante DEV'!$D$6,$G$6:$G406,'Comprovante DEV'!$D$7),""))</f>
        <v/>
      </c>
      <c r="N406" s="48" t="str">
        <f aca="false">IF($F406="","",IFERROR(VLOOKUP($F406,Apelidos_Tecnico!$A:$B,2,0),$F406))</f>
        <v/>
      </c>
    </row>
    <row r="407" customFormat="false" ht="15" hidden="false" customHeight="false" outlineLevel="0" collapsed="false">
      <c r="A407" s="25"/>
      <c r="B407" s="25"/>
      <c r="C407" s="26"/>
      <c r="D407" s="25"/>
      <c r="E407" s="25"/>
      <c r="F407" s="25"/>
      <c r="G407" s="27"/>
      <c r="H407" s="25"/>
      <c r="I407" s="26"/>
      <c r="J407" s="48" t="str">
        <f aca="false">IF($N407="","",IF(AND($N407=Consulta!$C$3,$G407&lt;&gt;"",$G407&gt;=Consulta!$C$4,$G407&lt;=Consulta!$C$5),COUNTIFS($N$6:$N407,Consulta!$C$3,$G$6:$G407,"&gt;="&amp;Consulta!$C$4,$G$6:$G407,"&lt;="&amp;Consulta!$C$5),""))</f>
        <v/>
      </c>
      <c r="K407" s="48" t="str">
        <f aca="false">IF($C407="","",IF(AND($C407=Consulta!$L$3,$G407&lt;&gt;"",$G407&gt;=Consulta!$L$4,$G407&lt;=Consulta!$L$5),COUNTIFS($C$6:$C407,Consulta!$L$3,$G$6:$G407,"&gt;="&amp;Consulta!$L$4,$G$6:$G407,"&lt;="&amp;Consulta!$L$5),""))</f>
        <v/>
      </c>
      <c r="L407" s="48" t="str">
        <f aca="false">IF($D407="","",IF($D407=Consulta!$S$3,COUNTIF($D$6:$D407,Consulta!$S$3),""))</f>
        <v/>
      </c>
      <c r="M407" s="48" t="str">
        <f aca="false">IF($N407="","",IF(AND($N407='Comprovante DEV'!$D$6,$G407='Comprovante DEV'!$D$7),COUNTIFS($N$6:$N407,'Comprovante DEV'!$D$6,$G$6:$G407,'Comprovante DEV'!$D$7),""))</f>
        <v/>
      </c>
      <c r="N407" s="48" t="str">
        <f aca="false">IF($F407="","",IFERROR(VLOOKUP($F407,Apelidos_Tecnico!$A:$B,2,0),$F407))</f>
        <v/>
      </c>
    </row>
    <row r="408" customFormat="false" ht="15" hidden="false" customHeight="false" outlineLevel="0" collapsed="false">
      <c r="A408" s="25"/>
      <c r="B408" s="25"/>
      <c r="C408" s="26"/>
      <c r="D408" s="25"/>
      <c r="E408" s="25"/>
      <c r="F408" s="25"/>
      <c r="G408" s="27"/>
      <c r="H408" s="25"/>
      <c r="I408" s="26"/>
      <c r="J408" s="48" t="str">
        <f aca="false">IF($N408="","",IF(AND($N408=Consulta!$C$3,$G408&lt;&gt;"",$G408&gt;=Consulta!$C$4,$G408&lt;=Consulta!$C$5),COUNTIFS($N$6:$N408,Consulta!$C$3,$G$6:$G408,"&gt;="&amp;Consulta!$C$4,$G$6:$G408,"&lt;="&amp;Consulta!$C$5),""))</f>
        <v/>
      </c>
      <c r="K408" s="48" t="str">
        <f aca="false">IF($C408="","",IF(AND($C408=Consulta!$L$3,$G408&lt;&gt;"",$G408&gt;=Consulta!$L$4,$G408&lt;=Consulta!$L$5),COUNTIFS($C$6:$C408,Consulta!$L$3,$G$6:$G408,"&gt;="&amp;Consulta!$L$4,$G$6:$G408,"&lt;="&amp;Consulta!$L$5),""))</f>
        <v/>
      </c>
      <c r="L408" s="48" t="str">
        <f aca="false">IF($D408="","",IF($D408=Consulta!$S$3,COUNTIF($D$6:$D408,Consulta!$S$3),""))</f>
        <v/>
      </c>
      <c r="M408" s="48" t="str">
        <f aca="false">IF($N408="","",IF(AND($N408='Comprovante DEV'!$D$6,$G408='Comprovante DEV'!$D$7),COUNTIFS($N$6:$N408,'Comprovante DEV'!$D$6,$G$6:$G408,'Comprovante DEV'!$D$7),""))</f>
        <v/>
      </c>
      <c r="N408" s="48" t="str">
        <f aca="false">IF($F408="","",IFERROR(VLOOKUP($F408,Apelidos_Tecnico!$A:$B,2,0),$F408))</f>
        <v/>
      </c>
    </row>
    <row r="409" customFormat="false" ht="15" hidden="false" customHeight="false" outlineLevel="0" collapsed="false">
      <c r="A409" s="25"/>
      <c r="B409" s="25"/>
      <c r="C409" s="26"/>
      <c r="D409" s="25"/>
      <c r="E409" s="25"/>
      <c r="F409" s="25"/>
      <c r="G409" s="27"/>
      <c r="H409" s="25"/>
      <c r="I409" s="26"/>
      <c r="J409" s="48" t="str">
        <f aca="false">IF($N409="","",IF(AND($N409=Consulta!$C$3,$G409&lt;&gt;"",$G409&gt;=Consulta!$C$4,$G409&lt;=Consulta!$C$5),COUNTIFS($N$6:$N409,Consulta!$C$3,$G$6:$G409,"&gt;="&amp;Consulta!$C$4,$G$6:$G409,"&lt;="&amp;Consulta!$C$5),""))</f>
        <v/>
      </c>
      <c r="K409" s="48" t="str">
        <f aca="false">IF($C409="","",IF(AND($C409=Consulta!$L$3,$G409&lt;&gt;"",$G409&gt;=Consulta!$L$4,$G409&lt;=Consulta!$L$5),COUNTIFS($C$6:$C409,Consulta!$L$3,$G$6:$G409,"&gt;="&amp;Consulta!$L$4,$G$6:$G409,"&lt;="&amp;Consulta!$L$5),""))</f>
        <v/>
      </c>
      <c r="L409" s="48" t="str">
        <f aca="false">IF($D409="","",IF($D409=Consulta!$S$3,COUNTIF($D$6:$D409,Consulta!$S$3),""))</f>
        <v/>
      </c>
      <c r="M409" s="48" t="str">
        <f aca="false">IF($N409="","",IF(AND($N409='Comprovante DEV'!$D$6,$G409='Comprovante DEV'!$D$7),COUNTIFS($N$6:$N409,'Comprovante DEV'!$D$6,$G$6:$G409,'Comprovante DEV'!$D$7),""))</f>
        <v/>
      </c>
      <c r="N409" s="48" t="str">
        <f aca="false">IF($F409="","",IFERROR(VLOOKUP($F409,Apelidos_Tecnico!$A:$B,2,0),$F409))</f>
        <v/>
      </c>
    </row>
    <row r="410" customFormat="false" ht="15" hidden="false" customHeight="false" outlineLevel="0" collapsed="false">
      <c r="A410" s="25"/>
      <c r="B410" s="25"/>
      <c r="C410" s="26"/>
      <c r="D410" s="25"/>
      <c r="E410" s="25"/>
      <c r="F410" s="25"/>
      <c r="G410" s="27"/>
      <c r="H410" s="25"/>
      <c r="I410" s="26"/>
      <c r="J410" s="48" t="str">
        <f aca="false">IF($N410="","",IF(AND($N410=Consulta!$C$3,$G410&lt;&gt;"",$G410&gt;=Consulta!$C$4,$G410&lt;=Consulta!$C$5),COUNTIFS($N$6:$N410,Consulta!$C$3,$G$6:$G410,"&gt;="&amp;Consulta!$C$4,$G$6:$G410,"&lt;="&amp;Consulta!$C$5),""))</f>
        <v/>
      </c>
      <c r="K410" s="48" t="str">
        <f aca="false">IF($C410="","",IF(AND($C410=Consulta!$L$3,$G410&lt;&gt;"",$G410&gt;=Consulta!$L$4,$G410&lt;=Consulta!$L$5),COUNTIFS($C$6:$C410,Consulta!$L$3,$G$6:$G410,"&gt;="&amp;Consulta!$L$4,$G$6:$G410,"&lt;="&amp;Consulta!$L$5),""))</f>
        <v/>
      </c>
      <c r="L410" s="48" t="str">
        <f aca="false">IF($D410="","",IF($D410=Consulta!$S$3,COUNTIF($D$6:$D410,Consulta!$S$3),""))</f>
        <v/>
      </c>
      <c r="M410" s="48" t="str">
        <f aca="false">IF($N410="","",IF(AND($N410='Comprovante DEV'!$D$6,$G410='Comprovante DEV'!$D$7),COUNTIFS($N$6:$N410,'Comprovante DEV'!$D$6,$G$6:$G410,'Comprovante DEV'!$D$7),""))</f>
        <v/>
      </c>
      <c r="N410" s="48" t="str">
        <f aca="false">IF($F410="","",IFERROR(VLOOKUP($F410,Apelidos_Tecnico!$A:$B,2,0),$F410))</f>
        <v/>
      </c>
    </row>
    <row r="411" customFormat="false" ht="15" hidden="false" customHeight="false" outlineLevel="0" collapsed="false">
      <c r="A411" s="25"/>
      <c r="B411" s="25"/>
      <c r="C411" s="26"/>
      <c r="D411" s="25"/>
      <c r="E411" s="25"/>
      <c r="F411" s="25"/>
      <c r="G411" s="27"/>
      <c r="H411" s="25"/>
      <c r="I411" s="26"/>
      <c r="J411" s="48" t="str">
        <f aca="false">IF($N411="","",IF(AND($N411=Consulta!$C$3,$G411&lt;&gt;"",$G411&gt;=Consulta!$C$4,$G411&lt;=Consulta!$C$5),COUNTIFS($N$6:$N411,Consulta!$C$3,$G$6:$G411,"&gt;="&amp;Consulta!$C$4,$G$6:$G411,"&lt;="&amp;Consulta!$C$5),""))</f>
        <v/>
      </c>
      <c r="K411" s="48" t="str">
        <f aca="false">IF($C411="","",IF(AND($C411=Consulta!$L$3,$G411&lt;&gt;"",$G411&gt;=Consulta!$L$4,$G411&lt;=Consulta!$L$5),COUNTIFS($C$6:$C411,Consulta!$L$3,$G$6:$G411,"&gt;="&amp;Consulta!$L$4,$G$6:$G411,"&lt;="&amp;Consulta!$L$5),""))</f>
        <v/>
      </c>
      <c r="L411" s="48" t="str">
        <f aca="false">IF($D411="","",IF($D411=Consulta!$S$3,COUNTIF($D$6:$D411,Consulta!$S$3),""))</f>
        <v/>
      </c>
      <c r="M411" s="48" t="str">
        <f aca="false">IF($N411="","",IF(AND($N411='Comprovante DEV'!$D$6,$G411='Comprovante DEV'!$D$7),COUNTIFS($N$6:$N411,'Comprovante DEV'!$D$6,$G$6:$G411,'Comprovante DEV'!$D$7),""))</f>
        <v/>
      </c>
      <c r="N411" s="48" t="str">
        <f aca="false">IF($F411="","",IFERROR(VLOOKUP($F411,Apelidos_Tecnico!$A:$B,2,0),$F411))</f>
        <v/>
      </c>
    </row>
    <row r="412" customFormat="false" ht="15" hidden="false" customHeight="false" outlineLevel="0" collapsed="false">
      <c r="A412" s="25"/>
      <c r="B412" s="25"/>
      <c r="C412" s="26"/>
      <c r="D412" s="25"/>
      <c r="E412" s="25"/>
      <c r="F412" s="25"/>
      <c r="G412" s="27"/>
      <c r="H412" s="25"/>
      <c r="I412" s="26"/>
      <c r="J412" s="48" t="str">
        <f aca="false">IF($N412="","",IF(AND($N412=Consulta!$C$3,$G412&lt;&gt;"",$G412&gt;=Consulta!$C$4,$G412&lt;=Consulta!$C$5),COUNTIFS($N$6:$N412,Consulta!$C$3,$G$6:$G412,"&gt;="&amp;Consulta!$C$4,$G$6:$G412,"&lt;="&amp;Consulta!$C$5),""))</f>
        <v/>
      </c>
      <c r="K412" s="48" t="str">
        <f aca="false">IF($C412="","",IF(AND($C412=Consulta!$L$3,$G412&lt;&gt;"",$G412&gt;=Consulta!$L$4,$G412&lt;=Consulta!$L$5),COUNTIFS($C$6:$C412,Consulta!$L$3,$G$6:$G412,"&gt;="&amp;Consulta!$L$4,$G$6:$G412,"&lt;="&amp;Consulta!$L$5),""))</f>
        <v/>
      </c>
      <c r="L412" s="48" t="str">
        <f aca="false">IF($D412="","",IF($D412=Consulta!$S$3,COUNTIF($D$6:$D412,Consulta!$S$3),""))</f>
        <v/>
      </c>
      <c r="M412" s="48" t="str">
        <f aca="false">IF($N412="","",IF(AND($N412='Comprovante DEV'!$D$6,$G412='Comprovante DEV'!$D$7),COUNTIFS($N$6:$N412,'Comprovante DEV'!$D$6,$G$6:$G412,'Comprovante DEV'!$D$7),""))</f>
        <v/>
      </c>
      <c r="N412" s="48" t="str">
        <f aca="false">IF($F412="","",IFERROR(VLOOKUP($F412,Apelidos_Tecnico!$A:$B,2,0),$F412))</f>
        <v/>
      </c>
    </row>
    <row r="413" customFormat="false" ht="15" hidden="false" customHeight="false" outlineLevel="0" collapsed="false">
      <c r="A413" s="25"/>
      <c r="B413" s="25"/>
      <c r="C413" s="26"/>
      <c r="D413" s="25"/>
      <c r="E413" s="25"/>
      <c r="F413" s="25"/>
      <c r="G413" s="27"/>
      <c r="H413" s="25"/>
      <c r="I413" s="26"/>
      <c r="J413" s="48" t="str">
        <f aca="false">IF($N413="","",IF(AND($N413=Consulta!$C$3,$G413&lt;&gt;"",$G413&gt;=Consulta!$C$4,$G413&lt;=Consulta!$C$5),COUNTIFS($N$6:$N413,Consulta!$C$3,$G$6:$G413,"&gt;="&amp;Consulta!$C$4,$G$6:$G413,"&lt;="&amp;Consulta!$C$5),""))</f>
        <v/>
      </c>
      <c r="K413" s="48" t="str">
        <f aca="false">IF($C413="","",IF(AND($C413=Consulta!$L$3,$G413&lt;&gt;"",$G413&gt;=Consulta!$L$4,$G413&lt;=Consulta!$L$5),COUNTIFS($C$6:$C413,Consulta!$L$3,$G$6:$G413,"&gt;="&amp;Consulta!$L$4,$G$6:$G413,"&lt;="&amp;Consulta!$L$5),""))</f>
        <v/>
      </c>
      <c r="L413" s="48" t="str">
        <f aca="false">IF($D413="","",IF($D413=Consulta!$S$3,COUNTIF($D$6:$D413,Consulta!$S$3),""))</f>
        <v/>
      </c>
      <c r="M413" s="48" t="str">
        <f aca="false">IF($N413="","",IF(AND($N413='Comprovante DEV'!$D$6,$G413='Comprovante DEV'!$D$7),COUNTIFS($N$6:$N413,'Comprovante DEV'!$D$6,$G$6:$G413,'Comprovante DEV'!$D$7),""))</f>
        <v/>
      </c>
      <c r="N413" s="48" t="str">
        <f aca="false">IF($F413="","",IFERROR(VLOOKUP($F413,Apelidos_Tecnico!$A:$B,2,0),$F413))</f>
        <v/>
      </c>
    </row>
    <row r="414" customFormat="false" ht="15" hidden="false" customHeight="false" outlineLevel="0" collapsed="false">
      <c r="A414" s="25"/>
      <c r="B414" s="25"/>
      <c r="C414" s="26"/>
      <c r="D414" s="25"/>
      <c r="E414" s="25"/>
      <c r="F414" s="25"/>
      <c r="G414" s="27"/>
      <c r="H414" s="25"/>
      <c r="I414" s="26"/>
      <c r="J414" s="48" t="str">
        <f aca="false">IF($N414="","",IF(AND($N414=Consulta!$C$3,$G414&lt;&gt;"",$G414&gt;=Consulta!$C$4,$G414&lt;=Consulta!$C$5),COUNTIFS($N$6:$N414,Consulta!$C$3,$G$6:$G414,"&gt;="&amp;Consulta!$C$4,$G$6:$G414,"&lt;="&amp;Consulta!$C$5),""))</f>
        <v/>
      </c>
      <c r="K414" s="48" t="str">
        <f aca="false">IF($C414="","",IF(AND($C414=Consulta!$L$3,$G414&lt;&gt;"",$G414&gt;=Consulta!$L$4,$G414&lt;=Consulta!$L$5),COUNTIFS($C$6:$C414,Consulta!$L$3,$G$6:$G414,"&gt;="&amp;Consulta!$L$4,$G$6:$G414,"&lt;="&amp;Consulta!$L$5),""))</f>
        <v/>
      </c>
      <c r="L414" s="48" t="str">
        <f aca="false">IF($D414="","",IF($D414=Consulta!$S$3,COUNTIF($D$6:$D414,Consulta!$S$3),""))</f>
        <v/>
      </c>
      <c r="M414" s="48" t="str">
        <f aca="false">IF($N414="","",IF(AND($N414='Comprovante DEV'!$D$6,$G414='Comprovante DEV'!$D$7),COUNTIFS($N$6:$N414,'Comprovante DEV'!$D$6,$G$6:$G414,'Comprovante DEV'!$D$7),""))</f>
        <v/>
      </c>
      <c r="N414" s="48" t="str">
        <f aca="false">IF($F414="","",IFERROR(VLOOKUP($F414,Apelidos_Tecnico!$A:$B,2,0),$F414))</f>
        <v/>
      </c>
    </row>
    <row r="415" customFormat="false" ht="15" hidden="false" customHeight="false" outlineLevel="0" collapsed="false">
      <c r="A415" s="25"/>
      <c r="B415" s="25"/>
      <c r="C415" s="26"/>
      <c r="D415" s="25"/>
      <c r="E415" s="25"/>
      <c r="F415" s="25"/>
      <c r="G415" s="27"/>
      <c r="H415" s="25"/>
      <c r="I415" s="26"/>
      <c r="J415" s="48" t="str">
        <f aca="false">IF($N415="","",IF(AND($N415=Consulta!$C$3,$G415&lt;&gt;"",$G415&gt;=Consulta!$C$4,$G415&lt;=Consulta!$C$5),COUNTIFS($N$6:$N415,Consulta!$C$3,$G$6:$G415,"&gt;="&amp;Consulta!$C$4,$G$6:$G415,"&lt;="&amp;Consulta!$C$5),""))</f>
        <v/>
      </c>
      <c r="K415" s="48" t="str">
        <f aca="false">IF($C415="","",IF(AND($C415=Consulta!$L$3,$G415&lt;&gt;"",$G415&gt;=Consulta!$L$4,$G415&lt;=Consulta!$L$5),COUNTIFS($C$6:$C415,Consulta!$L$3,$G$6:$G415,"&gt;="&amp;Consulta!$L$4,$G$6:$G415,"&lt;="&amp;Consulta!$L$5),""))</f>
        <v/>
      </c>
      <c r="L415" s="48" t="str">
        <f aca="false">IF($D415="","",IF($D415=Consulta!$S$3,COUNTIF($D$6:$D415,Consulta!$S$3),""))</f>
        <v/>
      </c>
      <c r="M415" s="48" t="str">
        <f aca="false">IF($N415="","",IF(AND($N415='Comprovante DEV'!$D$6,$G415='Comprovante DEV'!$D$7),COUNTIFS($N$6:$N415,'Comprovante DEV'!$D$6,$G$6:$G415,'Comprovante DEV'!$D$7),""))</f>
        <v/>
      </c>
      <c r="N415" s="48" t="str">
        <f aca="false">IF($F415="","",IFERROR(VLOOKUP($F415,Apelidos_Tecnico!$A:$B,2,0),$F415))</f>
        <v/>
      </c>
    </row>
    <row r="416" customFormat="false" ht="15" hidden="false" customHeight="false" outlineLevel="0" collapsed="false">
      <c r="A416" s="25"/>
      <c r="B416" s="25"/>
      <c r="C416" s="26"/>
      <c r="D416" s="25"/>
      <c r="E416" s="25"/>
      <c r="F416" s="25"/>
      <c r="G416" s="27"/>
      <c r="H416" s="25"/>
      <c r="I416" s="26"/>
      <c r="J416" s="48" t="str">
        <f aca="false">IF($N416="","",IF(AND($N416=Consulta!$C$3,$G416&lt;&gt;"",$G416&gt;=Consulta!$C$4,$G416&lt;=Consulta!$C$5),COUNTIFS($N$6:$N416,Consulta!$C$3,$G$6:$G416,"&gt;="&amp;Consulta!$C$4,$G$6:$G416,"&lt;="&amp;Consulta!$C$5),""))</f>
        <v/>
      </c>
      <c r="K416" s="48" t="str">
        <f aca="false">IF($C416="","",IF(AND($C416=Consulta!$L$3,$G416&lt;&gt;"",$G416&gt;=Consulta!$L$4,$G416&lt;=Consulta!$L$5),COUNTIFS($C$6:$C416,Consulta!$L$3,$G$6:$G416,"&gt;="&amp;Consulta!$L$4,$G$6:$G416,"&lt;="&amp;Consulta!$L$5),""))</f>
        <v/>
      </c>
      <c r="L416" s="48" t="str">
        <f aca="false">IF($D416="","",IF($D416=Consulta!$S$3,COUNTIF($D$6:$D416,Consulta!$S$3),""))</f>
        <v/>
      </c>
      <c r="M416" s="48" t="str">
        <f aca="false">IF($N416="","",IF(AND($N416='Comprovante DEV'!$D$6,$G416='Comprovante DEV'!$D$7),COUNTIFS($N$6:$N416,'Comprovante DEV'!$D$6,$G$6:$G416,'Comprovante DEV'!$D$7),""))</f>
        <v/>
      </c>
      <c r="N416" s="48" t="str">
        <f aca="false">IF($F416="","",IFERROR(VLOOKUP($F416,Apelidos_Tecnico!$A:$B,2,0),$F416))</f>
        <v/>
      </c>
    </row>
    <row r="417" customFormat="false" ht="15" hidden="false" customHeight="false" outlineLevel="0" collapsed="false">
      <c r="A417" s="25"/>
      <c r="B417" s="25"/>
      <c r="C417" s="26"/>
      <c r="D417" s="25"/>
      <c r="E417" s="25"/>
      <c r="F417" s="25"/>
      <c r="G417" s="27"/>
      <c r="H417" s="25"/>
      <c r="I417" s="26"/>
      <c r="J417" s="48" t="str">
        <f aca="false">IF($N417="","",IF(AND($N417=Consulta!$C$3,$G417&lt;&gt;"",$G417&gt;=Consulta!$C$4,$G417&lt;=Consulta!$C$5),COUNTIFS($N$6:$N417,Consulta!$C$3,$G$6:$G417,"&gt;="&amp;Consulta!$C$4,$G$6:$G417,"&lt;="&amp;Consulta!$C$5),""))</f>
        <v/>
      </c>
      <c r="K417" s="48" t="str">
        <f aca="false">IF($C417="","",IF(AND($C417=Consulta!$L$3,$G417&lt;&gt;"",$G417&gt;=Consulta!$L$4,$G417&lt;=Consulta!$L$5),COUNTIFS($C$6:$C417,Consulta!$L$3,$G$6:$G417,"&gt;="&amp;Consulta!$L$4,$G$6:$G417,"&lt;="&amp;Consulta!$L$5),""))</f>
        <v/>
      </c>
      <c r="L417" s="48" t="str">
        <f aca="false">IF($D417="","",IF($D417=Consulta!$S$3,COUNTIF($D$6:$D417,Consulta!$S$3),""))</f>
        <v/>
      </c>
      <c r="M417" s="48" t="str">
        <f aca="false">IF($N417="","",IF(AND($N417='Comprovante DEV'!$D$6,$G417='Comprovante DEV'!$D$7),COUNTIFS($N$6:$N417,'Comprovante DEV'!$D$6,$G$6:$G417,'Comprovante DEV'!$D$7),""))</f>
        <v/>
      </c>
      <c r="N417" s="48" t="str">
        <f aca="false">IF($F417="","",IFERROR(VLOOKUP($F417,Apelidos_Tecnico!$A:$B,2,0),$F417))</f>
        <v/>
      </c>
    </row>
    <row r="418" customFormat="false" ht="15" hidden="false" customHeight="false" outlineLevel="0" collapsed="false">
      <c r="A418" s="25"/>
      <c r="B418" s="25"/>
      <c r="C418" s="26"/>
      <c r="D418" s="25"/>
      <c r="E418" s="25"/>
      <c r="F418" s="25"/>
      <c r="G418" s="27"/>
      <c r="H418" s="25"/>
      <c r="I418" s="26"/>
      <c r="J418" s="48" t="str">
        <f aca="false">IF($N418="","",IF(AND($N418=Consulta!$C$3,$G418&lt;&gt;"",$G418&gt;=Consulta!$C$4,$G418&lt;=Consulta!$C$5),COUNTIFS($N$6:$N418,Consulta!$C$3,$G$6:$G418,"&gt;="&amp;Consulta!$C$4,$G$6:$G418,"&lt;="&amp;Consulta!$C$5),""))</f>
        <v/>
      </c>
      <c r="K418" s="48" t="str">
        <f aca="false">IF($C418="","",IF(AND($C418=Consulta!$L$3,$G418&lt;&gt;"",$G418&gt;=Consulta!$L$4,$G418&lt;=Consulta!$L$5),COUNTIFS($C$6:$C418,Consulta!$L$3,$G$6:$G418,"&gt;="&amp;Consulta!$L$4,$G$6:$G418,"&lt;="&amp;Consulta!$L$5),""))</f>
        <v/>
      </c>
      <c r="L418" s="48" t="str">
        <f aca="false">IF($D418="","",IF($D418=Consulta!$S$3,COUNTIF($D$6:$D418,Consulta!$S$3),""))</f>
        <v/>
      </c>
      <c r="M418" s="48" t="str">
        <f aca="false">IF($N418="","",IF(AND($N418='Comprovante DEV'!$D$6,$G418='Comprovante DEV'!$D$7),COUNTIFS($N$6:$N418,'Comprovante DEV'!$D$6,$G$6:$G418,'Comprovante DEV'!$D$7),""))</f>
        <v/>
      </c>
      <c r="N418" s="48" t="str">
        <f aca="false">IF($F418="","",IFERROR(VLOOKUP($F418,Apelidos_Tecnico!$A:$B,2,0),$F418))</f>
        <v/>
      </c>
    </row>
    <row r="419" customFormat="false" ht="15" hidden="false" customHeight="false" outlineLevel="0" collapsed="false">
      <c r="A419" s="25"/>
      <c r="B419" s="25"/>
      <c r="C419" s="26"/>
      <c r="D419" s="25"/>
      <c r="E419" s="25"/>
      <c r="F419" s="25"/>
      <c r="G419" s="27"/>
      <c r="H419" s="25"/>
      <c r="I419" s="26"/>
      <c r="J419" s="48" t="str">
        <f aca="false">IF($N419="","",IF(AND($N419=Consulta!$C$3,$G419&lt;&gt;"",$G419&gt;=Consulta!$C$4,$G419&lt;=Consulta!$C$5),COUNTIFS($N$6:$N419,Consulta!$C$3,$G$6:$G419,"&gt;="&amp;Consulta!$C$4,$G$6:$G419,"&lt;="&amp;Consulta!$C$5),""))</f>
        <v/>
      </c>
      <c r="K419" s="48" t="str">
        <f aca="false">IF($C419="","",IF(AND($C419=Consulta!$L$3,$G419&lt;&gt;"",$G419&gt;=Consulta!$L$4,$G419&lt;=Consulta!$L$5),COUNTIFS($C$6:$C419,Consulta!$L$3,$G$6:$G419,"&gt;="&amp;Consulta!$L$4,$G$6:$G419,"&lt;="&amp;Consulta!$L$5),""))</f>
        <v/>
      </c>
      <c r="L419" s="48" t="str">
        <f aca="false">IF($D419="","",IF($D419=Consulta!$S$3,COUNTIF($D$6:$D419,Consulta!$S$3),""))</f>
        <v/>
      </c>
      <c r="M419" s="48" t="str">
        <f aca="false">IF($N419="","",IF(AND($N419='Comprovante DEV'!$D$6,$G419='Comprovante DEV'!$D$7),COUNTIFS($N$6:$N419,'Comprovante DEV'!$D$6,$G$6:$G419,'Comprovante DEV'!$D$7),""))</f>
        <v/>
      </c>
      <c r="N419" s="48" t="str">
        <f aca="false">IF($F419="","",IFERROR(VLOOKUP($F419,Apelidos_Tecnico!$A:$B,2,0),$F419))</f>
        <v/>
      </c>
    </row>
    <row r="420" customFormat="false" ht="15" hidden="false" customHeight="false" outlineLevel="0" collapsed="false">
      <c r="A420" s="25"/>
      <c r="B420" s="25"/>
      <c r="C420" s="26"/>
      <c r="D420" s="25"/>
      <c r="E420" s="25"/>
      <c r="F420" s="25"/>
      <c r="G420" s="27"/>
      <c r="H420" s="25"/>
      <c r="I420" s="26"/>
      <c r="J420" s="48" t="str">
        <f aca="false">IF($N420="","",IF(AND($N420=Consulta!$C$3,$G420&lt;&gt;"",$G420&gt;=Consulta!$C$4,$G420&lt;=Consulta!$C$5),COUNTIFS($N$6:$N420,Consulta!$C$3,$G$6:$G420,"&gt;="&amp;Consulta!$C$4,$G$6:$G420,"&lt;="&amp;Consulta!$C$5),""))</f>
        <v/>
      </c>
      <c r="K420" s="48" t="str">
        <f aca="false">IF($C420="","",IF(AND($C420=Consulta!$L$3,$G420&lt;&gt;"",$G420&gt;=Consulta!$L$4,$G420&lt;=Consulta!$L$5),COUNTIFS($C$6:$C420,Consulta!$L$3,$G$6:$G420,"&gt;="&amp;Consulta!$L$4,$G$6:$G420,"&lt;="&amp;Consulta!$L$5),""))</f>
        <v/>
      </c>
      <c r="L420" s="48" t="str">
        <f aca="false">IF($D420="","",IF($D420=Consulta!$S$3,COUNTIF($D$6:$D420,Consulta!$S$3),""))</f>
        <v/>
      </c>
      <c r="M420" s="48" t="str">
        <f aca="false">IF($N420="","",IF(AND($N420='Comprovante DEV'!$D$6,$G420='Comprovante DEV'!$D$7),COUNTIFS($N$6:$N420,'Comprovante DEV'!$D$6,$G$6:$G420,'Comprovante DEV'!$D$7),""))</f>
        <v/>
      </c>
      <c r="N420" s="48" t="str">
        <f aca="false">IF($F420="","",IFERROR(VLOOKUP($F420,Apelidos_Tecnico!$A:$B,2,0),$F420))</f>
        <v/>
      </c>
    </row>
    <row r="421" customFormat="false" ht="15" hidden="false" customHeight="false" outlineLevel="0" collapsed="false">
      <c r="A421" s="25"/>
      <c r="B421" s="25"/>
      <c r="C421" s="26"/>
      <c r="D421" s="25"/>
      <c r="E421" s="25"/>
      <c r="F421" s="25"/>
      <c r="G421" s="27"/>
      <c r="H421" s="25"/>
      <c r="I421" s="26"/>
      <c r="J421" s="48" t="str">
        <f aca="false">IF($N421="","",IF(AND($N421=Consulta!$C$3,$G421&lt;&gt;"",$G421&gt;=Consulta!$C$4,$G421&lt;=Consulta!$C$5),COUNTIFS($N$6:$N421,Consulta!$C$3,$G$6:$G421,"&gt;="&amp;Consulta!$C$4,$G$6:$G421,"&lt;="&amp;Consulta!$C$5),""))</f>
        <v/>
      </c>
      <c r="K421" s="48" t="str">
        <f aca="false">IF($C421="","",IF(AND($C421=Consulta!$L$3,$G421&lt;&gt;"",$G421&gt;=Consulta!$L$4,$G421&lt;=Consulta!$L$5),COUNTIFS($C$6:$C421,Consulta!$L$3,$G$6:$G421,"&gt;="&amp;Consulta!$L$4,$G$6:$G421,"&lt;="&amp;Consulta!$L$5),""))</f>
        <v/>
      </c>
      <c r="L421" s="48" t="str">
        <f aca="false">IF($D421="","",IF($D421=Consulta!$S$3,COUNTIF($D$6:$D421,Consulta!$S$3),""))</f>
        <v/>
      </c>
      <c r="M421" s="48" t="str">
        <f aca="false">IF($N421="","",IF(AND($N421='Comprovante DEV'!$D$6,$G421='Comprovante DEV'!$D$7),COUNTIFS($N$6:$N421,'Comprovante DEV'!$D$6,$G$6:$G421,'Comprovante DEV'!$D$7),""))</f>
        <v/>
      </c>
      <c r="N421" s="48" t="str">
        <f aca="false">IF($F421="","",IFERROR(VLOOKUP($F421,Apelidos_Tecnico!$A:$B,2,0),$F421))</f>
        <v/>
      </c>
    </row>
    <row r="422" customFormat="false" ht="15" hidden="false" customHeight="false" outlineLevel="0" collapsed="false">
      <c r="A422" s="25"/>
      <c r="B422" s="25"/>
      <c r="C422" s="26"/>
      <c r="D422" s="25"/>
      <c r="E422" s="25"/>
      <c r="F422" s="25"/>
      <c r="G422" s="27"/>
      <c r="H422" s="25"/>
      <c r="I422" s="26"/>
      <c r="J422" s="48" t="str">
        <f aca="false">IF($N422="","",IF(AND($N422=Consulta!$C$3,$G422&lt;&gt;"",$G422&gt;=Consulta!$C$4,$G422&lt;=Consulta!$C$5),COUNTIFS($N$6:$N422,Consulta!$C$3,$G$6:$G422,"&gt;="&amp;Consulta!$C$4,$G$6:$G422,"&lt;="&amp;Consulta!$C$5),""))</f>
        <v/>
      </c>
      <c r="K422" s="48" t="str">
        <f aca="false">IF($C422="","",IF(AND($C422=Consulta!$L$3,$G422&lt;&gt;"",$G422&gt;=Consulta!$L$4,$G422&lt;=Consulta!$L$5),COUNTIFS($C$6:$C422,Consulta!$L$3,$G$6:$G422,"&gt;="&amp;Consulta!$L$4,$G$6:$G422,"&lt;="&amp;Consulta!$L$5),""))</f>
        <v/>
      </c>
      <c r="L422" s="48" t="str">
        <f aca="false">IF($D422="","",IF($D422=Consulta!$S$3,COUNTIF($D$6:$D422,Consulta!$S$3),""))</f>
        <v/>
      </c>
      <c r="M422" s="48" t="str">
        <f aca="false">IF($N422="","",IF(AND($N422='Comprovante DEV'!$D$6,$G422='Comprovante DEV'!$D$7),COUNTIFS($N$6:$N422,'Comprovante DEV'!$D$6,$G$6:$G422,'Comprovante DEV'!$D$7),""))</f>
        <v/>
      </c>
      <c r="N422" s="48" t="str">
        <f aca="false">IF($F422="","",IFERROR(VLOOKUP($F422,Apelidos_Tecnico!$A:$B,2,0),$F422))</f>
        <v/>
      </c>
    </row>
    <row r="423" customFormat="false" ht="15" hidden="false" customHeight="false" outlineLevel="0" collapsed="false">
      <c r="A423" s="25"/>
      <c r="B423" s="25"/>
      <c r="C423" s="26"/>
      <c r="D423" s="25"/>
      <c r="E423" s="25"/>
      <c r="F423" s="25"/>
      <c r="G423" s="27"/>
      <c r="H423" s="25"/>
      <c r="I423" s="26"/>
      <c r="J423" s="48" t="str">
        <f aca="false">IF($N423="","",IF(AND($N423=Consulta!$C$3,$G423&lt;&gt;"",$G423&gt;=Consulta!$C$4,$G423&lt;=Consulta!$C$5),COUNTIFS($N$6:$N423,Consulta!$C$3,$G$6:$G423,"&gt;="&amp;Consulta!$C$4,$G$6:$G423,"&lt;="&amp;Consulta!$C$5),""))</f>
        <v/>
      </c>
      <c r="K423" s="48" t="str">
        <f aca="false">IF($C423="","",IF(AND($C423=Consulta!$L$3,$G423&lt;&gt;"",$G423&gt;=Consulta!$L$4,$G423&lt;=Consulta!$L$5),COUNTIFS($C$6:$C423,Consulta!$L$3,$G$6:$G423,"&gt;="&amp;Consulta!$L$4,$G$6:$G423,"&lt;="&amp;Consulta!$L$5),""))</f>
        <v/>
      </c>
      <c r="L423" s="48" t="str">
        <f aca="false">IF($D423="","",IF($D423=Consulta!$S$3,COUNTIF($D$6:$D423,Consulta!$S$3),""))</f>
        <v/>
      </c>
      <c r="M423" s="48" t="str">
        <f aca="false">IF($N423="","",IF(AND($N423='Comprovante DEV'!$D$6,$G423='Comprovante DEV'!$D$7),COUNTIFS($N$6:$N423,'Comprovante DEV'!$D$6,$G$6:$G423,'Comprovante DEV'!$D$7),""))</f>
        <v/>
      </c>
      <c r="N423" s="48" t="str">
        <f aca="false">IF($F423="","",IFERROR(VLOOKUP($F423,Apelidos_Tecnico!$A:$B,2,0),$F423))</f>
        <v/>
      </c>
    </row>
    <row r="424" customFormat="false" ht="15" hidden="false" customHeight="false" outlineLevel="0" collapsed="false">
      <c r="A424" s="25"/>
      <c r="B424" s="25"/>
      <c r="C424" s="26"/>
      <c r="D424" s="25"/>
      <c r="E424" s="25"/>
      <c r="F424" s="25"/>
      <c r="G424" s="27"/>
      <c r="H424" s="25"/>
      <c r="I424" s="26"/>
      <c r="J424" s="48" t="str">
        <f aca="false">IF($N424="","",IF(AND($N424=Consulta!$C$3,$G424&lt;&gt;"",$G424&gt;=Consulta!$C$4,$G424&lt;=Consulta!$C$5),COUNTIFS($N$6:$N424,Consulta!$C$3,$G$6:$G424,"&gt;="&amp;Consulta!$C$4,$G$6:$G424,"&lt;="&amp;Consulta!$C$5),""))</f>
        <v/>
      </c>
      <c r="K424" s="48" t="str">
        <f aca="false">IF($C424="","",IF(AND($C424=Consulta!$L$3,$G424&lt;&gt;"",$G424&gt;=Consulta!$L$4,$G424&lt;=Consulta!$L$5),COUNTIFS($C$6:$C424,Consulta!$L$3,$G$6:$G424,"&gt;="&amp;Consulta!$L$4,$G$6:$G424,"&lt;="&amp;Consulta!$L$5),""))</f>
        <v/>
      </c>
      <c r="L424" s="48" t="str">
        <f aca="false">IF($D424="","",IF($D424=Consulta!$S$3,COUNTIF($D$6:$D424,Consulta!$S$3),""))</f>
        <v/>
      </c>
      <c r="M424" s="48" t="str">
        <f aca="false">IF($N424="","",IF(AND($N424='Comprovante DEV'!$D$6,$G424='Comprovante DEV'!$D$7),COUNTIFS($N$6:$N424,'Comprovante DEV'!$D$6,$G$6:$G424,'Comprovante DEV'!$D$7),""))</f>
        <v/>
      </c>
      <c r="N424" s="48" t="str">
        <f aca="false">IF($F424="","",IFERROR(VLOOKUP($F424,Apelidos_Tecnico!$A:$B,2,0),$F424))</f>
        <v/>
      </c>
    </row>
    <row r="425" customFormat="false" ht="15" hidden="false" customHeight="false" outlineLevel="0" collapsed="false">
      <c r="A425" s="25"/>
      <c r="B425" s="25"/>
      <c r="C425" s="26"/>
      <c r="D425" s="25"/>
      <c r="E425" s="25"/>
      <c r="F425" s="25"/>
      <c r="G425" s="27"/>
      <c r="H425" s="25"/>
      <c r="I425" s="26"/>
      <c r="J425" s="48" t="str">
        <f aca="false">IF($N425="","",IF(AND($N425=Consulta!$C$3,$G425&lt;&gt;"",$G425&gt;=Consulta!$C$4,$G425&lt;=Consulta!$C$5),COUNTIFS($N$6:$N425,Consulta!$C$3,$G$6:$G425,"&gt;="&amp;Consulta!$C$4,$G$6:$G425,"&lt;="&amp;Consulta!$C$5),""))</f>
        <v/>
      </c>
      <c r="K425" s="48" t="str">
        <f aca="false">IF($C425="","",IF(AND($C425=Consulta!$L$3,$G425&lt;&gt;"",$G425&gt;=Consulta!$L$4,$G425&lt;=Consulta!$L$5),COUNTIFS($C$6:$C425,Consulta!$L$3,$G$6:$G425,"&gt;="&amp;Consulta!$L$4,$G$6:$G425,"&lt;="&amp;Consulta!$L$5),""))</f>
        <v/>
      </c>
      <c r="L425" s="48" t="str">
        <f aca="false">IF($D425="","",IF($D425=Consulta!$S$3,COUNTIF($D$6:$D425,Consulta!$S$3),""))</f>
        <v/>
      </c>
      <c r="M425" s="48" t="str">
        <f aca="false">IF($N425="","",IF(AND($N425='Comprovante DEV'!$D$6,$G425='Comprovante DEV'!$D$7),COUNTIFS($N$6:$N425,'Comprovante DEV'!$D$6,$G$6:$G425,'Comprovante DEV'!$D$7),""))</f>
        <v/>
      </c>
      <c r="N425" s="48" t="str">
        <f aca="false">IF($F425="","",IFERROR(VLOOKUP($F425,Apelidos_Tecnico!$A:$B,2,0),$F425))</f>
        <v/>
      </c>
    </row>
    <row r="426" customFormat="false" ht="15" hidden="false" customHeight="false" outlineLevel="0" collapsed="false">
      <c r="A426" s="25"/>
      <c r="B426" s="25"/>
      <c r="C426" s="26"/>
      <c r="D426" s="25"/>
      <c r="E426" s="25"/>
      <c r="F426" s="25"/>
      <c r="G426" s="27"/>
      <c r="H426" s="25"/>
      <c r="I426" s="26"/>
      <c r="J426" s="48" t="str">
        <f aca="false">IF($N426="","",IF(AND($N426=Consulta!$C$3,$G426&lt;&gt;"",$G426&gt;=Consulta!$C$4,$G426&lt;=Consulta!$C$5),COUNTIFS($N$6:$N426,Consulta!$C$3,$G$6:$G426,"&gt;="&amp;Consulta!$C$4,$G$6:$G426,"&lt;="&amp;Consulta!$C$5),""))</f>
        <v/>
      </c>
      <c r="K426" s="48" t="str">
        <f aca="false">IF($C426="","",IF(AND($C426=Consulta!$L$3,$G426&lt;&gt;"",$G426&gt;=Consulta!$L$4,$G426&lt;=Consulta!$L$5),COUNTIFS($C$6:$C426,Consulta!$L$3,$G$6:$G426,"&gt;="&amp;Consulta!$L$4,$G$6:$G426,"&lt;="&amp;Consulta!$L$5),""))</f>
        <v/>
      </c>
      <c r="L426" s="48" t="str">
        <f aca="false">IF($D426="","",IF($D426=Consulta!$S$3,COUNTIF($D$6:$D426,Consulta!$S$3),""))</f>
        <v/>
      </c>
      <c r="M426" s="48" t="str">
        <f aca="false">IF($N426="","",IF(AND($N426='Comprovante DEV'!$D$6,$G426='Comprovante DEV'!$D$7),COUNTIFS($N$6:$N426,'Comprovante DEV'!$D$6,$G$6:$G426,'Comprovante DEV'!$D$7),""))</f>
        <v/>
      </c>
      <c r="N426" s="48" t="str">
        <f aca="false">IF($F426="","",IFERROR(VLOOKUP($F426,Apelidos_Tecnico!$A:$B,2,0),$F426))</f>
        <v/>
      </c>
    </row>
    <row r="427" customFormat="false" ht="15" hidden="false" customHeight="false" outlineLevel="0" collapsed="false">
      <c r="A427" s="25"/>
      <c r="B427" s="25"/>
      <c r="C427" s="26"/>
      <c r="D427" s="25"/>
      <c r="E427" s="25"/>
      <c r="F427" s="25"/>
      <c r="G427" s="27"/>
      <c r="H427" s="25"/>
      <c r="I427" s="26"/>
      <c r="J427" s="48" t="str">
        <f aca="false">IF($N427="","",IF(AND($N427=Consulta!$C$3,$G427&lt;&gt;"",$G427&gt;=Consulta!$C$4,$G427&lt;=Consulta!$C$5),COUNTIFS($N$6:$N427,Consulta!$C$3,$G$6:$G427,"&gt;="&amp;Consulta!$C$4,$G$6:$G427,"&lt;="&amp;Consulta!$C$5),""))</f>
        <v/>
      </c>
      <c r="K427" s="48" t="str">
        <f aca="false">IF($C427="","",IF(AND($C427=Consulta!$L$3,$G427&lt;&gt;"",$G427&gt;=Consulta!$L$4,$G427&lt;=Consulta!$L$5),COUNTIFS($C$6:$C427,Consulta!$L$3,$G$6:$G427,"&gt;="&amp;Consulta!$L$4,$G$6:$G427,"&lt;="&amp;Consulta!$L$5),""))</f>
        <v/>
      </c>
      <c r="L427" s="48" t="str">
        <f aca="false">IF($D427="","",IF($D427=Consulta!$S$3,COUNTIF($D$6:$D427,Consulta!$S$3),""))</f>
        <v/>
      </c>
      <c r="M427" s="48" t="str">
        <f aca="false">IF($N427="","",IF(AND($N427='Comprovante DEV'!$D$6,$G427='Comprovante DEV'!$D$7),COUNTIFS($N$6:$N427,'Comprovante DEV'!$D$6,$G$6:$G427,'Comprovante DEV'!$D$7),""))</f>
        <v/>
      </c>
      <c r="N427" s="48" t="str">
        <f aca="false">IF($F427="","",IFERROR(VLOOKUP($F427,Apelidos_Tecnico!$A:$B,2,0),$F427))</f>
        <v/>
      </c>
    </row>
    <row r="428" customFormat="false" ht="15" hidden="false" customHeight="false" outlineLevel="0" collapsed="false">
      <c r="A428" s="25"/>
      <c r="B428" s="25"/>
      <c r="C428" s="26"/>
      <c r="D428" s="25"/>
      <c r="E428" s="25"/>
      <c r="F428" s="25"/>
      <c r="G428" s="27"/>
      <c r="H428" s="25"/>
      <c r="I428" s="26"/>
      <c r="J428" s="48" t="str">
        <f aca="false">IF($N428="","",IF(AND($N428=Consulta!$C$3,$G428&lt;&gt;"",$G428&gt;=Consulta!$C$4,$G428&lt;=Consulta!$C$5),COUNTIFS($N$6:$N428,Consulta!$C$3,$G$6:$G428,"&gt;="&amp;Consulta!$C$4,$G$6:$G428,"&lt;="&amp;Consulta!$C$5),""))</f>
        <v/>
      </c>
      <c r="K428" s="48" t="str">
        <f aca="false">IF($C428="","",IF(AND($C428=Consulta!$L$3,$G428&lt;&gt;"",$G428&gt;=Consulta!$L$4,$G428&lt;=Consulta!$L$5),COUNTIFS($C$6:$C428,Consulta!$L$3,$G$6:$G428,"&gt;="&amp;Consulta!$L$4,$G$6:$G428,"&lt;="&amp;Consulta!$L$5),""))</f>
        <v/>
      </c>
      <c r="L428" s="48" t="str">
        <f aca="false">IF($D428="","",IF($D428=Consulta!$S$3,COUNTIF($D$6:$D428,Consulta!$S$3),""))</f>
        <v/>
      </c>
      <c r="M428" s="48" t="str">
        <f aca="false">IF($N428="","",IF(AND($N428='Comprovante DEV'!$D$6,$G428='Comprovante DEV'!$D$7),COUNTIFS($N$6:$N428,'Comprovante DEV'!$D$6,$G$6:$G428,'Comprovante DEV'!$D$7),""))</f>
        <v/>
      </c>
      <c r="N428" s="48" t="str">
        <f aca="false">IF($F428="","",IFERROR(VLOOKUP($F428,Apelidos_Tecnico!$A:$B,2,0),$F428))</f>
        <v/>
      </c>
    </row>
    <row r="429" customFormat="false" ht="15" hidden="false" customHeight="false" outlineLevel="0" collapsed="false">
      <c r="A429" s="25"/>
      <c r="B429" s="25"/>
      <c r="C429" s="26"/>
      <c r="D429" s="25"/>
      <c r="E429" s="25"/>
      <c r="F429" s="25"/>
      <c r="G429" s="27"/>
      <c r="H429" s="25"/>
      <c r="I429" s="26"/>
      <c r="J429" s="48" t="str">
        <f aca="false">IF($N429="","",IF(AND($N429=Consulta!$C$3,$G429&lt;&gt;"",$G429&gt;=Consulta!$C$4,$G429&lt;=Consulta!$C$5),COUNTIFS($N$6:$N429,Consulta!$C$3,$G$6:$G429,"&gt;="&amp;Consulta!$C$4,$G$6:$G429,"&lt;="&amp;Consulta!$C$5),""))</f>
        <v/>
      </c>
      <c r="K429" s="48" t="str">
        <f aca="false">IF($C429="","",IF(AND($C429=Consulta!$L$3,$G429&lt;&gt;"",$G429&gt;=Consulta!$L$4,$G429&lt;=Consulta!$L$5),COUNTIFS($C$6:$C429,Consulta!$L$3,$G$6:$G429,"&gt;="&amp;Consulta!$L$4,$G$6:$G429,"&lt;="&amp;Consulta!$L$5),""))</f>
        <v/>
      </c>
      <c r="L429" s="48" t="str">
        <f aca="false">IF($D429="","",IF($D429=Consulta!$S$3,COUNTIF($D$6:$D429,Consulta!$S$3),""))</f>
        <v/>
      </c>
      <c r="M429" s="48" t="str">
        <f aca="false">IF($N429="","",IF(AND($N429='Comprovante DEV'!$D$6,$G429='Comprovante DEV'!$D$7),COUNTIFS($N$6:$N429,'Comprovante DEV'!$D$6,$G$6:$G429,'Comprovante DEV'!$D$7),""))</f>
        <v/>
      </c>
      <c r="N429" s="48" t="str">
        <f aca="false">IF($F429="","",IFERROR(VLOOKUP($F429,Apelidos_Tecnico!$A:$B,2,0),$F429))</f>
        <v/>
      </c>
    </row>
    <row r="430" customFormat="false" ht="15" hidden="false" customHeight="false" outlineLevel="0" collapsed="false">
      <c r="A430" s="25"/>
      <c r="B430" s="25"/>
      <c r="C430" s="26"/>
      <c r="D430" s="25"/>
      <c r="E430" s="25"/>
      <c r="F430" s="25"/>
      <c r="G430" s="27"/>
      <c r="H430" s="25"/>
      <c r="I430" s="26"/>
      <c r="J430" s="48" t="str">
        <f aca="false">IF($N430="","",IF(AND($N430=Consulta!$C$3,$G430&lt;&gt;"",$G430&gt;=Consulta!$C$4,$G430&lt;=Consulta!$C$5),COUNTIFS($N$6:$N430,Consulta!$C$3,$G$6:$G430,"&gt;="&amp;Consulta!$C$4,$G$6:$G430,"&lt;="&amp;Consulta!$C$5),""))</f>
        <v/>
      </c>
      <c r="K430" s="48" t="str">
        <f aca="false">IF($C430="","",IF(AND($C430=Consulta!$L$3,$G430&lt;&gt;"",$G430&gt;=Consulta!$L$4,$G430&lt;=Consulta!$L$5),COUNTIFS($C$6:$C430,Consulta!$L$3,$G$6:$G430,"&gt;="&amp;Consulta!$L$4,$G$6:$G430,"&lt;="&amp;Consulta!$L$5),""))</f>
        <v/>
      </c>
      <c r="L430" s="48" t="str">
        <f aca="false">IF($D430="","",IF($D430=Consulta!$S$3,COUNTIF($D$6:$D430,Consulta!$S$3),""))</f>
        <v/>
      </c>
      <c r="M430" s="48" t="str">
        <f aca="false">IF($N430="","",IF(AND($N430='Comprovante DEV'!$D$6,$G430='Comprovante DEV'!$D$7),COUNTIFS($N$6:$N430,'Comprovante DEV'!$D$6,$G$6:$G430,'Comprovante DEV'!$D$7),""))</f>
        <v/>
      </c>
      <c r="N430" s="48" t="str">
        <f aca="false">IF($F430="","",IFERROR(VLOOKUP($F430,Apelidos_Tecnico!$A:$B,2,0),$F430))</f>
        <v/>
      </c>
    </row>
    <row r="431" customFormat="false" ht="15" hidden="false" customHeight="false" outlineLevel="0" collapsed="false">
      <c r="A431" s="25"/>
      <c r="B431" s="25"/>
      <c r="C431" s="26"/>
      <c r="D431" s="25"/>
      <c r="E431" s="25"/>
      <c r="F431" s="25"/>
      <c r="G431" s="27"/>
      <c r="H431" s="25"/>
      <c r="I431" s="26"/>
      <c r="J431" s="48" t="str">
        <f aca="false">IF($N431="","",IF(AND($N431=Consulta!$C$3,$G431&lt;&gt;"",$G431&gt;=Consulta!$C$4,$G431&lt;=Consulta!$C$5),COUNTIFS($N$6:$N431,Consulta!$C$3,$G$6:$G431,"&gt;="&amp;Consulta!$C$4,$G$6:$G431,"&lt;="&amp;Consulta!$C$5),""))</f>
        <v/>
      </c>
      <c r="K431" s="48" t="str">
        <f aca="false">IF($C431="","",IF(AND($C431=Consulta!$L$3,$G431&lt;&gt;"",$G431&gt;=Consulta!$L$4,$G431&lt;=Consulta!$L$5),COUNTIFS($C$6:$C431,Consulta!$L$3,$G$6:$G431,"&gt;="&amp;Consulta!$L$4,$G$6:$G431,"&lt;="&amp;Consulta!$L$5),""))</f>
        <v/>
      </c>
      <c r="L431" s="48" t="str">
        <f aca="false">IF($D431="","",IF($D431=Consulta!$S$3,COUNTIF($D$6:$D431,Consulta!$S$3),""))</f>
        <v/>
      </c>
      <c r="M431" s="48" t="str">
        <f aca="false">IF($N431="","",IF(AND($N431='Comprovante DEV'!$D$6,$G431='Comprovante DEV'!$D$7),COUNTIFS($N$6:$N431,'Comprovante DEV'!$D$6,$G$6:$G431,'Comprovante DEV'!$D$7),""))</f>
        <v/>
      </c>
      <c r="N431" s="48" t="str">
        <f aca="false">IF($F431="","",IFERROR(VLOOKUP($F431,Apelidos_Tecnico!$A:$B,2,0),$F431))</f>
        <v/>
      </c>
    </row>
    <row r="432" customFormat="false" ht="15" hidden="false" customHeight="false" outlineLevel="0" collapsed="false">
      <c r="A432" s="25"/>
      <c r="B432" s="25"/>
      <c r="C432" s="26"/>
      <c r="D432" s="25"/>
      <c r="E432" s="25"/>
      <c r="F432" s="25"/>
      <c r="G432" s="27"/>
      <c r="H432" s="25"/>
      <c r="I432" s="26"/>
      <c r="J432" s="48" t="str">
        <f aca="false">IF($N432="","",IF(AND($N432=Consulta!$C$3,$G432&lt;&gt;"",$G432&gt;=Consulta!$C$4,$G432&lt;=Consulta!$C$5),COUNTIFS($N$6:$N432,Consulta!$C$3,$G$6:$G432,"&gt;="&amp;Consulta!$C$4,$G$6:$G432,"&lt;="&amp;Consulta!$C$5),""))</f>
        <v/>
      </c>
      <c r="K432" s="48" t="str">
        <f aca="false">IF($C432="","",IF(AND($C432=Consulta!$L$3,$G432&lt;&gt;"",$G432&gt;=Consulta!$L$4,$G432&lt;=Consulta!$L$5),COUNTIFS($C$6:$C432,Consulta!$L$3,$G$6:$G432,"&gt;="&amp;Consulta!$L$4,$G$6:$G432,"&lt;="&amp;Consulta!$L$5),""))</f>
        <v/>
      </c>
      <c r="L432" s="48" t="str">
        <f aca="false">IF($D432="","",IF($D432=Consulta!$S$3,COUNTIF($D$6:$D432,Consulta!$S$3),""))</f>
        <v/>
      </c>
      <c r="M432" s="48" t="str">
        <f aca="false">IF($N432="","",IF(AND($N432='Comprovante DEV'!$D$6,$G432='Comprovante DEV'!$D$7),COUNTIFS($N$6:$N432,'Comprovante DEV'!$D$6,$G$6:$G432,'Comprovante DEV'!$D$7),""))</f>
        <v/>
      </c>
      <c r="N432" s="48" t="str">
        <f aca="false">IF($F432="","",IFERROR(VLOOKUP($F432,Apelidos_Tecnico!$A:$B,2,0),$F432))</f>
        <v/>
      </c>
    </row>
    <row r="433" customFormat="false" ht="15" hidden="false" customHeight="false" outlineLevel="0" collapsed="false">
      <c r="A433" s="25"/>
      <c r="B433" s="25"/>
      <c r="C433" s="26"/>
      <c r="D433" s="25"/>
      <c r="E433" s="25"/>
      <c r="F433" s="25"/>
      <c r="G433" s="27"/>
      <c r="H433" s="25"/>
      <c r="I433" s="26"/>
      <c r="J433" s="48" t="str">
        <f aca="false">IF($N433="","",IF(AND($N433=Consulta!$C$3,$G433&lt;&gt;"",$G433&gt;=Consulta!$C$4,$G433&lt;=Consulta!$C$5),COUNTIFS($N$6:$N433,Consulta!$C$3,$G$6:$G433,"&gt;="&amp;Consulta!$C$4,$G$6:$G433,"&lt;="&amp;Consulta!$C$5),""))</f>
        <v/>
      </c>
      <c r="K433" s="48" t="str">
        <f aca="false">IF($C433="","",IF(AND($C433=Consulta!$L$3,$G433&lt;&gt;"",$G433&gt;=Consulta!$L$4,$G433&lt;=Consulta!$L$5),COUNTIFS($C$6:$C433,Consulta!$L$3,$G$6:$G433,"&gt;="&amp;Consulta!$L$4,$G$6:$G433,"&lt;="&amp;Consulta!$L$5),""))</f>
        <v/>
      </c>
      <c r="L433" s="48" t="str">
        <f aca="false">IF($D433="","",IF($D433=Consulta!$S$3,COUNTIF($D$6:$D433,Consulta!$S$3),""))</f>
        <v/>
      </c>
      <c r="M433" s="48" t="str">
        <f aca="false">IF($N433="","",IF(AND($N433='Comprovante DEV'!$D$6,$G433='Comprovante DEV'!$D$7),COUNTIFS($N$6:$N433,'Comprovante DEV'!$D$6,$G$6:$G433,'Comprovante DEV'!$D$7),""))</f>
        <v/>
      </c>
      <c r="N433" s="48" t="str">
        <f aca="false">IF($F433="","",IFERROR(VLOOKUP($F433,Apelidos_Tecnico!$A:$B,2,0),$F433))</f>
        <v/>
      </c>
    </row>
    <row r="434" customFormat="false" ht="15" hidden="false" customHeight="false" outlineLevel="0" collapsed="false">
      <c r="A434" s="25"/>
      <c r="B434" s="25"/>
      <c r="C434" s="26"/>
      <c r="D434" s="25"/>
      <c r="E434" s="25"/>
      <c r="F434" s="25"/>
      <c r="G434" s="27"/>
      <c r="H434" s="25"/>
      <c r="I434" s="26"/>
      <c r="J434" s="48" t="str">
        <f aca="false">IF($N434="","",IF(AND($N434=Consulta!$C$3,$G434&lt;&gt;"",$G434&gt;=Consulta!$C$4,$G434&lt;=Consulta!$C$5),COUNTIFS($N$6:$N434,Consulta!$C$3,$G$6:$G434,"&gt;="&amp;Consulta!$C$4,$G$6:$G434,"&lt;="&amp;Consulta!$C$5),""))</f>
        <v/>
      </c>
      <c r="K434" s="48" t="str">
        <f aca="false">IF($C434="","",IF(AND($C434=Consulta!$L$3,$G434&lt;&gt;"",$G434&gt;=Consulta!$L$4,$G434&lt;=Consulta!$L$5),COUNTIFS($C$6:$C434,Consulta!$L$3,$G$6:$G434,"&gt;="&amp;Consulta!$L$4,$G$6:$G434,"&lt;="&amp;Consulta!$L$5),""))</f>
        <v/>
      </c>
      <c r="L434" s="48" t="str">
        <f aca="false">IF($D434="","",IF($D434=Consulta!$S$3,COUNTIF($D$6:$D434,Consulta!$S$3),""))</f>
        <v/>
      </c>
      <c r="M434" s="48" t="str">
        <f aca="false">IF($N434="","",IF(AND($N434='Comprovante DEV'!$D$6,$G434='Comprovante DEV'!$D$7),COUNTIFS($N$6:$N434,'Comprovante DEV'!$D$6,$G$6:$G434,'Comprovante DEV'!$D$7),""))</f>
        <v/>
      </c>
      <c r="N434" s="48" t="str">
        <f aca="false">IF($F434="","",IFERROR(VLOOKUP($F434,Apelidos_Tecnico!$A:$B,2,0),$F434))</f>
        <v/>
      </c>
    </row>
    <row r="435" customFormat="false" ht="15" hidden="false" customHeight="false" outlineLevel="0" collapsed="false">
      <c r="A435" s="25"/>
      <c r="B435" s="25"/>
      <c r="C435" s="26"/>
      <c r="D435" s="25"/>
      <c r="E435" s="25"/>
      <c r="F435" s="25"/>
      <c r="G435" s="27"/>
      <c r="H435" s="25"/>
      <c r="I435" s="26"/>
      <c r="J435" s="48" t="str">
        <f aca="false">IF($N435="","",IF(AND($N435=Consulta!$C$3,$G435&lt;&gt;"",$G435&gt;=Consulta!$C$4,$G435&lt;=Consulta!$C$5),COUNTIFS($N$6:$N435,Consulta!$C$3,$G$6:$G435,"&gt;="&amp;Consulta!$C$4,$G$6:$G435,"&lt;="&amp;Consulta!$C$5),""))</f>
        <v/>
      </c>
      <c r="K435" s="48" t="str">
        <f aca="false">IF($C435="","",IF(AND($C435=Consulta!$L$3,$G435&lt;&gt;"",$G435&gt;=Consulta!$L$4,$G435&lt;=Consulta!$L$5),COUNTIFS($C$6:$C435,Consulta!$L$3,$G$6:$G435,"&gt;="&amp;Consulta!$L$4,$G$6:$G435,"&lt;="&amp;Consulta!$L$5),""))</f>
        <v/>
      </c>
      <c r="L435" s="48" t="str">
        <f aca="false">IF($D435="","",IF($D435=Consulta!$S$3,COUNTIF($D$6:$D435,Consulta!$S$3),""))</f>
        <v/>
      </c>
      <c r="M435" s="48" t="str">
        <f aca="false">IF($N435="","",IF(AND($N435='Comprovante DEV'!$D$6,$G435='Comprovante DEV'!$D$7),COUNTIFS($N$6:$N435,'Comprovante DEV'!$D$6,$G$6:$G435,'Comprovante DEV'!$D$7),""))</f>
        <v/>
      </c>
      <c r="N435" s="48" t="str">
        <f aca="false">IF($F435="","",IFERROR(VLOOKUP($F435,Apelidos_Tecnico!$A:$B,2,0),$F435))</f>
        <v/>
      </c>
    </row>
    <row r="436" customFormat="false" ht="15" hidden="false" customHeight="false" outlineLevel="0" collapsed="false">
      <c r="A436" s="25"/>
      <c r="B436" s="25"/>
      <c r="C436" s="26"/>
      <c r="D436" s="25"/>
      <c r="E436" s="25"/>
      <c r="F436" s="25"/>
      <c r="G436" s="27"/>
      <c r="H436" s="25"/>
      <c r="I436" s="26"/>
      <c r="J436" s="48" t="str">
        <f aca="false">IF($N436="","",IF(AND($N436=Consulta!$C$3,$G436&lt;&gt;"",$G436&gt;=Consulta!$C$4,$G436&lt;=Consulta!$C$5),COUNTIFS($N$6:$N436,Consulta!$C$3,$G$6:$G436,"&gt;="&amp;Consulta!$C$4,$G$6:$G436,"&lt;="&amp;Consulta!$C$5),""))</f>
        <v/>
      </c>
      <c r="K436" s="48" t="str">
        <f aca="false">IF($C436="","",IF(AND($C436=Consulta!$L$3,$G436&lt;&gt;"",$G436&gt;=Consulta!$L$4,$G436&lt;=Consulta!$L$5),COUNTIFS($C$6:$C436,Consulta!$L$3,$G$6:$G436,"&gt;="&amp;Consulta!$L$4,$G$6:$G436,"&lt;="&amp;Consulta!$L$5),""))</f>
        <v/>
      </c>
      <c r="L436" s="48" t="str">
        <f aca="false">IF($D436="","",IF($D436=Consulta!$S$3,COUNTIF($D$6:$D436,Consulta!$S$3),""))</f>
        <v/>
      </c>
      <c r="M436" s="48" t="str">
        <f aca="false">IF($N436="","",IF(AND($N436='Comprovante DEV'!$D$6,$G436='Comprovante DEV'!$D$7),COUNTIFS($N$6:$N436,'Comprovante DEV'!$D$6,$G$6:$G436,'Comprovante DEV'!$D$7),""))</f>
        <v/>
      </c>
      <c r="N436" s="48" t="str">
        <f aca="false">IF($F436="","",IFERROR(VLOOKUP($F436,Apelidos_Tecnico!$A:$B,2,0),$F436))</f>
        <v/>
      </c>
    </row>
    <row r="437" customFormat="false" ht="15" hidden="false" customHeight="false" outlineLevel="0" collapsed="false">
      <c r="A437" s="25"/>
      <c r="B437" s="25"/>
      <c r="C437" s="26"/>
      <c r="D437" s="25"/>
      <c r="E437" s="25"/>
      <c r="F437" s="25"/>
      <c r="G437" s="27"/>
      <c r="H437" s="25"/>
      <c r="I437" s="26"/>
      <c r="J437" s="48" t="str">
        <f aca="false">IF($N437="","",IF(AND($N437=Consulta!$C$3,$G437&lt;&gt;"",$G437&gt;=Consulta!$C$4,$G437&lt;=Consulta!$C$5),COUNTIFS($N$6:$N437,Consulta!$C$3,$G$6:$G437,"&gt;="&amp;Consulta!$C$4,$G$6:$G437,"&lt;="&amp;Consulta!$C$5),""))</f>
        <v/>
      </c>
      <c r="K437" s="48" t="str">
        <f aca="false">IF($C437="","",IF(AND($C437=Consulta!$L$3,$G437&lt;&gt;"",$G437&gt;=Consulta!$L$4,$G437&lt;=Consulta!$L$5),COUNTIFS($C$6:$C437,Consulta!$L$3,$G$6:$G437,"&gt;="&amp;Consulta!$L$4,$G$6:$G437,"&lt;="&amp;Consulta!$L$5),""))</f>
        <v/>
      </c>
      <c r="L437" s="48" t="str">
        <f aca="false">IF($D437="","",IF($D437=Consulta!$S$3,COUNTIF($D$6:$D437,Consulta!$S$3),""))</f>
        <v/>
      </c>
      <c r="M437" s="48" t="str">
        <f aca="false">IF($N437="","",IF(AND($N437='Comprovante DEV'!$D$6,$G437='Comprovante DEV'!$D$7),COUNTIFS($N$6:$N437,'Comprovante DEV'!$D$6,$G$6:$G437,'Comprovante DEV'!$D$7),""))</f>
        <v/>
      </c>
      <c r="N437" s="48" t="str">
        <f aca="false">IF($F437="","",IFERROR(VLOOKUP($F437,Apelidos_Tecnico!$A:$B,2,0),$F437))</f>
        <v/>
      </c>
    </row>
    <row r="438" customFormat="false" ht="15" hidden="false" customHeight="false" outlineLevel="0" collapsed="false">
      <c r="A438" s="25"/>
      <c r="B438" s="25"/>
      <c r="C438" s="26"/>
      <c r="D438" s="25"/>
      <c r="E438" s="25"/>
      <c r="F438" s="25"/>
      <c r="G438" s="27"/>
      <c r="H438" s="25"/>
      <c r="I438" s="26"/>
      <c r="J438" s="48" t="str">
        <f aca="false">IF($N438="","",IF(AND($N438=Consulta!$C$3,$G438&lt;&gt;"",$G438&gt;=Consulta!$C$4,$G438&lt;=Consulta!$C$5),COUNTIFS($N$6:$N438,Consulta!$C$3,$G$6:$G438,"&gt;="&amp;Consulta!$C$4,$G$6:$G438,"&lt;="&amp;Consulta!$C$5),""))</f>
        <v/>
      </c>
      <c r="K438" s="48" t="str">
        <f aca="false">IF($C438="","",IF(AND($C438=Consulta!$L$3,$G438&lt;&gt;"",$G438&gt;=Consulta!$L$4,$G438&lt;=Consulta!$L$5),COUNTIFS($C$6:$C438,Consulta!$L$3,$G$6:$G438,"&gt;="&amp;Consulta!$L$4,$G$6:$G438,"&lt;="&amp;Consulta!$L$5),""))</f>
        <v/>
      </c>
      <c r="L438" s="48" t="str">
        <f aca="false">IF($D438="","",IF($D438=Consulta!$S$3,COUNTIF($D$6:$D438,Consulta!$S$3),""))</f>
        <v/>
      </c>
      <c r="M438" s="48" t="str">
        <f aca="false">IF($N438="","",IF(AND($N438='Comprovante DEV'!$D$6,$G438='Comprovante DEV'!$D$7),COUNTIFS($N$6:$N438,'Comprovante DEV'!$D$6,$G$6:$G438,'Comprovante DEV'!$D$7),""))</f>
        <v/>
      </c>
      <c r="N438" s="48" t="str">
        <f aca="false">IF($F438="","",IFERROR(VLOOKUP($F438,Apelidos_Tecnico!$A:$B,2,0),$F438))</f>
        <v/>
      </c>
    </row>
    <row r="439" customFormat="false" ht="15" hidden="false" customHeight="false" outlineLevel="0" collapsed="false">
      <c r="A439" s="25"/>
      <c r="B439" s="25"/>
      <c r="C439" s="26"/>
      <c r="D439" s="25"/>
      <c r="E439" s="25"/>
      <c r="F439" s="25"/>
      <c r="G439" s="27"/>
      <c r="H439" s="25"/>
      <c r="I439" s="26"/>
      <c r="J439" s="48" t="str">
        <f aca="false">IF($N439="","",IF(AND($N439=Consulta!$C$3,$G439&lt;&gt;"",$G439&gt;=Consulta!$C$4,$G439&lt;=Consulta!$C$5),COUNTIFS($N$6:$N439,Consulta!$C$3,$G$6:$G439,"&gt;="&amp;Consulta!$C$4,$G$6:$G439,"&lt;="&amp;Consulta!$C$5),""))</f>
        <v/>
      </c>
      <c r="K439" s="48" t="str">
        <f aca="false">IF($C439="","",IF(AND($C439=Consulta!$L$3,$G439&lt;&gt;"",$G439&gt;=Consulta!$L$4,$G439&lt;=Consulta!$L$5),COUNTIFS($C$6:$C439,Consulta!$L$3,$G$6:$G439,"&gt;="&amp;Consulta!$L$4,$G$6:$G439,"&lt;="&amp;Consulta!$L$5),""))</f>
        <v/>
      </c>
      <c r="L439" s="48" t="str">
        <f aca="false">IF($D439="","",IF($D439=Consulta!$S$3,COUNTIF($D$6:$D439,Consulta!$S$3),""))</f>
        <v/>
      </c>
      <c r="M439" s="48" t="str">
        <f aca="false">IF($N439="","",IF(AND($N439='Comprovante DEV'!$D$6,$G439='Comprovante DEV'!$D$7),COUNTIFS($N$6:$N439,'Comprovante DEV'!$D$6,$G$6:$G439,'Comprovante DEV'!$D$7),""))</f>
        <v/>
      </c>
      <c r="N439" s="48" t="str">
        <f aca="false">IF($F439="","",IFERROR(VLOOKUP($F439,Apelidos_Tecnico!$A:$B,2,0),$F439))</f>
        <v/>
      </c>
    </row>
    <row r="440" customFormat="false" ht="15" hidden="false" customHeight="false" outlineLevel="0" collapsed="false">
      <c r="A440" s="25"/>
      <c r="B440" s="25"/>
      <c r="C440" s="26"/>
      <c r="D440" s="25"/>
      <c r="E440" s="25"/>
      <c r="F440" s="25"/>
      <c r="G440" s="27"/>
      <c r="H440" s="25"/>
      <c r="I440" s="26"/>
      <c r="J440" s="48" t="str">
        <f aca="false">IF($N440="","",IF(AND($N440=Consulta!$C$3,$G440&lt;&gt;"",$G440&gt;=Consulta!$C$4,$G440&lt;=Consulta!$C$5),COUNTIFS($N$6:$N440,Consulta!$C$3,$G$6:$G440,"&gt;="&amp;Consulta!$C$4,$G$6:$G440,"&lt;="&amp;Consulta!$C$5),""))</f>
        <v/>
      </c>
      <c r="K440" s="48" t="str">
        <f aca="false">IF($C440="","",IF(AND($C440=Consulta!$L$3,$G440&lt;&gt;"",$G440&gt;=Consulta!$L$4,$G440&lt;=Consulta!$L$5),COUNTIFS($C$6:$C440,Consulta!$L$3,$G$6:$G440,"&gt;="&amp;Consulta!$L$4,$G$6:$G440,"&lt;="&amp;Consulta!$L$5),""))</f>
        <v/>
      </c>
      <c r="L440" s="48" t="str">
        <f aca="false">IF($D440="","",IF($D440=Consulta!$S$3,COUNTIF($D$6:$D440,Consulta!$S$3),""))</f>
        <v/>
      </c>
      <c r="M440" s="48" t="str">
        <f aca="false">IF($N440="","",IF(AND($N440='Comprovante DEV'!$D$6,$G440='Comprovante DEV'!$D$7),COUNTIFS($N$6:$N440,'Comprovante DEV'!$D$6,$G$6:$G440,'Comprovante DEV'!$D$7),""))</f>
        <v/>
      </c>
      <c r="N440" s="48" t="str">
        <f aca="false">IF($F440="","",IFERROR(VLOOKUP($F440,Apelidos_Tecnico!$A:$B,2,0),$F440))</f>
        <v/>
      </c>
    </row>
    <row r="441" customFormat="false" ht="15" hidden="false" customHeight="false" outlineLevel="0" collapsed="false">
      <c r="A441" s="25"/>
      <c r="B441" s="25"/>
      <c r="C441" s="26"/>
      <c r="D441" s="25"/>
      <c r="E441" s="25"/>
      <c r="F441" s="25"/>
      <c r="G441" s="27"/>
      <c r="H441" s="25"/>
      <c r="I441" s="26"/>
      <c r="J441" s="48" t="str">
        <f aca="false">IF($N441="","",IF(AND($N441=Consulta!$C$3,$G441&lt;&gt;"",$G441&gt;=Consulta!$C$4,$G441&lt;=Consulta!$C$5),COUNTIFS($N$6:$N441,Consulta!$C$3,$G$6:$G441,"&gt;="&amp;Consulta!$C$4,$G$6:$G441,"&lt;="&amp;Consulta!$C$5),""))</f>
        <v/>
      </c>
      <c r="K441" s="48" t="str">
        <f aca="false">IF($C441="","",IF(AND($C441=Consulta!$L$3,$G441&lt;&gt;"",$G441&gt;=Consulta!$L$4,$G441&lt;=Consulta!$L$5),COUNTIFS($C$6:$C441,Consulta!$L$3,$G$6:$G441,"&gt;="&amp;Consulta!$L$4,$G$6:$G441,"&lt;="&amp;Consulta!$L$5),""))</f>
        <v/>
      </c>
      <c r="L441" s="48" t="str">
        <f aca="false">IF($D441="","",IF($D441=Consulta!$S$3,COUNTIF($D$6:$D441,Consulta!$S$3),""))</f>
        <v/>
      </c>
      <c r="M441" s="48" t="str">
        <f aca="false">IF($N441="","",IF(AND($N441='Comprovante DEV'!$D$6,$G441='Comprovante DEV'!$D$7),COUNTIFS($N$6:$N441,'Comprovante DEV'!$D$6,$G$6:$G441,'Comprovante DEV'!$D$7),""))</f>
        <v/>
      </c>
      <c r="N441" s="48" t="str">
        <f aca="false">IF($F441="","",IFERROR(VLOOKUP($F441,Apelidos_Tecnico!$A:$B,2,0),$F441))</f>
        <v/>
      </c>
    </row>
    <row r="442" customFormat="false" ht="15" hidden="false" customHeight="false" outlineLevel="0" collapsed="false">
      <c r="A442" s="25"/>
      <c r="B442" s="25"/>
      <c r="C442" s="26"/>
      <c r="D442" s="25"/>
      <c r="E442" s="25"/>
      <c r="F442" s="25"/>
      <c r="G442" s="27"/>
      <c r="H442" s="25"/>
      <c r="I442" s="26"/>
      <c r="J442" s="48" t="str">
        <f aca="false">IF($N442="","",IF(AND($N442=Consulta!$C$3,$G442&lt;&gt;"",$G442&gt;=Consulta!$C$4,$G442&lt;=Consulta!$C$5),COUNTIFS($N$6:$N442,Consulta!$C$3,$G$6:$G442,"&gt;="&amp;Consulta!$C$4,$G$6:$G442,"&lt;="&amp;Consulta!$C$5),""))</f>
        <v/>
      </c>
      <c r="K442" s="48" t="str">
        <f aca="false">IF($C442="","",IF(AND($C442=Consulta!$L$3,$G442&lt;&gt;"",$G442&gt;=Consulta!$L$4,$G442&lt;=Consulta!$L$5),COUNTIFS($C$6:$C442,Consulta!$L$3,$G$6:$G442,"&gt;="&amp;Consulta!$L$4,$G$6:$G442,"&lt;="&amp;Consulta!$L$5),""))</f>
        <v/>
      </c>
      <c r="L442" s="48" t="str">
        <f aca="false">IF($D442="","",IF($D442=Consulta!$S$3,COUNTIF($D$6:$D442,Consulta!$S$3),""))</f>
        <v/>
      </c>
      <c r="M442" s="48" t="str">
        <f aca="false">IF($N442="","",IF(AND($N442='Comprovante DEV'!$D$6,$G442='Comprovante DEV'!$D$7),COUNTIFS($N$6:$N442,'Comprovante DEV'!$D$6,$G$6:$G442,'Comprovante DEV'!$D$7),""))</f>
        <v/>
      </c>
      <c r="N442" s="48" t="str">
        <f aca="false">IF($F442="","",IFERROR(VLOOKUP($F442,Apelidos_Tecnico!$A:$B,2,0),$F442))</f>
        <v/>
      </c>
    </row>
    <row r="443" customFormat="false" ht="15" hidden="false" customHeight="false" outlineLevel="0" collapsed="false">
      <c r="A443" s="25"/>
      <c r="B443" s="25"/>
      <c r="C443" s="26"/>
      <c r="D443" s="25"/>
      <c r="E443" s="25"/>
      <c r="F443" s="25"/>
      <c r="G443" s="27"/>
      <c r="H443" s="25"/>
      <c r="I443" s="26"/>
      <c r="J443" s="48" t="str">
        <f aca="false">IF($N443="","",IF(AND($N443=Consulta!$C$3,$G443&lt;&gt;"",$G443&gt;=Consulta!$C$4,$G443&lt;=Consulta!$C$5),COUNTIFS($N$6:$N443,Consulta!$C$3,$G$6:$G443,"&gt;="&amp;Consulta!$C$4,$G$6:$G443,"&lt;="&amp;Consulta!$C$5),""))</f>
        <v/>
      </c>
      <c r="K443" s="48" t="str">
        <f aca="false">IF($C443="","",IF(AND($C443=Consulta!$L$3,$G443&lt;&gt;"",$G443&gt;=Consulta!$L$4,$G443&lt;=Consulta!$L$5),COUNTIFS($C$6:$C443,Consulta!$L$3,$G$6:$G443,"&gt;="&amp;Consulta!$L$4,$G$6:$G443,"&lt;="&amp;Consulta!$L$5),""))</f>
        <v/>
      </c>
      <c r="L443" s="48" t="str">
        <f aca="false">IF($D443="","",IF($D443=Consulta!$S$3,COUNTIF($D$6:$D443,Consulta!$S$3),""))</f>
        <v/>
      </c>
      <c r="M443" s="48" t="str">
        <f aca="false">IF($N443="","",IF(AND($N443='Comprovante DEV'!$D$6,$G443='Comprovante DEV'!$D$7),COUNTIFS($N$6:$N443,'Comprovante DEV'!$D$6,$G$6:$G443,'Comprovante DEV'!$D$7),""))</f>
        <v/>
      </c>
      <c r="N443" s="48" t="str">
        <f aca="false">IF($F443="","",IFERROR(VLOOKUP($F443,Apelidos_Tecnico!$A:$B,2,0),$F443))</f>
        <v/>
      </c>
    </row>
    <row r="444" customFormat="false" ht="15" hidden="false" customHeight="false" outlineLevel="0" collapsed="false">
      <c r="A444" s="25"/>
      <c r="B444" s="25"/>
      <c r="C444" s="26"/>
      <c r="D444" s="25"/>
      <c r="E444" s="25"/>
      <c r="F444" s="25"/>
      <c r="G444" s="27"/>
      <c r="H444" s="25"/>
      <c r="I444" s="26"/>
      <c r="J444" s="48" t="str">
        <f aca="false">IF($N444="","",IF(AND($N444=Consulta!$C$3,$G444&lt;&gt;"",$G444&gt;=Consulta!$C$4,$G444&lt;=Consulta!$C$5),COUNTIFS($N$6:$N444,Consulta!$C$3,$G$6:$G444,"&gt;="&amp;Consulta!$C$4,$G$6:$G444,"&lt;="&amp;Consulta!$C$5),""))</f>
        <v/>
      </c>
      <c r="K444" s="48" t="str">
        <f aca="false">IF($C444="","",IF(AND($C444=Consulta!$L$3,$G444&lt;&gt;"",$G444&gt;=Consulta!$L$4,$G444&lt;=Consulta!$L$5),COUNTIFS($C$6:$C444,Consulta!$L$3,$G$6:$G444,"&gt;="&amp;Consulta!$L$4,$G$6:$G444,"&lt;="&amp;Consulta!$L$5),""))</f>
        <v/>
      </c>
      <c r="L444" s="48" t="str">
        <f aca="false">IF($D444="","",IF($D444=Consulta!$S$3,COUNTIF($D$6:$D444,Consulta!$S$3),""))</f>
        <v/>
      </c>
      <c r="M444" s="48" t="str">
        <f aca="false">IF($N444="","",IF(AND($N444='Comprovante DEV'!$D$6,$G444='Comprovante DEV'!$D$7),COUNTIFS($N$6:$N444,'Comprovante DEV'!$D$6,$G$6:$G444,'Comprovante DEV'!$D$7),""))</f>
        <v/>
      </c>
      <c r="N444" s="48" t="str">
        <f aca="false">IF($F444="","",IFERROR(VLOOKUP($F444,Apelidos_Tecnico!$A:$B,2,0),$F444))</f>
        <v/>
      </c>
    </row>
    <row r="445" customFormat="false" ht="15" hidden="false" customHeight="false" outlineLevel="0" collapsed="false">
      <c r="A445" s="25"/>
      <c r="B445" s="25"/>
      <c r="C445" s="26"/>
      <c r="D445" s="25"/>
      <c r="E445" s="25"/>
      <c r="F445" s="25"/>
      <c r="G445" s="27"/>
      <c r="H445" s="25"/>
      <c r="I445" s="26"/>
      <c r="J445" s="48" t="str">
        <f aca="false">IF($N445="","",IF(AND($N445=Consulta!$C$3,$G445&lt;&gt;"",$G445&gt;=Consulta!$C$4,$G445&lt;=Consulta!$C$5),COUNTIFS($N$6:$N445,Consulta!$C$3,$G$6:$G445,"&gt;="&amp;Consulta!$C$4,$G$6:$G445,"&lt;="&amp;Consulta!$C$5),""))</f>
        <v/>
      </c>
      <c r="K445" s="48" t="str">
        <f aca="false">IF($C445="","",IF(AND($C445=Consulta!$L$3,$G445&lt;&gt;"",$G445&gt;=Consulta!$L$4,$G445&lt;=Consulta!$L$5),COUNTIFS($C$6:$C445,Consulta!$L$3,$G$6:$G445,"&gt;="&amp;Consulta!$L$4,$G$6:$G445,"&lt;="&amp;Consulta!$L$5),""))</f>
        <v/>
      </c>
      <c r="L445" s="48" t="str">
        <f aca="false">IF($D445="","",IF($D445=Consulta!$S$3,COUNTIF($D$6:$D445,Consulta!$S$3),""))</f>
        <v/>
      </c>
      <c r="M445" s="48" t="str">
        <f aca="false">IF($N445="","",IF(AND($N445='Comprovante DEV'!$D$6,$G445='Comprovante DEV'!$D$7),COUNTIFS($N$6:$N445,'Comprovante DEV'!$D$6,$G$6:$G445,'Comprovante DEV'!$D$7),""))</f>
        <v/>
      </c>
      <c r="N445" s="48" t="str">
        <f aca="false">IF($F445="","",IFERROR(VLOOKUP($F445,Apelidos_Tecnico!$A:$B,2,0),$F445))</f>
        <v/>
      </c>
    </row>
    <row r="446" customFormat="false" ht="15" hidden="false" customHeight="false" outlineLevel="0" collapsed="false">
      <c r="A446" s="25"/>
      <c r="B446" s="25"/>
      <c r="C446" s="26"/>
      <c r="D446" s="25"/>
      <c r="E446" s="25"/>
      <c r="F446" s="25"/>
      <c r="G446" s="27"/>
      <c r="H446" s="25"/>
      <c r="I446" s="26"/>
      <c r="J446" s="48" t="str">
        <f aca="false">IF($N446="","",IF(AND($N446=Consulta!$C$3,$G446&lt;&gt;"",$G446&gt;=Consulta!$C$4,$G446&lt;=Consulta!$C$5),COUNTIFS($N$6:$N446,Consulta!$C$3,$G$6:$G446,"&gt;="&amp;Consulta!$C$4,$G$6:$G446,"&lt;="&amp;Consulta!$C$5),""))</f>
        <v/>
      </c>
      <c r="K446" s="48" t="str">
        <f aca="false">IF($C446="","",IF(AND($C446=Consulta!$L$3,$G446&lt;&gt;"",$G446&gt;=Consulta!$L$4,$G446&lt;=Consulta!$L$5),COUNTIFS($C$6:$C446,Consulta!$L$3,$G$6:$G446,"&gt;="&amp;Consulta!$L$4,$G$6:$G446,"&lt;="&amp;Consulta!$L$5),""))</f>
        <v/>
      </c>
      <c r="L446" s="48" t="str">
        <f aca="false">IF($D446="","",IF($D446=Consulta!$S$3,COUNTIF($D$6:$D446,Consulta!$S$3),""))</f>
        <v/>
      </c>
      <c r="M446" s="48" t="str">
        <f aca="false">IF($N446="","",IF(AND($N446='Comprovante DEV'!$D$6,$G446='Comprovante DEV'!$D$7),COUNTIFS($N$6:$N446,'Comprovante DEV'!$D$6,$G$6:$G446,'Comprovante DEV'!$D$7),""))</f>
        <v/>
      </c>
      <c r="N446" s="48" t="str">
        <f aca="false">IF($F446="","",IFERROR(VLOOKUP($F446,Apelidos_Tecnico!$A:$B,2,0),$F446))</f>
        <v/>
      </c>
    </row>
    <row r="447" customFormat="false" ht="15" hidden="false" customHeight="false" outlineLevel="0" collapsed="false">
      <c r="A447" s="25"/>
      <c r="B447" s="25"/>
      <c r="C447" s="26"/>
      <c r="D447" s="25"/>
      <c r="E447" s="25"/>
      <c r="F447" s="25"/>
      <c r="G447" s="27"/>
      <c r="H447" s="25"/>
      <c r="I447" s="26"/>
      <c r="J447" s="48" t="str">
        <f aca="false">IF($N447="","",IF(AND($N447=Consulta!$C$3,$G447&lt;&gt;"",$G447&gt;=Consulta!$C$4,$G447&lt;=Consulta!$C$5),COUNTIFS($N$6:$N447,Consulta!$C$3,$G$6:$G447,"&gt;="&amp;Consulta!$C$4,$G$6:$G447,"&lt;="&amp;Consulta!$C$5),""))</f>
        <v/>
      </c>
      <c r="K447" s="48" t="str">
        <f aca="false">IF($C447="","",IF(AND($C447=Consulta!$L$3,$G447&lt;&gt;"",$G447&gt;=Consulta!$L$4,$G447&lt;=Consulta!$L$5),COUNTIFS($C$6:$C447,Consulta!$L$3,$G$6:$G447,"&gt;="&amp;Consulta!$L$4,$G$6:$G447,"&lt;="&amp;Consulta!$L$5),""))</f>
        <v/>
      </c>
      <c r="L447" s="48" t="str">
        <f aca="false">IF($D447="","",IF($D447=Consulta!$S$3,COUNTIF($D$6:$D447,Consulta!$S$3),""))</f>
        <v/>
      </c>
      <c r="M447" s="48" t="str">
        <f aca="false">IF($N447="","",IF(AND($N447='Comprovante DEV'!$D$6,$G447='Comprovante DEV'!$D$7),COUNTIFS($N$6:$N447,'Comprovante DEV'!$D$6,$G$6:$G447,'Comprovante DEV'!$D$7),""))</f>
        <v/>
      </c>
      <c r="N447" s="48" t="str">
        <f aca="false">IF($F447="","",IFERROR(VLOOKUP($F447,Apelidos_Tecnico!$A:$B,2,0),$F447))</f>
        <v/>
      </c>
    </row>
    <row r="448" customFormat="false" ht="15" hidden="false" customHeight="false" outlineLevel="0" collapsed="false">
      <c r="A448" s="25"/>
      <c r="B448" s="25"/>
      <c r="C448" s="26"/>
      <c r="D448" s="25"/>
      <c r="E448" s="25"/>
      <c r="F448" s="25"/>
      <c r="G448" s="27"/>
      <c r="H448" s="25"/>
      <c r="I448" s="26"/>
      <c r="J448" s="48" t="str">
        <f aca="false">IF($N448="","",IF(AND($N448=Consulta!$C$3,$G448&lt;&gt;"",$G448&gt;=Consulta!$C$4,$G448&lt;=Consulta!$C$5),COUNTIFS($N$6:$N448,Consulta!$C$3,$G$6:$G448,"&gt;="&amp;Consulta!$C$4,$G$6:$G448,"&lt;="&amp;Consulta!$C$5),""))</f>
        <v/>
      </c>
      <c r="K448" s="48" t="str">
        <f aca="false">IF($C448="","",IF(AND($C448=Consulta!$L$3,$G448&lt;&gt;"",$G448&gt;=Consulta!$L$4,$G448&lt;=Consulta!$L$5),COUNTIFS($C$6:$C448,Consulta!$L$3,$G$6:$G448,"&gt;="&amp;Consulta!$L$4,$G$6:$G448,"&lt;="&amp;Consulta!$L$5),""))</f>
        <v/>
      </c>
      <c r="L448" s="48" t="str">
        <f aca="false">IF($D448="","",IF($D448=Consulta!$S$3,COUNTIF($D$6:$D448,Consulta!$S$3),""))</f>
        <v/>
      </c>
      <c r="M448" s="48" t="str">
        <f aca="false">IF($N448="","",IF(AND($N448='Comprovante DEV'!$D$6,$G448='Comprovante DEV'!$D$7),COUNTIFS($N$6:$N448,'Comprovante DEV'!$D$6,$G$6:$G448,'Comprovante DEV'!$D$7),""))</f>
        <v/>
      </c>
      <c r="N448" s="48" t="str">
        <f aca="false">IF($F448="","",IFERROR(VLOOKUP($F448,Apelidos_Tecnico!$A:$B,2,0),$F448))</f>
        <v/>
      </c>
    </row>
    <row r="449" customFormat="false" ht="15" hidden="false" customHeight="false" outlineLevel="0" collapsed="false">
      <c r="A449" s="25"/>
      <c r="B449" s="25"/>
      <c r="C449" s="26"/>
      <c r="D449" s="25"/>
      <c r="E449" s="25"/>
      <c r="F449" s="25"/>
      <c r="G449" s="27"/>
      <c r="H449" s="25"/>
      <c r="I449" s="26"/>
      <c r="J449" s="48" t="str">
        <f aca="false">IF($N449="","",IF(AND($N449=Consulta!$C$3,$G449&lt;&gt;"",$G449&gt;=Consulta!$C$4,$G449&lt;=Consulta!$C$5),COUNTIFS($N$6:$N449,Consulta!$C$3,$G$6:$G449,"&gt;="&amp;Consulta!$C$4,$G$6:$G449,"&lt;="&amp;Consulta!$C$5),""))</f>
        <v/>
      </c>
      <c r="K449" s="48" t="str">
        <f aca="false">IF($C449="","",IF(AND($C449=Consulta!$L$3,$G449&lt;&gt;"",$G449&gt;=Consulta!$L$4,$G449&lt;=Consulta!$L$5),COUNTIFS($C$6:$C449,Consulta!$L$3,$G$6:$G449,"&gt;="&amp;Consulta!$L$4,$G$6:$G449,"&lt;="&amp;Consulta!$L$5),""))</f>
        <v/>
      </c>
      <c r="L449" s="48" t="str">
        <f aca="false">IF($D449="","",IF($D449=Consulta!$S$3,COUNTIF($D$6:$D449,Consulta!$S$3),""))</f>
        <v/>
      </c>
      <c r="M449" s="48" t="str">
        <f aca="false">IF($N449="","",IF(AND($N449='Comprovante DEV'!$D$6,$G449='Comprovante DEV'!$D$7),COUNTIFS($N$6:$N449,'Comprovante DEV'!$D$6,$G$6:$G449,'Comprovante DEV'!$D$7),""))</f>
        <v/>
      </c>
      <c r="N449" s="48" t="str">
        <f aca="false">IF($F449="","",IFERROR(VLOOKUP($F449,Apelidos_Tecnico!$A:$B,2,0),$F449))</f>
        <v/>
      </c>
    </row>
    <row r="450" customFormat="false" ht="15" hidden="false" customHeight="false" outlineLevel="0" collapsed="false">
      <c r="A450" s="25"/>
      <c r="B450" s="25"/>
      <c r="C450" s="26"/>
      <c r="D450" s="25"/>
      <c r="E450" s="25"/>
      <c r="F450" s="25"/>
      <c r="G450" s="27"/>
      <c r="H450" s="25"/>
      <c r="I450" s="26"/>
      <c r="J450" s="48" t="str">
        <f aca="false">IF($N450="","",IF(AND($N450=Consulta!$C$3,$G450&lt;&gt;"",$G450&gt;=Consulta!$C$4,$G450&lt;=Consulta!$C$5),COUNTIFS($N$6:$N450,Consulta!$C$3,$G$6:$G450,"&gt;="&amp;Consulta!$C$4,$G$6:$G450,"&lt;="&amp;Consulta!$C$5),""))</f>
        <v/>
      </c>
      <c r="K450" s="48" t="str">
        <f aca="false">IF($C450="","",IF(AND($C450=Consulta!$L$3,$G450&lt;&gt;"",$G450&gt;=Consulta!$L$4,$G450&lt;=Consulta!$L$5),COUNTIFS($C$6:$C450,Consulta!$L$3,$G$6:$G450,"&gt;="&amp;Consulta!$L$4,$G$6:$G450,"&lt;="&amp;Consulta!$L$5),""))</f>
        <v/>
      </c>
      <c r="L450" s="48" t="str">
        <f aca="false">IF($D450="","",IF($D450=Consulta!$S$3,COUNTIF($D$6:$D450,Consulta!$S$3),""))</f>
        <v/>
      </c>
      <c r="M450" s="48" t="str">
        <f aca="false">IF($N450="","",IF(AND($N450='Comprovante DEV'!$D$6,$G450='Comprovante DEV'!$D$7),COUNTIFS($N$6:$N450,'Comprovante DEV'!$D$6,$G$6:$G450,'Comprovante DEV'!$D$7),""))</f>
        <v/>
      </c>
      <c r="N450" s="48" t="str">
        <f aca="false">IF($F450="","",IFERROR(VLOOKUP($F450,Apelidos_Tecnico!$A:$B,2,0),$F450))</f>
        <v/>
      </c>
    </row>
    <row r="451" customFormat="false" ht="15" hidden="false" customHeight="false" outlineLevel="0" collapsed="false">
      <c r="A451" s="25"/>
      <c r="B451" s="25"/>
      <c r="C451" s="26"/>
      <c r="D451" s="25"/>
      <c r="E451" s="25"/>
      <c r="F451" s="25"/>
      <c r="G451" s="27"/>
      <c r="H451" s="25"/>
      <c r="I451" s="26"/>
      <c r="J451" s="48" t="str">
        <f aca="false">IF($N451="","",IF(AND($N451=Consulta!$C$3,$G451&lt;&gt;"",$G451&gt;=Consulta!$C$4,$G451&lt;=Consulta!$C$5),COUNTIFS($N$6:$N451,Consulta!$C$3,$G$6:$G451,"&gt;="&amp;Consulta!$C$4,$G$6:$G451,"&lt;="&amp;Consulta!$C$5),""))</f>
        <v/>
      </c>
      <c r="K451" s="48" t="str">
        <f aca="false">IF($C451="","",IF(AND($C451=Consulta!$L$3,$G451&lt;&gt;"",$G451&gt;=Consulta!$L$4,$G451&lt;=Consulta!$L$5),COUNTIFS($C$6:$C451,Consulta!$L$3,$G$6:$G451,"&gt;="&amp;Consulta!$L$4,$G$6:$G451,"&lt;="&amp;Consulta!$L$5),""))</f>
        <v/>
      </c>
      <c r="L451" s="48" t="str">
        <f aca="false">IF($D451="","",IF($D451=Consulta!$S$3,COUNTIF($D$6:$D451,Consulta!$S$3),""))</f>
        <v/>
      </c>
      <c r="M451" s="48" t="str">
        <f aca="false">IF($N451="","",IF(AND($N451='Comprovante DEV'!$D$6,$G451='Comprovante DEV'!$D$7),COUNTIFS($N$6:$N451,'Comprovante DEV'!$D$6,$G$6:$G451,'Comprovante DEV'!$D$7),""))</f>
        <v/>
      </c>
      <c r="N451" s="48" t="str">
        <f aca="false">IF($F451="","",IFERROR(VLOOKUP($F451,Apelidos_Tecnico!$A:$B,2,0),$F451))</f>
        <v/>
      </c>
    </row>
    <row r="452" customFormat="false" ht="15" hidden="false" customHeight="false" outlineLevel="0" collapsed="false">
      <c r="A452" s="25"/>
      <c r="B452" s="25"/>
      <c r="C452" s="26"/>
      <c r="D452" s="25"/>
      <c r="E452" s="25"/>
      <c r="F452" s="25"/>
      <c r="G452" s="27"/>
      <c r="H452" s="25"/>
      <c r="I452" s="26"/>
      <c r="J452" s="48" t="str">
        <f aca="false">IF($N452="","",IF(AND($N452=Consulta!$C$3,$G452&lt;&gt;"",$G452&gt;=Consulta!$C$4,$G452&lt;=Consulta!$C$5),COUNTIFS($N$6:$N452,Consulta!$C$3,$G$6:$G452,"&gt;="&amp;Consulta!$C$4,$G$6:$G452,"&lt;="&amp;Consulta!$C$5),""))</f>
        <v/>
      </c>
      <c r="K452" s="48" t="str">
        <f aca="false">IF($C452="","",IF(AND($C452=Consulta!$L$3,$G452&lt;&gt;"",$G452&gt;=Consulta!$L$4,$G452&lt;=Consulta!$L$5),COUNTIFS($C$6:$C452,Consulta!$L$3,$G$6:$G452,"&gt;="&amp;Consulta!$L$4,$G$6:$G452,"&lt;="&amp;Consulta!$L$5),""))</f>
        <v/>
      </c>
      <c r="L452" s="48" t="str">
        <f aca="false">IF($D452="","",IF($D452=Consulta!$S$3,COUNTIF($D$6:$D452,Consulta!$S$3),""))</f>
        <v/>
      </c>
      <c r="M452" s="48" t="str">
        <f aca="false">IF($N452="","",IF(AND($N452='Comprovante DEV'!$D$6,$G452='Comprovante DEV'!$D$7),COUNTIFS($N$6:$N452,'Comprovante DEV'!$D$6,$G$6:$G452,'Comprovante DEV'!$D$7),""))</f>
        <v/>
      </c>
      <c r="N452" s="48" t="str">
        <f aca="false">IF($F452="","",IFERROR(VLOOKUP($F452,Apelidos_Tecnico!$A:$B,2,0),$F452))</f>
        <v/>
      </c>
    </row>
    <row r="453" customFormat="false" ht="15" hidden="false" customHeight="false" outlineLevel="0" collapsed="false">
      <c r="A453" s="25"/>
      <c r="B453" s="25"/>
      <c r="C453" s="26"/>
      <c r="D453" s="25"/>
      <c r="E453" s="25"/>
      <c r="F453" s="25"/>
      <c r="G453" s="27"/>
      <c r="H453" s="25"/>
      <c r="I453" s="26"/>
      <c r="J453" s="48" t="str">
        <f aca="false">IF($N453="","",IF(AND($N453=Consulta!$C$3,$G453&lt;&gt;"",$G453&gt;=Consulta!$C$4,$G453&lt;=Consulta!$C$5),COUNTIFS($N$6:$N453,Consulta!$C$3,$G$6:$G453,"&gt;="&amp;Consulta!$C$4,$G$6:$G453,"&lt;="&amp;Consulta!$C$5),""))</f>
        <v/>
      </c>
      <c r="K453" s="48" t="str">
        <f aca="false">IF($C453="","",IF(AND($C453=Consulta!$L$3,$G453&lt;&gt;"",$G453&gt;=Consulta!$L$4,$G453&lt;=Consulta!$L$5),COUNTIFS($C$6:$C453,Consulta!$L$3,$G$6:$G453,"&gt;="&amp;Consulta!$L$4,$G$6:$G453,"&lt;="&amp;Consulta!$L$5),""))</f>
        <v/>
      </c>
      <c r="L453" s="48" t="str">
        <f aca="false">IF($D453="","",IF($D453=Consulta!$S$3,COUNTIF($D$6:$D453,Consulta!$S$3),""))</f>
        <v/>
      </c>
      <c r="M453" s="48" t="str">
        <f aca="false">IF($N453="","",IF(AND($N453='Comprovante DEV'!$D$6,$G453='Comprovante DEV'!$D$7),COUNTIFS($N$6:$N453,'Comprovante DEV'!$D$6,$G$6:$G453,'Comprovante DEV'!$D$7),""))</f>
        <v/>
      </c>
      <c r="N453" s="48" t="str">
        <f aca="false">IF($F453="","",IFERROR(VLOOKUP($F453,Apelidos_Tecnico!$A:$B,2,0),$F453))</f>
        <v/>
      </c>
    </row>
    <row r="454" customFormat="false" ht="15" hidden="false" customHeight="false" outlineLevel="0" collapsed="false">
      <c r="A454" s="25"/>
      <c r="B454" s="25"/>
      <c r="C454" s="26"/>
      <c r="D454" s="25"/>
      <c r="E454" s="25"/>
      <c r="F454" s="25"/>
      <c r="G454" s="27"/>
      <c r="H454" s="25"/>
      <c r="I454" s="26"/>
      <c r="J454" s="48" t="str">
        <f aca="false">IF($N454="","",IF(AND($N454=Consulta!$C$3,$G454&lt;&gt;"",$G454&gt;=Consulta!$C$4,$G454&lt;=Consulta!$C$5),COUNTIFS($N$6:$N454,Consulta!$C$3,$G$6:$G454,"&gt;="&amp;Consulta!$C$4,$G$6:$G454,"&lt;="&amp;Consulta!$C$5),""))</f>
        <v/>
      </c>
      <c r="K454" s="48" t="str">
        <f aca="false">IF($C454="","",IF(AND($C454=Consulta!$L$3,$G454&lt;&gt;"",$G454&gt;=Consulta!$L$4,$G454&lt;=Consulta!$L$5),COUNTIFS($C$6:$C454,Consulta!$L$3,$G$6:$G454,"&gt;="&amp;Consulta!$L$4,$G$6:$G454,"&lt;="&amp;Consulta!$L$5),""))</f>
        <v/>
      </c>
      <c r="L454" s="48" t="str">
        <f aca="false">IF($D454="","",IF($D454=Consulta!$S$3,COUNTIF($D$6:$D454,Consulta!$S$3),""))</f>
        <v/>
      </c>
      <c r="M454" s="48" t="str">
        <f aca="false">IF($N454="","",IF(AND($N454='Comprovante DEV'!$D$6,$G454='Comprovante DEV'!$D$7),COUNTIFS($N$6:$N454,'Comprovante DEV'!$D$6,$G$6:$G454,'Comprovante DEV'!$D$7),""))</f>
        <v/>
      </c>
      <c r="N454" s="48" t="str">
        <f aca="false">IF($F454="","",IFERROR(VLOOKUP($F454,Apelidos_Tecnico!$A:$B,2,0),$F454))</f>
        <v/>
      </c>
    </row>
    <row r="455" customFormat="false" ht="15" hidden="false" customHeight="false" outlineLevel="0" collapsed="false">
      <c r="A455" s="25"/>
      <c r="B455" s="25"/>
      <c r="C455" s="26"/>
      <c r="D455" s="25"/>
      <c r="E455" s="25"/>
      <c r="F455" s="25"/>
      <c r="G455" s="27"/>
      <c r="H455" s="25"/>
      <c r="I455" s="26"/>
      <c r="J455" s="48" t="str">
        <f aca="false">IF($N455="","",IF(AND($N455=Consulta!$C$3,$G455&lt;&gt;"",$G455&gt;=Consulta!$C$4,$G455&lt;=Consulta!$C$5),COUNTIFS($N$6:$N455,Consulta!$C$3,$G$6:$G455,"&gt;="&amp;Consulta!$C$4,$G$6:$G455,"&lt;="&amp;Consulta!$C$5),""))</f>
        <v/>
      </c>
      <c r="K455" s="48" t="str">
        <f aca="false">IF($C455="","",IF(AND($C455=Consulta!$L$3,$G455&lt;&gt;"",$G455&gt;=Consulta!$L$4,$G455&lt;=Consulta!$L$5),COUNTIFS($C$6:$C455,Consulta!$L$3,$G$6:$G455,"&gt;="&amp;Consulta!$L$4,$G$6:$G455,"&lt;="&amp;Consulta!$L$5),""))</f>
        <v/>
      </c>
      <c r="L455" s="48" t="str">
        <f aca="false">IF($D455="","",IF($D455=Consulta!$S$3,COUNTIF($D$6:$D455,Consulta!$S$3),""))</f>
        <v/>
      </c>
      <c r="M455" s="48" t="str">
        <f aca="false">IF($N455="","",IF(AND($N455='Comprovante DEV'!$D$6,$G455='Comprovante DEV'!$D$7),COUNTIFS($N$6:$N455,'Comprovante DEV'!$D$6,$G$6:$G455,'Comprovante DEV'!$D$7),""))</f>
        <v/>
      </c>
      <c r="N455" s="48" t="str">
        <f aca="false">IF($F455="","",IFERROR(VLOOKUP($F455,Apelidos_Tecnico!$A:$B,2,0),$F455))</f>
        <v/>
      </c>
    </row>
    <row r="456" customFormat="false" ht="15" hidden="false" customHeight="false" outlineLevel="0" collapsed="false">
      <c r="A456" s="25"/>
      <c r="B456" s="25"/>
      <c r="C456" s="26"/>
      <c r="D456" s="25"/>
      <c r="E456" s="25"/>
      <c r="F456" s="25"/>
      <c r="G456" s="27"/>
      <c r="H456" s="25"/>
      <c r="I456" s="26"/>
      <c r="J456" s="48" t="str">
        <f aca="false">IF($N456="","",IF(AND($N456=Consulta!$C$3,$G456&lt;&gt;"",$G456&gt;=Consulta!$C$4,$G456&lt;=Consulta!$C$5),COUNTIFS($N$6:$N456,Consulta!$C$3,$G$6:$G456,"&gt;="&amp;Consulta!$C$4,$G$6:$G456,"&lt;="&amp;Consulta!$C$5),""))</f>
        <v/>
      </c>
      <c r="K456" s="48" t="str">
        <f aca="false">IF($C456="","",IF(AND($C456=Consulta!$L$3,$G456&lt;&gt;"",$G456&gt;=Consulta!$L$4,$G456&lt;=Consulta!$L$5),COUNTIFS($C$6:$C456,Consulta!$L$3,$G$6:$G456,"&gt;="&amp;Consulta!$L$4,$G$6:$G456,"&lt;="&amp;Consulta!$L$5),""))</f>
        <v/>
      </c>
      <c r="L456" s="48" t="str">
        <f aca="false">IF($D456="","",IF($D456=Consulta!$S$3,COUNTIF($D$6:$D456,Consulta!$S$3),""))</f>
        <v/>
      </c>
      <c r="M456" s="48" t="str">
        <f aca="false">IF($N456="","",IF(AND($N456='Comprovante DEV'!$D$6,$G456='Comprovante DEV'!$D$7),COUNTIFS($N$6:$N456,'Comprovante DEV'!$D$6,$G$6:$G456,'Comprovante DEV'!$D$7),""))</f>
        <v/>
      </c>
      <c r="N456" s="48" t="str">
        <f aca="false">IF($F456="","",IFERROR(VLOOKUP($F456,Apelidos_Tecnico!$A:$B,2,0),$F456))</f>
        <v/>
      </c>
    </row>
    <row r="457" customFormat="false" ht="15" hidden="false" customHeight="false" outlineLevel="0" collapsed="false">
      <c r="A457" s="25"/>
      <c r="B457" s="25"/>
      <c r="C457" s="26"/>
      <c r="D457" s="25"/>
      <c r="E457" s="25"/>
      <c r="F457" s="25"/>
      <c r="G457" s="27"/>
      <c r="H457" s="25"/>
      <c r="I457" s="26"/>
      <c r="J457" s="48" t="str">
        <f aca="false">IF($N457="","",IF(AND($N457=Consulta!$C$3,$G457&lt;&gt;"",$G457&gt;=Consulta!$C$4,$G457&lt;=Consulta!$C$5),COUNTIFS($N$6:$N457,Consulta!$C$3,$G$6:$G457,"&gt;="&amp;Consulta!$C$4,$G$6:$G457,"&lt;="&amp;Consulta!$C$5),""))</f>
        <v/>
      </c>
      <c r="K457" s="48" t="str">
        <f aca="false">IF($C457="","",IF(AND($C457=Consulta!$L$3,$G457&lt;&gt;"",$G457&gt;=Consulta!$L$4,$G457&lt;=Consulta!$L$5),COUNTIFS($C$6:$C457,Consulta!$L$3,$G$6:$G457,"&gt;="&amp;Consulta!$L$4,$G$6:$G457,"&lt;="&amp;Consulta!$L$5),""))</f>
        <v/>
      </c>
      <c r="L457" s="48" t="str">
        <f aca="false">IF($D457="","",IF($D457=Consulta!$S$3,COUNTIF($D$6:$D457,Consulta!$S$3),""))</f>
        <v/>
      </c>
      <c r="M457" s="48" t="str">
        <f aca="false">IF($N457="","",IF(AND($N457='Comprovante DEV'!$D$6,$G457='Comprovante DEV'!$D$7),COUNTIFS($N$6:$N457,'Comprovante DEV'!$D$6,$G$6:$G457,'Comprovante DEV'!$D$7),""))</f>
        <v/>
      </c>
      <c r="N457" s="48" t="str">
        <f aca="false">IF($F457="","",IFERROR(VLOOKUP($F457,Apelidos_Tecnico!$A:$B,2,0),$F457))</f>
        <v/>
      </c>
    </row>
    <row r="458" customFormat="false" ht="15" hidden="false" customHeight="false" outlineLevel="0" collapsed="false">
      <c r="A458" s="25"/>
      <c r="B458" s="25"/>
      <c r="C458" s="26"/>
      <c r="D458" s="25"/>
      <c r="E458" s="25"/>
      <c r="F458" s="25"/>
      <c r="G458" s="27"/>
      <c r="H458" s="25"/>
      <c r="I458" s="26"/>
      <c r="J458" s="48" t="str">
        <f aca="false">IF($N458="","",IF(AND($N458=Consulta!$C$3,$G458&lt;&gt;"",$G458&gt;=Consulta!$C$4,$G458&lt;=Consulta!$C$5),COUNTIFS($N$6:$N458,Consulta!$C$3,$G$6:$G458,"&gt;="&amp;Consulta!$C$4,$G$6:$G458,"&lt;="&amp;Consulta!$C$5),""))</f>
        <v/>
      </c>
      <c r="K458" s="48" t="str">
        <f aca="false">IF($C458="","",IF(AND($C458=Consulta!$L$3,$G458&lt;&gt;"",$G458&gt;=Consulta!$L$4,$G458&lt;=Consulta!$L$5),COUNTIFS($C$6:$C458,Consulta!$L$3,$G$6:$G458,"&gt;="&amp;Consulta!$L$4,$G$6:$G458,"&lt;="&amp;Consulta!$L$5),""))</f>
        <v/>
      </c>
      <c r="L458" s="48" t="str">
        <f aca="false">IF($D458="","",IF($D458=Consulta!$S$3,COUNTIF($D$6:$D458,Consulta!$S$3),""))</f>
        <v/>
      </c>
      <c r="M458" s="48" t="str">
        <f aca="false">IF($N458="","",IF(AND($N458='Comprovante DEV'!$D$6,$G458='Comprovante DEV'!$D$7),COUNTIFS($N$6:$N458,'Comprovante DEV'!$D$6,$G$6:$G458,'Comprovante DEV'!$D$7),""))</f>
        <v/>
      </c>
      <c r="N458" s="48" t="str">
        <f aca="false">IF($F458="","",IFERROR(VLOOKUP($F458,Apelidos_Tecnico!$A:$B,2,0),$F458))</f>
        <v/>
      </c>
    </row>
    <row r="459" customFormat="false" ht="15" hidden="false" customHeight="false" outlineLevel="0" collapsed="false">
      <c r="A459" s="25"/>
      <c r="B459" s="25"/>
      <c r="C459" s="26"/>
      <c r="D459" s="25"/>
      <c r="E459" s="25"/>
      <c r="F459" s="25"/>
      <c r="G459" s="27"/>
      <c r="H459" s="25"/>
      <c r="I459" s="26"/>
      <c r="J459" s="48" t="str">
        <f aca="false">IF($N459="","",IF(AND($N459=Consulta!$C$3,$G459&lt;&gt;"",$G459&gt;=Consulta!$C$4,$G459&lt;=Consulta!$C$5),COUNTIFS($N$6:$N459,Consulta!$C$3,$G$6:$G459,"&gt;="&amp;Consulta!$C$4,$G$6:$G459,"&lt;="&amp;Consulta!$C$5),""))</f>
        <v/>
      </c>
      <c r="K459" s="48" t="str">
        <f aca="false">IF($C459="","",IF(AND($C459=Consulta!$L$3,$G459&lt;&gt;"",$G459&gt;=Consulta!$L$4,$G459&lt;=Consulta!$L$5),COUNTIFS($C$6:$C459,Consulta!$L$3,$G$6:$G459,"&gt;="&amp;Consulta!$L$4,$G$6:$G459,"&lt;="&amp;Consulta!$L$5),""))</f>
        <v/>
      </c>
      <c r="L459" s="48" t="str">
        <f aca="false">IF($D459="","",IF($D459=Consulta!$S$3,COUNTIF($D$6:$D459,Consulta!$S$3),""))</f>
        <v/>
      </c>
      <c r="M459" s="48" t="str">
        <f aca="false">IF($N459="","",IF(AND($N459='Comprovante DEV'!$D$6,$G459='Comprovante DEV'!$D$7),COUNTIFS($N$6:$N459,'Comprovante DEV'!$D$6,$G$6:$G459,'Comprovante DEV'!$D$7),""))</f>
        <v/>
      </c>
      <c r="N459" s="48" t="str">
        <f aca="false">IF($F459="","",IFERROR(VLOOKUP($F459,Apelidos_Tecnico!$A:$B,2,0),$F459))</f>
        <v/>
      </c>
    </row>
    <row r="460" customFormat="false" ht="15" hidden="false" customHeight="false" outlineLevel="0" collapsed="false">
      <c r="A460" s="25"/>
      <c r="B460" s="25"/>
      <c r="C460" s="26"/>
      <c r="D460" s="25"/>
      <c r="E460" s="25"/>
      <c r="F460" s="25"/>
      <c r="G460" s="27"/>
      <c r="H460" s="25"/>
      <c r="I460" s="26"/>
      <c r="J460" s="48" t="str">
        <f aca="false">IF($N460="","",IF(AND($N460=Consulta!$C$3,$G460&lt;&gt;"",$G460&gt;=Consulta!$C$4,$G460&lt;=Consulta!$C$5),COUNTIFS($N$6:$N460,Consulta!$C$3,$G$6:$G460,"&gt;="&amp;Consulta!$C$4,$G$6:$G460,"&lt;="&amp;Consulta!$C$5),""))</f>
        <v/>
      </c>
      <c r="K460" s="48" t="str">
        <f aca="false">IF($C460="","",IF(AND($C460=Consulta!$L$3,$G460&lt;&gt;"",$G460&gt;=Consulta!$L$4,$G460&lt;=Consulta!$L$5),COUNTIFS($C$6:$C460,Consulta!$L$3,$G$6:$G460,"&gt;="&amp;Consulta!$L$4,$G$6:$G460,"&lt;="&amp;Consulta!$L$5),""))</f>
        <v/>
      </c>
      <c r="L460" s="48" t="str">
        <f aca="false">IF($D460="","",IF($D460=Consulta!$S$3,COUNTIF($D$6:$D460,Consulta!$S$3),""))</f>
        <v/>
      </c>
      <c r="M460" s="48" t="str">
        <f aca="false">IF($N460="","",IF(AND($N460='Comprovante DEV'!$D$6,$G460='Comprovante DEV'!$D$7),COUNTIFS($N$6:$N460,'Comprovante DEV'!$D$6,$G$6:$G460,'Comprovante DEV'!$D$7),""))</f>
        <v/>
      </c>
      <c r="N460" s="48" t="str">
        <f aca="false">IF($F460="","",IFERROR(VLOOKUP($F460,Apelidos_Tecnico!$A:$B,2,0),$F460))</f>
        <v/>
      </c>
    </row>
    <row r="461" customFormat="false" ht="15" hidden="false" customHeight="false" outlineLevel="0" collapsed="false">
      <c r="A461" s="25"/>
      <c r="B461" s="25"/>
      <c r="C461" s="26"/>
      <c r="D461" s="25"/>
      <c r="E461" s="25"/>
      <c r="F461" s="25"/>
      <c r="G461" s="27"/>
      <c r="H461" s="25"/>
      <c r="I461" s="26"/>
      <c r="J461" s="48" t="str">
        <f aca="false">IF($N461="","",IF(AND($N461=Consulta!$C$3,$G461&lt;&gt;"",$G461&gt;=Consulta!$C$4,$G461&lt;=Consulta!$C$5),COUNTIFS($N$6:$N461,Consulta!$C$3,$G$6:$G461,"&gt;="&amp;Consulta!$C$4,$G$6:$G461,"&lt;="&amp;Consulta!$C$5),""))</f>
        <v/>
      </c>
      <c r="K461" s="48" t="str">
        <f aca="false">IF($C461="","",IF(AND($C461=Consulta!$L$3,$G461&lt;&gt;"",$G461&gt;=Consulta!$L$4,$G461&lt;=Consulta!$L$5),COUNTIFS($C$6:$C461,Consulta!$L$3,$G$6:$G461,"&gt;="&amp;Consulta!$L$4,$G$6:$G461,"&lt;="&amp;Consulta!$L$5),""))</f>
        <v/>
      </c>
      <c r="L461" s="48" t="str">
        <f aca="false">IF($D461="","",IF($D461=Consulta!$S$3,COUNTIF($D$6:$D461,Consulta!$S$3),""))</f>
        <v/>
      </c>
      <c r="M461" s="48" t="str">
        <f aca="false">IF($N461="","",IF(AND($N461='Comprovante DEV'!$D$6,$G461='Comprovante DEV'!$D$7),COUNTIFS($N$6:$N461,'Comprovante DEV'!$D$6,$G$6:$G461,'Comprovante DEV'!$D$7),""))</f>
        <v/>
      </c>
      <c r="N461" s="48" t="str">
        <f aca="false">IF($F461="","",IFERROR(VLOOKUP($F461,Apelidos_Tecnico!$A:$B,2,0),$F461))</f>
        <v/>
      </c>
    </row>
    <row r="462" customFormat="false" ht="15" hidden="false" customHeight="false" outlineLevel="0" collapsed="false">
      <c r="A462" s="25"/>
      <c r="B462" s="25"/>
      <c r="C462" s="26"/>
      <c r="D462" s="25"/>
      <c r="E462" s="25"/>
      <c r="F462" s="25"/>
      <c r="G462" s="27"/>
      <c r="H462" s="25"/>
      <c r="I462" s="26"/>
      <c r="J462" s="48" t="str">
        <f aca="false">IF($N462="","",IF(AND($N462=Consulta!$C$3,$G462&lt;&gt;"",$G462&gt;=Consulta!$C$4,$G462&lt;=Consulta!$C$5),COUNTIFS($N$6:$N462,Consulta!$C$3,$G$6:$G462,"&gt;="&amp;Consulta!$C$4,$G$6:$G462,"&lt;="&amp;Consulta!$C$5),""))</f>
        <v/>
      </c>
      <c r="K462" s="48" t="str">
        <f aca="false">IF($C462="","",IF(AND($C462=Consulta!$L$3,$G462&lt;&gt;"",$G462&gt;=Consulta!$L$4,$G462&lt;=Consulta!$L$5),COUNTIFS($C$6:$C462,Consulta!$L$3,$G$6:$G462,"&gt;="&amp;Consulta!$L$4,$G$6:$G462,"&lt;="&amp;Consulta!$L$5),""))</f>
        <v/>
      </c>
      <c r="L462" s="48" t="str">
        <f aca="false">IF($D462="","",IF($D462=Consulta!$S$3,COUNTIF($D$6:$D462,Consulta!$S$3),""))</f>
        <v/>
      </c>
      <c r="M462" s="48" t="str">
        <f aca="false">IF($N462="","",IF(AND($N462='Comprovante DEV'!$D$6,$G462='Comprovante DEV'!$D$7),COUNTIFS($N$6:$N462,'Comprovante DEV'!$D$6,$G$6:$G462,'Comprovante DEV'!$D$7),""))</f>
        <v/>
      </c>
      <c r="N462" s="48" t="str">
        <f aca="false">IF($F462="","",IFERROR(VLOOKUP($F462,Apelidos_Tecnico!$A:$B,2,0),$F462))</f>
        <v/>
      </c>
    </row>
    <row r="463" customFormat="false" ht="15" hidden="false" customHeight="false" outlineLevel="0" collapsed="false">
      <c r="A463" s="25"/>
      <c r="B463" s="25"/>
      <c r="C463" s="26"/>
      <c r="D463" s="25"/>
      <c r="E463" s="25"/>
      <c r="F463" s="25"/>
      <c r="G463" s="27"/>
      <c r="H463" s="25"/>
      <c r="I463" s="26"/>
      <c r="J463" s="48" t="str">
        <f aca="false">IF($N463="","",IF(AND($N463=Consulta!$C$3,$G463&lt;&gt;"",$G463&gt;=Consulta!$C$4,$G463&lt;=Consulta!$C$5),COUNTIFS($N$6:$N463,Consulta!$C$3,$G$6:$G463,"&gt;="&amp;Consulta!$C$4,$G$6:$G463,"&lt;="&amp;Consulta!$C$5),""))</f>
        <v/>
      </c>
      <c r="K463" s="48" t="str">
        <f aca="false">IF($C463="","",IF(AND($C463=Consulta!$L$3,$G463&lt;&gt;"",$G463&gt;=Consulta!$L$4,$G463&lt;=Consulta!$L$5),COUNTIFS($C$6:$C463,Consulta!$L$3,$G$6:$G463,"&gt;="&amp;Consulta!$L$4,$G$6:$G463,"&lt;="&amp;Consulta!$L$5),""))</f>
        <v/>
      </c>
      <c r="L463" s="48" t="str">
        <f aca="false">IF($D463="","",IF($D463=Consulta!$S$3,COUNTIF($D$6:$D463,Consulta!$S$3),""))</f>
        <v/>
      </c>
      <c r="M463" s="48" t="str">
        <f aca="false">IF($N463="","",IF(AND($N463='Comprovante DEV'!$D$6,$G463='Comprovante DEV'!$D$7),COUNTIFS($N$6:$N463,'Comprovante DEV'!$D$6,$G$6:$G463,'Comprovante DEV'!$D$7),""))</f>
        <v/>
      </c>
      <c r="N463" s="48" t="str">
        <f aca="false">IF($F463="","",IFERROR(VLOOKUP($F463,Apelidos_Tecnico!$A:$B,2,0),$F463))</f>
        <v/>
      </c>
    </row>
    <row r="464" customFormat="false" ht="15" hidden="false" customHeight="false" outlineLevel="0" collapsed="false">
      <c r="A464" s="25"/>
      <c r="B464" s="25"/>
      <c r="C464" s="26"/>
      <c r="D464" s="25"/>
      <c r="E464" s="25"/>
      <c r="F464" s="25"/>
      <c r="G464" s="27"/>
      <c r="H464" s="25"/>
      <c r="I464" s="26"/>
      <c r="J464" s="48" t="str">
        <f aca="false">IF($N464="","",IF(AND($N464=Consulta!$C$3,$G464&lt;&gt;"",$G464&gt;=Consulta!$C$4,$G464&lt;=Consulta!$C$5),COUNTIFS($N$6:$N464,Consulta!$C$3,$G$6:$G464,"&gt;="&amp;Consulta!$C$4,$G$6:$G464,"&lt;="&amp;Consulta!$C$5),""))</f>
        <v/>
      </c>
      <c r="K464" s="48" t="str">
        <f aca="false">IF($C464="","",IF(AND($C464=Consulta!$L$3,$G464&lt;&gt;"",$G464&gt;=Consulta!$L$4,$G464&lt;=Consulta!$L$5),COUNTIFS($C$6:$C464,Consulta!$L$3,$G$6:$G464,"&gt;="&amp;Consulta!$L$4,$G$6:$G464,"&lt;="&amp;Consulta!$L$5),""))</f>
        <v/>
      </c>
      <c r="L464" s="48" t="str">
        <f aca="false">IF($D464="","",IF($D464=Consulta!$S$3,COUNTIF($D$6:$D464,Consulta!$S$3),""))</f>
        <v/>
      </c>
      <c r="M464" s="48" t="str">
        <f aca="false">IF($N464="","",IF(AND($N464='Comprovante DEV'!$D$6,$G464='Comprovante DEV'!$D$7),COUNTIFS($N$6:$N464,'Comprovante DEV'!$D$6,$G$6:$G464,'Comprovante DEV'!$D$7),""))</f>
        <v/>
      </c>
      <c r="N464" s="48" t="str">
        <f aca="false">IF($F464="","",IFERROR(VLOOKUP($F464,Apelidos_Tecnico!$A:$B,2,0),$F464))</f>
        <v/>
      </c>
    </row>
    <row r="465" customFormat="false" ht="15" hidden="false" customHeight="false" outlineLevel="0" collapsed="false">
      <c r="A465" s="25"/>
      <c r="B465" s="25"/>
      <c r="C465" s="26"/>
      <c r="D465" s="25"/>
      <c r="E465" s="25"/>
      <c r="F465" s="25"/>
      <c r="G465" s="27"/>
      <c r="H465" s="25"/>
      <c r="I465" s="26"/>
      <c r="J465" s="48" t="str">
        <f aca="false">IF($N465="","",IF(AND($N465=Consulta!$C$3,$G465&lt;&gt;"",$G465&gt;=Consulta!$C$4,$G465&lt;=Consulta!$C$5),COUNTIFS($N$6:$N465,Consulta!$C$3,$G$6:$G465,"&gt;="&amp;Consulta!$C$4,$G$6:$G465,"&lt;="&amp;Consulta!$C$5),""))</f>
        <v/>
      </c>
      <c r="K465" s="48" t="str">
        <f aca="false">IF($C465="","",IF(AND($C465=Consulta!$L$3,$G465&lt;&gt;"",$G465&gt;=Consulta!$L$4,$G465&lt;=Consulta!$L$5),COUNTIFS($C$6:$C465,Consulta!$L$3,$G$6:$G465,"&gt;="&amp;Consulta!$L$4,$G$6:$G465,"&lt;="&amp;Consulta!$L$5),""))</f>
        <v/>
      </c>
      <c r="L465" s="48" t="str">
        <f aca="false">IF($D465="","",IF($D465=Consulta!$S$3,COUNTIF($D$6:$D465,Consulta!$S$3),""))</f>
        <v/>
      </c>
      <c r="M465" s="48" t="str">
        <f aca="false">IF($N465="","",IF(AND($N465='Comprovante DEV'!$D$6,$G465='Comprovante DEV'!$D$7),COUNTIFS($N$6:$N465,'Comprovante DEV'!$D$6,$G$6:$G465,'Comprovante DEV'!$D$7),""))</f>
        <v/>
      </c>
      <c r="N465" s="48" t="str">
        <f aca="false">IF($F465="","",IFERROR(VLOOKUP($F465,Apelidos_Tecnico!$A:$B,2,0),$F465))</f>
        <v/>
      </c>
    </row>
    <row r="466" customFormat="false" ht="15" hidden="false" customHeight="false" outlineLevel="0" collapsed="false">
      <c r="A466" s="25"/>
      <c r="B466" s="25"/>
      <c r="C466" s="26"/>
      <c r="D466" s="25"/>
      <c r="E466" s="25"/>
      <c r="F466" s="25"/>
      <c r="G466" s="27"/>
      <c r="H466" s="25"/>
      <c r="I466" s="26"/>
      <c r="J466" s="48" t="str">
        <f aca="false">IF($N466="","",IF(AND($N466=Consulta!$C$3,$G466&lt;&gt;"",$G466&gt;=Consulta!$C$4,$G466&lt;=Consulta!$C$5),COUNTIFS($N$6:$N466,Consulta!$C$3,$G$6:$G466,"&gt;="&amp;Consulta!$C$4,$G$6:$G466,"&lt;="&amp;Consulta!$C$5),""))</f>
        <v/>
      </c>
      <c r="K466" s="48" t="str">
        <f aca="false">IF($C466="","",IF(AND($C466=Consulta!$L$3,$G466&lt;&gt;"",$G466&gt;=Consulta!$L$4,$G466&lt;=Consulta!$L$5),COUNTIFS($C$6:$C466,Consulta!$L$3,$G$6:$G466,"&gt;="&amp;Consulta!$L$4,$G$6:$G466,"&lt;="&amp;Consulta!$L$5),""))</f>
        <v/>
      </c>
      <c r="L466" s="48" t="str">
        <f aca="false">IF($D466="","",IF($D466=Consulta!$S$3,COUNTIF($D$6:$D466,Consulta!$S$3),""))</f>
        <v/>
      </c>
      <c r="M466" s="48" t="str">
        <f aca="false">IF($N466="","",IF(AND($N466='Comprovante DEV'!$D$6,$G466='Comprovante DEV'!$D$7),COUNTIFS($N$6:$N466,'Comprovante DEV'!$D$6,$G$6:$G466,'Comprovante DEV'!$D$7),""))</f>
        <v/>
      </c>
      <c r="N466" s="48" t="str">
        <f aca="false">IF($F466="","",IFERROR(VLOOKUP($F466,Apelidos_Tecnico!$A:$B,2,0),$F466))</f>
        <v/>
      </c>
    </row>
    <row r="467" customFormat="false" ht="15" hidden="false" customHeight="false" outlineLevel="0" collapsed="false">
      <c r="A467" s="25"/>
      <c r="B467" s="25"/>
      <c r="C467" s="26"/>
      <c r="D467" s="25"/>
      <c r="E467" s="25"/>
      <c r="F467" s="25"/>
      <c r="G467" s="27"/>
      <c r="H467" s="25"/>
      <c r="I467" s="26"/>
      <c r="J467" s="48" t="str">
        <f aca="false">IF($N467="","",IF(AND($N467=Consulta!$C$3,$G467&lt;&gt;"",$G467&gt;=Consulta!$C$4,$G467&lt;=Consulta!$C$5),COUNTIFS($N$6:$N467,Consulta!$C$3,$G$6:$G467,"&gt;="&amp;Consulta!$C$4,$G$6:$G467,"&lt;="&amp;Consulta!$C$5),""))</f>
        <v/>
      </c>
      <c r="K467" s="48" t="str">
        <f aca="false">IF($C467="","",IF(AND($C467=Consulta!$L$3,$G467&lt;&gt;"",$G467&gt;=Consulta!$L$4,$G467&lt;=Consulta!$L$5),COUNTIFS($C$6:$C467,Consulta!$L$3,$G$6:$G467,"&gt;="&amp;Consulta!$L$4,$G$6:$G467,"&lt;="&amp;Consulta!$L$5),""))</f>
        <v/>
      </c>
      <c r="L467" s="48" t="str">
        <f aca="false">IF($D467="","",IF($D467=Consulta!$S$3,COUNTIF($D$6:$D467,Consulta!$S$3),""))</f>
        <v/>
      </c>
      <c r="M467" s="48" t="str">
        <f aca="false">IF($N467="","",IF(AND($N467='Comprovante DEV'!$D$6,$G467='Comprovante DEV'!$D$7),COUNTIFS($N$6:$N467,'Comprovante DEV'!$D$6,$G$6:$G467,'Comprovante DEV'!$D$7),""))</f>
        <v/>
      </c>
      <c r="N467" s="48" t="str">
        <f aca="false">IF($F467="","",IFERROR(VLOOKUP($F467,Apelidos_Tecnico!$A:$B,2,0),$F467))</f>
        <v/>
      </c>
    </row>
    <row r="468" customFormat="false" ht="15" hidden="false" customHeight="false" outlineLevel="0" collapsed="false">
      <c r="A468" s="25"/>
      <c r="B468" s="25"/>
      <c r="C468" s="26"/>
      <c r="D468" s="25"/>
      <c r="E468" s="25"/>
      <c r="F468" s="25"/>
      <c r="G468" s="27"/>
      <c r="H468" s="25"/>
      <c r="I468" s="26"/>
      <c r="J468" s="48" t="str">
        <f aca="false">IF($N468="","",IF(AND($N468=Consulta!$C$3,$G468&lt;&gt;"",$G468&gt;=Consulta!$C$4,$G468&lt;=Consulta!$C$5),COUNTIFS($N$6:$N468,Consulta!$C$3,$G$6:$G468,"&gt;="&amp;Consulta!$C$4,$G$6:$G468,"&lt;="&amp;Consulta!$C$5),""))</f>
        <v/>
      </c>
      <c r="K468" s="48" t="str">
        <f aca="false">IF($C468="","",IF(AND($C468=Consulta!$L$3,$G468&lt;&gt;"",$G468&gt;=Consulta!$L$4,$G468&lt;=Consulta!$L$5),COUNTIFS($C$6:$C468,Consulta!$L$3,$G$6:$G468,"&gt;="&amp;Consulta!$L$4,$G$6:$G468,"&lt;="&amp;Consulta!$L$5),""))</f>
        <v/>
      </c>
      <c r="L468" s="48" t="str">
        <f aca="false">IF($D468="","",IF($D468=Consulta!$S$3,COUNTIF($D$6:$D468,Consulta!$S$3),""))</f>
        <v/>
      </c>
      <c r="M468" s="48" t="str">
        <f aca="false">IF($N468="","",IF(AND($N468='Comprovante DEV'!$D$6,$G468='Comprovante DEV'!$D$7),COUNTIFS($N$6:$N468,'Comprovante DEV'!$D$6,$G$6:$G468,'Comprovante DEV'!$D$7),""))</f>
        <v/>
      </c>
      <c r="N468" s="48" t="str">
        <f aca="false">IF($F468="","",IFERROR(VLOOKUP($F468,Apelidos_Tecnico!$A:$B,2,0),$F468))</f>
        <v/>
      </c>
    </row>
    <row r="469" customFormat="false" ht="15" hidden="false" customHeight="false" outlineLevel="0" collapsed="false">
      <c r="A469" s="25"/>
      <c r="B469" s="25"/>
      <c r="C469" s="26"/>
      <c r="D469" s="25"/>
      <c r="E469" s="25"/>
      <c r="F469" s="25"/>
      <c r="G469" s="27"/>
      <c r="H469" s="25"/>
      <c r="I469" s="26"/>
      <c r="J469" s="48" t="str">
        <f aca="false">IF($N469="","",IF(AND($N469=Consulta!$C$3,$G469&lt;&gt;"",$G469&gt;=Consulta!$C$4,$G469&lt;=Consulta!$C$5),COUNTIFS($N$6:$N469,Consulta!$C$3,$G$6:$G469,"&gt;="&amp;Consulta!$C$4,$G$6:$G469,"&lt;="&amp;Consulta!$C$5),""))</f>
        <v/>
      </c>
      <c r="K469" s="48" t="str">
        <f aca="false">IF($C469="","",IF(AND($C469=Consulta!$L$3,$G469&lt;&gt;"",$G469&gt;=Consulta!$L$4,$G469&lt;=Consulta!$L$5),COUNTIFS($C$6:$C469,Consulta!$L$3,$G$6:$G469,"&gt;="&amp;Consulta!$L$4,$G$6:$G469,"&lt;="&amp;Consulta!$L$5),""))</f>
        <v/>
      </c>
      <c r="L469" s="48" t="str">
        <f aca="false">IF($D469="","",IF($D469=Consulta!$S$3,COUNTIF($D$6:$D469,Consulta!$S$3),""))</f>
        <v/>
      </c>
      <c r="M469" s="48" t="str">
        <f aca="false">IF($N469="","",IF(AND($N469='Comprovante DEV'!$D$6,$G469='Comprovante DEV'!$D$7),COUNTIFS($N$6:$N469,'Comprovante DEV'!$D$6,$G$6:$G469,'Comprovante DEV'!$D$7),""))</f>
        <v/>
      </c>
      <c r="N469" s="48" t="str">
        <f aca="false">IF($F469="","",IFERROR(VLOOKUP($F469,Apelidos_Tecnico!$A:$B,2,0),$F469))</f>
        <v/>
      </c>
    </row>
    <row r="470" customFormat="false" ht="15" hidden="false" customHeight="false" outlineLevel="0" collapsed="false">
      <c r="A470" s="25"/>
      <c r="B470" s="25"/>
      <c r="C470" s="26"/>
      <c r="D470" s="25"/>
      <c r="E470" s="25"/>
      <c r="F470" s="25"/>
      <c r="G470" s="27"/>
      <c r="H470" s="25"/>
      <c r="I470" s="26"/>
      <c r="J470" s="48" t="str">
        <f aca="false">IF($N470="","",IF(AND($N470=Consulta!$C$3,$G470&lt;&gt;"",$G470&gt;=Consulta!$C$4,$G470&lt;=Consulta!$C$5),COUNTIFS($N$6:$N470,Consulta!$C$3,$G$6:$G470,"&gt;="&amp;Consulta!$C$4,$G$6:$G470,"&lt;="&amp;Consulta!$C$5),""))</f>
        <v/>
      </c>
      <c r="K470" s="48" t="str">
        <f aca="false">IF($C470="","",IF(AND($C470=Consulta!$L$3,$G470&lt;&gt;"",$G470&gt;=Consulta!$L$4,$G470&lt;=Consulta!$L$5),COUNTIFS($C$6:$C470,Consulta!$L$3,$G$6:$G470,"&gt;="&amp;Consulta!$L$4,$G$6:$G470,"&lt;="&amp;Consulta!$L$5),""))</f>
        <v/>
      </c>
      <c r="L470" s="48" t="str">
        <f aca="false">IF($D470="","",IF($D470=Consulta!$S$3,COUNTIF($D$6:$D470,Consulta!$S$3),""))</f>
        <v/>
      </c>
      <c r="M470" s="48" t="str">
        <f aca="false">IF($N470="","",IF(AND($N470='Comprovante DEV'!$D$6,$G470='Comprovante DEV'!$D$7),COUNTIFS($N$6:$N470,'Comprovante DEV'!$D$6,$G$6:$G470,'Comprovante DEV'!$D$7),""))</f>
        <v/>
      </c>
      <c r="N470" s="48" t="str">
        <f aca="false">IF($F470="","",IFERROR(VLOOKUP($F470,Apelidos_Tecnico!$A:$B,2,0),$F470))</f>
        <v/>
      </c>
    </row>
    <row r="471" customFormat="false" ht="15" hidden="false" customHeight="false" outlineLevel="0" collapsed="false">
      <c r="A471" s="25"/>
      <c r="B471" s="25"/>
      <c r="C471" s="26"/>
      <c r="D471" s="25"/>
      <c r="E471" s="25"/>
      <c r="F471" s="25"/>
      <c r="G471" s="27"/>
      <c r="H471" s="25"/>
      <c r="I471" s="26"/>
      <c r="J471" s="48" t="str">
        <f aca="false">IF($N471="","",IF(AND($N471=Consulta!$C$3,$G471&lt;&gt;"",$G471&gt;=Consulta!$C$4,$G471&lt;=Consulta!$C$5),COUNTIFS($N$6:$N471,Consulta!$C$3,$G$6:$G471,"&gt;="&amp;Consulta!$C$4,$G$6:$G471,"&lt;="&amp;Consulta!$C$5),""))</f>
        <v/>
      </c>
      <c r="K471" s="48" t="str">
        <f aca="false">IF($C471="","",IF(AND($C471=Consulta!$L$3,$G471&lt;&gt;"",$G471&gt;=Consulta!$L$4,$G471&lt;=Consulta!$L$5),COUNTIFS($C$6:$C471,Consulta!$L$3,$G$6:$G471,"&gt;="&amp;Consulta!$L$4,$G$6:$G471,"&lt;="&amp;Consulta!$L$5),""))</f>
        <v/>
      </c>
      <c r="L471" s="48" t="str">
        <f aca="false">IF($D471="","",IF($D471=Consulta!$S$3,COUNTIF($D$6:$D471,Consulta!$S$3),""))</f>
        <v/>
      </c>
      <c r="M471" s="48" t="str">
        <f aca="false">IF($N471="","",IF(AND($N471='Comprovante DEV'!$D$6,$G471='Comprovante DEV'!$D$7),COUNTIFS($N$6:$N471,'Comprovante DEV'!$D$6,$G$6:$G471,'Comprovante DEV'!$D$7),""))</f>
        <v/>
      </c>
      <c r="N471" s="48" t="str">
        <f aca="false">IF($F471="","",IFERROR(VLOOKUP($F471,Apelidos_Tecnico!$A:$B,2,0),$F471))</f>
        <v/>
      </c>
    </row>
    <row r="472" customFormat="false" ht="15" hidden="false" customHeight="false" outlineLevel="0" collapsed="false">
      <c r="A472" s="25"/>
      <c r="B472" s="25"/>
      <c r="C472" s="26"/>
      <c r="D472" s="25"/>
      <c r="E472" s="25"/>
      <c r="F472" s="25"/>
      <c r="G472" s="27"/>
      <c r="H472" s="25"/>
      <c r="I472" s="26"/>
      <c r="J472" s="48" t="str">
        <f aca="false">IF($N472="","",IF(AND($N472=Consulta!$C$3,$G472&lt;&gt;"",$G472&gt;=Consulta!$C$4,$G472&lt;=Consulta!$C$5),COUNTIFS($N$6:$N472,Consulta!$C$3,$G$6:$G472,"&gt;="&amp;Consulta!$C$4,$G$6:$G472,"&lt;="&amp;Consulta!$C$5),""))</f>
        <v/>
      </c>
      <c r="K472" s="48" t="str">
        <f aca="false">IF($C472="","",IF(AND($C472=Consulta!$L$3,$G472&lt;&gt;"",$G472&gt;=Consulta!$L$4,$G472&lt;=Consulta!$L$5),COUNTIFS($C$6:$C472,Consulta!$L$3,$G$6:$G472,"&gt;="&amp;Consulta!$L$4,$G$6:$G472,"&lt;="&amp;Consulta!$L$5),""))</f>
        <v/>
      </c>
      <c r="L472" s="48" t="str">
        <f aca="false">IF($D472="","",IF($D472=Consulta!$S$3,COUNTIF($D$6:$D472,Consulta!$S$3),""))</f>
        <v/>
      </c>
      <c r="M472" s="48" t="str">
        <f aca="false">IF($N472="","",IF(AND($N472='Comprovante DEV'!$D$6,$G472='Comprovante DEV'!$D$7),COUNTIFS($N$6:$N472,'Comprovante DEV'!$D$6,$G$6:$G472,'Comprovante DEV'!$D$7),""))</f>
        <v/>
      </c>
      <c r="N472" s="48" t="str">
        <f aca="false">IF($F472="","",IFERROR(VLOOKUP($F472,Apelidos_Tecnico!$A:$B,2,0),$F472))</f>
        <v/>
      </c>
    </row>
    <row r="473" customFormat="false" ht="15" hidden="false" customHeight="false" outlineLevel="0" collapsed="false">
      <c r="A473" s="25"/>
      <c r="B473" s="25"/>
      <c r="C473" s="26"/>
      <c r="D473" s="25"/>
      <c r="E473" s="25"/>
      <c r="F473" s="25"/>
      <c r="G473" s="27"/>
      <c r="H473" s="25"/>
      <c r="I473" s="26"/>
      <c r="J473" s="48" t="str">
        <f aca="false">IF($N473="","",IF(AND($N473=Consulta!$C$3,$G473&lt;&gt;"",$G473&gt;=Consulta!$C$4,$G473&lt;=Consulta!$C$5),COUNTIFS($N$6:$N473,Consulta!$C$3,$G$6:$G473,"&gt;="&amp;Consulta!$C$4,$G$6:$G473,"&lt;="&amp;Consulta!$C$5),""))</f>
        <v/>
      </c>
      <c r="K473" s="48" t="str">
        <f aca="false">IF($C473="","",IF(AND($C473=Consulta!$L$3,$G473&lt;&gt;"",$G473&gt;=Consulta!$L$4,$G473&lt;=Consulta!$L$5),COUNTIFS($C$6:$C473,Consulta!$L$3,$G$6:$G473,"&gt;="&amp;Consulta!$L$4,$G$6:$G473,"&lt;="&amp;Consulta!$L$5),""))</f>
        <v/>
      </c>
      <c r="L473" s="48" t="str">
        <f aca="false">IF($D473="","",IF($D473=Consulta!$S$3,COUNTIF($D$6:$D473,Consulta!$S$3),""))</f>
        <v/>
      </c>
      <c r="M473" s="48" t="str">
        <f aca="false">IF($N473="","",IF(AND($N473='Comprovante DEV'!$D$6,$G473='Comprovante DEV'!$D$7),COUNTIFS($N$6:$N473,'Comprovante DEV'!$D$6,$G$6:$G473,'Comprovante DEV'!$D$7),""))</f>
        <v/>
      </c>
      <c r="N473" s="48" t="str">
        <f aca="false">IF($F473="","",IFERROR(VLOOKUP($F473,Apelidos_Tecnico!$A:$B,2,0),$F473))</f>
        <v/>
      </c>
    </row>
    <row r="474" customFormat="false" ht="15" hidden="false" customHeight="false" outlineLevel="0" collapsed="false">
      <c r="A474" s="25"/>
      <c r="B474" s="25"/>
      <c r="C474" s="26"/>
      <c r="D474" s="25"/>
      <c r="E474" s="25"/>
      <c r="F474" s="25"/>
      <c r="G474" s="27"/>
      <c r="H474" s="25"/>
      <c r="I474" s="26"/>
      <c r="J474" s="48" t="str">
        <f aca="false">IF($N474="","",IF(AND($N474=Consulta!$C$3,$G474&lt;&gt;"",$G474&gt;=Consulta!$C$4,$G474&lt;=Consulta!$C$5),COUNTIFS($N$6:$N474,Consulta!$C$3,$G$6:$G474,"&gt;="&amp;Consulta!$C$4,$G$6:$G474,"&lt;="&amp;Consulta!$C$5),""))</f>
        <v/>
      </c>
      <c r="K474" s="48" t="str">
        <f aca="false">IF($C474="","",IF(AND($C474=Consulta!$L$3,$G474&lt;&gt;"",$G474&gt;=Consulta!$L$4,$G474&lt;=Consulta!$L$5),COUNTIFS($C$6:$C474,Consulta!$L$3,$G$6:$G474,"&gt;="&amp;Consulta!$L$4,$G$6:$G474,"&lt;="&amp;Consulta!$L$5),""))</f>
        <v/>
      </c>
      <c r="L474" s="48" t="str">
        <f aca="false">IF($D474="","",IF($D474=Consulta!$S$3,COUNTIF($D$6:$D474,Consulta!$S$3),""))</f>
        <v/>
      </c>
      <c r="M474" s="48" t="str">
        <f aca="false">IF($N474="","",IF(AND($N474='Comprovante DEV'!$D$6,$G474='Comprovante DEV'!$D$7),COUNTIFS($N$6:$N474,'Comprovante DEV'!$D$6,$G$6:$G474,'Comprovante DEV'!$D$7),""))</f>
        <v/>
      </c>
      <c r="N474" s="48" t="str">
        <f aca="false">IF($F474="","",IFERROR(VLOOKUP($F474,Apelidos_Tecnico!$A:$B,2,0),$F474))</f>
        <v/>
      </c>
    </row>
    <row r="475" customFormat="false" ht="15" hidden="false" customHeight="false" outlineLevel="0" collapsed="false">
      <c r="A475" s="25"/>
      <c r="B475" s="25"/>
      <c r="C475" s="26"/>
      <c r="D475" s="25"/>
      <c r="E475" s="25"/>
      <c r="F475" s="25"/>
      <c r="G475" s="27"/>
      <c r="H475" s="25"/>
      <c r="I475" s="26"/>
      <c r="J475" s="48" t="str">
        <f aca="false">IF($N475="","",IF(AND($N475=Consulta!$C$3,$G475&lt;&gt;"",$G475&gt;=Consulta!$C$4,$G475&lt;=Consulta!$C$5),COUNTIFS($N$6:$N475,Consulta!$C$3,$G$6:$G475,"&gt;="&amp;Consulta!$C$4,$G$6:$G475,"&lt;="&amp;Consulta!$C$5),""))</f>
        <v/>
      </c>
      <c r="K475" s="48" t="str">
        <f aca="false">IF($C475="","",IF(AND($C475=Consulta!$L$3,$G475&lt;&gt;"",$G475&gt;=Consulta!$L$4,$G475&lt;=Consulta!$L$5),COUNTIFS($C$6:$C475,Consulta!$L$3,$G$6:$G475,"&gt;="&amp;Consulta!$L$4,$G$6:$G475,"&lt;="&amp;Consulta!$L$5),""))</f>
        <v/>
      </c>
      <c r="L475" s="48" t="str">
        <f aca="false">IF($D475="","",IF($D475=Consulta!$S$3,COUNTIF($D$6:$D475,Consulta!$S$3),""))</f>
        <v/>
      </c>
      <c r="M475" s="48" t="str">
        <f aca="false">IF($N475="","",IF(AND($N475='Comprovante DEV'!$D$6,$G475='Comprovante DEV'!$D$7),COUNTIFS($N$6:$N475,'Comprovante DEV'!$D$6,$G$6:$G475,'Comprovante DEV'!$D$7),""))</f>
        <v/>
      </c>
      <c r="N475" s="48" t="str">
        <f aca="false">IF($F475="","",IFERROR(VLOOKUP($F475,Apelidos_Tecnico!$A:$B,2,0),$F475))</f>
        <v/>
      </c>
    </row>
    <row r="476" customFormat="false" ht="15" hidden="false" customHeight="false" outlineLevel="0" collapsed="false">
      <c r="A476" s="25"/>
      <c r="B476" s="25"/>
      <c r="C476" s="26"/>
      <c r="D476" s="25"/>
      <c r="E476" s="25"/>
      <c r="F476" s="25"/>
      <c r="G476" s="27"/>
      <c r="H476" s="25"/>
      <c r="I476" s="26"/>
      <c r="J476" s="48" t="str">
        <f aca="false">IF($N476="","",IF(AND($N476=Consulta!$C$3,$G476&lt;&gt;"",$G476&gt;=Consulta!$C$4,$G476&lt;=Consulta!$C$5),COUNTIFS($N$6:$N476,Consulta!$C$3,$G$6:$G476,"&gt;="&amp;Consulta!$C$4,$G$6:$G476,"&lt;="&amp;Consulta!$C$5),""))</f>
        <v/>
      </c>
      <c r="K476" s="48" t="str">
        <f aca="false">IF($C476="","",IF(AND($C476=Consulta!$L$3,$G476&lt;&gt;"",$G476&gt;=Consulta!$L$4,$G476&lt;=Consulta!$L$5),COUNTIFS($C$6:$C476,Consulta!$L$3,$G$6:$G476,"&gt;="&amp;Consulta!$L$4,$G$6:$G476,"&lt;="&amp;Consulta!$L$5),""))</f>
        <v/>
      </c>
      <c r="L476" s="48" t="str">
        <f aca="false">IF($D476="","",IF($D476=Consulta!$S$3,COUNTIF($D$6:$D476,Consulta!$S$3),""))</f>
        <v/>
      </c>
      <c r="M476" s="48" t="str">
        <f aca="false">IF($N476="","",IF(AND($N476='Comprovante DEV'!$D$6,$G476='Comprovante DEV'!$D$7),COUNTIFS($N$6:$N476,'Comprovante DEV'!$D$6,$G$6:$G476,'Comprovante DEV'!$D$7),""))</f>
        <v/>
      </c>
      <c r="N476" s="48" t="str">
        <f aca="false">IF($F476="","",IFERROR(VLOOKUP($F476,Apelidos_Tecnico!$A:$B,2,0),$F476))</f>
        <v/>
      </c>
    </row>
    <row r="477" customFormat="false" ht="15" hidden="false" customHeight="false" outlineLevel="0" collapsed="false">
      <c r="A477" s="25"/>
      <c r="B477" s="25"/>
      <c r="C477" s="26"/>
      <c r="D477" s="25"/>
      <c r="E477" s="25"/>
      <c r="F477" s="25"/>
      <c r="G477" s="27"/>
      <c r="H477" s="25"/>
      <c r="I477" s="26"/>
      <c r="J477" s="48" t="str">
        <f aca="false">IF($N477="","",IF(AND($N477=Consulta!$C$3,$G477&lt;&gt;"",$G477&gt;=Consulta!$C$4,$G477&lt;=Consulta!$C$5),COUNTIFS($N$6:$N477,Consulta!$C$3,$G$6:$G477,"&gt;="&amp;Consulta!$C$4,$G$6:$G477,"&lt;="&amp;Consulta!$C$5),""))</f>
        <v/>
      </c>
      <c r="K477" s="48" t="str">
        <f aca="false">IF($C477="","",IF(AND($C477=Consulta!$L$3,$G477&lt;&gt;"",$G477&gt;=Consulta!$L$4,$G477&lt;=Consulta!$L$5),COUNTIFS($C$6:$C477,Consulta!$L$3,$G$6:$G477,"&gt;="&amp;Consulta!$L$4,$G$6:$G477,"&lt;="&amp;Consulta!$L$5),""))</f>
        <v/>
      </c>
      <c r="L477" s="48" t="str">
        <f aca="false">IF($D477="","",IF($D477=Consulta!$S$3,COUNTIF($D$6:$D477,Consulta!$S$3),""))</f>
        <v/>
      </c>
      <c r="M477" s="48" t="str">
        <f aca="false">IF($N477="","",IF(AND($N477='Comprovante DEV'!$D$6,$G477='Comprovante DEV'!$D$7),COUNTIFS($N$6:$N477,'Comprovante DEV'!$D$6,$G$6:$G477,'Comprovante DEV'!$D$7),""))</f>
        <v/>
      </c>
      <c r="N477" s="48" t="str">
        <f aca="false">IF($F477="","",IFERROR(VLOOKUP($F477,Apelidos_Tecnico!$A:$B,2,0),$F477))</f>
        <v/>
      </c>
    </row>
    <row r="478" customFormat="false" ht="15" hidden="false" customHeight="false" outlineLevel="0" collapsed="false">
      <c r="A478" s="25"/>
      <c r="B478" s="25"/>
      <c r="C478" s="26"/>
      <c r="D478" s="25"/>
      <c r="E478" s="25"/>
      <c r="F478" s="25"/>
      <c r="G478" s="27"/>
      <c r="H478" s="25"/>
      <c r="I478" s="26"/>
      <c r="J478" s="48" t="str">
        <f aca="false">IF($N478="","",IF(AND($N478=Consulta!$C$3,$G478&lt;&gt;"",$G478&gt;=Consulta!$C$4,$G478&lt;=Consulta!$C$5),COUNTIFS($N$6:$N478,Consulta!$C$3,$G$6:$G478,"&gt;="&amp;Consulta!$C$4,$G$6:$G478,"&lt;="&amp;Consulta!$C$5),""))</f>
        <v/>
      </c>
      <c r="K478" s="48" t="str">
        <f aca="false">IF($C478="","",IF(AND($C478=Consulta!$L$3,$G478&lt;&gt;"",$G478&gt;=Consulta!$L$4,$G478&lt;=Consulta!$L$5),COUNTIFS($C$6:$C478,Consulta!$L$3,$G$6:$G478,"&gt;="&amp;Consulta!$L$4,$G$6:$G478,"&lt;="&amp;Consulta!$L$5),""))</f>
        <v/>
      </c>
      <c r="L478" s="48" t="str">
        <f aca="false">IF($D478="","",IF($D478=Consulta!$S$3,COUNTIF($D$6:$D478,Consulta!$S$3),""))</f>
        <v/>
      </c>
      <c r="M478" s="48" t="str">
        <f aca="false">IF($N478="","",IF(AND($N478='Comprovante DEV'!$D$6,$G478='Comprovante DEV'!$D$7),COUNTIFS($N$6:$N478,'Comprovante DEV'!$D$6,$G$6:$G478,'Comprovante DEV'!$D$7),""))</f>
        <v/>
      </c>
      <c r="N478" s="48" t="str">
        <f aca="false">IF($F478="","",IFERROR(VLOOKUP($F478,Apelidos_Tecnico!$A:$B,2,0),$F478))</f>
        <v/>
      </c>
    </row>
    <row r="479" customFormat="false" ht="15" hidden="false" customHeight="false" outlineLevel="0" collapsed="false">
      <c r="A479" s="25"/>
      <c r="B479" s="25"/>
      <c r="C479" s="26"/>
      <c r="D479" s="25"/>
      <c r="E479" s="25"/>
      <c r="F479" s="25"/>
      <c r="G479" s="27"/>
      <c r="H479" s="25"/>
      <c r="I479" s="26"/>
      <c r="J479" s="48" t="str">
        <f aca="false">IF($N479="","",IF(AND($N479=Consulta!$C$3,$G479&lt;&gt;"",$G479&gt;=Consulta!$C$4,$G479&lt;=Consulta!$C$5),COUNTIFS($N$6:$N479,Consulta!$C$3,$G$6:$G479,"&gt;="&amp;Consulta!$C$4,$G$6:$G479,"&lt;="&amp;Consulta!$C$5),""))</f>
        <v/>
      </c>
      <c r="K479" s="48" t="str">
        <f aca="false">IF($C479="","",IF(AND($C479=Consulta!$L$3,$G479&lt;&gt;"",$G479&gt;=Consulta!$L$4,$G479&lt;=Consulta!$L$5),COUNTIFS($C$6:$C479,Consulta!$L$3,$G$6:$G479,"&gt;="&amp;Consulta!$L$4,$G$6:$G479,"&lt;="&amp;Consulta!$L$5),""))</f>
        <v/>
      </c>
      <c r="L479" s="48" t="str">
        <f aca="false">IF($D479="","",IF($D479=Consulta!$S$3,COUNTIF($D$6:$D479,Consulta!$S$3),""))</f>
        <v/>
      </c>
      <c r="M479" s="48" t="str">
        <f aca="false">IF($N479="","",IF(AND($N479='Comprovante DEV'!$D$6,$G479='Comprovante DEV'!$D$7),COUNTIFS($N$6:$N479,'Comprovante DEV'!$D$6,$G$6:$G479,'Comprovante DEV'!$D$7),""))</f>
        <v/>
      </c>
      <c r="N479" s="48" t="str">
        <f aca="false">IF($F479="","",IFERROR(VLOOKUP($F479,Apelidos_Tecnico!$A:$B,2,0),$F479))</f>
        <v/>
      </c>
    </row>
    <row r="480" customFormat="false" ht="15" hidden="false" customHeight="false" outlineLevel="0" collapsed="false">
      <c r="A480" s="25"/>
      <c r="B480" s="25"/>
      <c r="C480" s="26"/>
      <c r="D480" s="25"/>
      <c r="E480" s="25"/>
      <c r="F480" s="25"/>
      <c r="G480" s="27"/>
      <c r="H480" s="25"/>
      <c r="I480" s="26"/>
      <c r="J480" s="48" t="str">
        <f aca="false">IF($N480="","",IF(AND($N480=Consulta!$C$3,$G480&lt;&gt;"",$G480&gt;=Consulta!$C$4,$G480&lt;=Consulta!$C$5),COUNTIFS($N$6:$N480,Consulta!$C$3,$G$6:$G480,"&gt;="&amp;Consulta!$C$4,$G$6:$G480,"&lt;="&amp;Consulta!$C$5),""))</f>
        <v/>
      </c>
      <c r="K480" s="48" t="str">
        <f aca="false">IF($C480="","",IF(AND($C480=Consulta!$L$3,$G480&lt;&gt;"",$G480&gt;=Consulta!$L$4,$G480&lt;=Consulta!$L$5),COUNTIFS($C$6:$C480,Consulta!$L$3,$G$6:$G480,"&gt;="&amp;Consulta!$L$4,$G$6:$G480,"&lt;="&amp;Consulta!$L$5),""))</f>
        <v/>
      </c>
      <c r="L480" s="48" t="str">
        <f aca="false">IF($D480="","",IF($D480=Consulta!$S$3,COUNTIF($D$6:$D480,Consulta!$S$3),""))</f>
        <v/>
      </c>
      <c r="M480" s="48" t="str">
        <f aca="false">IF($N480="","",IF(AND($N480='Comprovante DEV'!$D$6,$G480='Comprovante DEV'!$D$7),COUNTIFS($N$6:$N480,'Comprovante DEV'!$D$6,$G$6:$G480,'Comprovante DEV'!$D$7),""))</f>
        <v/>
      </c>
      <c r="N480" s="48" t="str">
        <f aca="false">IF($F480="","",IFERROR(VLOOKUP($F480,Apelidos_Tecnico!$A:$B,2,0),$F480))</f>
        <v/>
      </c>
    </row>
    <row r="481" customFormat="false" ht="15" hidden="false" customHeight="false" outlineLevel="0" collapsed="false">
      <c r="A481" s="25"/>
      <c r="B481" s="25"/>
      <c r="C481" s="26"/>
      <c r="D481" s="25"/>
      <c r="E481" s="25"/>
      <c r="F481" s="25"/>
      <c r="G481" s="27"/>
      <c r="H481" s="25"/>
      <c r="I481" s="26"/>
      <c r="J481" s="48" t="str">
        <f aca="false">IF($N481="","",IF(AND($N481=Consulta!$C$3,$G481&lt;&gt;"",$G481&gt;=Consulta!$C$4,$G481&lt;=Consulta!$C$5),COUNTIFS($N$6:$N481,Consulta!$C$3,$G$6:$G481,"&gt;="&amp;Consulta!$C$4,$G$6:$G481,"&lt;="&amp;Consulta!$C$5),""))</f>
        <v/>
      </c>
      <c r="K481" s="48" t="str">
        <f aca="false">IF($C481="","",IF(AND($C481=Consulta!$L$3,$G481&lt;&gt;"",$G481&gt;=Consulta!$L$4,$G481&lt;=Consulta!$L$5),COUNTIFS($C$6:$C481,Consulta!$L$3,$G$6:$G481,"&gt;="&amp;Consulta!$L$4,$G$6:$G481,"&lt;="&amp;Consulta!$L$5),""))</f>
        <v/>
      </c>
      <c r="L481" s="48" t="str">
        <f aca="false">IF($D481="","",IF($D481=Consulta!$S$3,COUNTIF($D$6:$D481,Consulta!$S$3),""))</f>
        <v/>
      </c>
      <c r="M481" s="48" t="str">
        <f aca="false">IF($N481="","",IF(AND($N481='Comprovante DEV'!$D$6,$G481='Comprovante DEV'!$D$7),COUNTIFS($N$6:$N481,'Comprovante DEV'!$D$6,$G$6:$G481,'Comprovante DEV'!$D$7),""))</f>
        <v/>
      </c>
      <c r="N481" s="48" t="str">
        <f aca="false">IF($F481="","",IFERROR(VLOOKUP($F481,Apelidos_Tecnico!$A:$B,2,0),$F481))</f>
        <v/>
      </c>
    </row>
    <row r="482" customFormat="false" ht="15" hidden="false" customHeight="false" outlineLevel="0" collapsed="false">
      <c r="A482" s="25"/>
      <c r="B482" s="25"/>
      <c r="C482" s="26"/>
      <c r="D482" s="25"/>
      <c r="E482" s="25"/>
      <c r="F482" s="25"/>
      <c r="G482" s="27"/>
      <c r="H482" s="25"/>
      <c r="I482" s="26"/>
      <c r="J482" s="48" t="str">
        <f aca="false">IF($N482="","",IF(AND($N482=Consulta!$C$3,$G482&lt;&gt;"",$G482&gt;=Consulta!$C$4,$G482&lt;=Consulta!$C$5),COUNTIFS($N$6:$N482,Consulta!$C$3,$G$6:$G482,"&gt;="&amp;Consulta!$C$4,$G$6:$G482,"&lt;="&amp;Consulta!$C$5),""))</f>
        <v/>
      </c>
      <c r="K482" s="48" t="str">
        <f aca="false">IF($C482="","",IF(AND($C482=Consulta!$L$3,$G482&lt;&gt;"",$G482&gt;=Consulta!$L$4,$G482&lt;=Consulta!$L$5),COUNTIFS($C$6:$C482,Consulta!$L$3,$G$6:$G482,"&gt;="&amp;Consulta!$L$4,$G$6:$G482,"&lt;="&amp;Consulta!$L$5),""))</f>
        <v/>
      </c>
      <c r="L482" s="48" t="str">
        <f aca="false">IF($D482="","",IF($D482=Consulta!$S$3,COUNTIF($D$6:$D482,Consulta!$S$3),""))</f>
        <v/>
      </c>
      <c r="M482" s="48" t="str">
        <f aca="false">IF($N482="","",IF(AND($N482='Comprovante DEV'!$D$6,$G482='Comprovante DEV'!$D$7),COUNTIFS($N$6:$N482,'Comprovante DEV'!$D$6,$G$6:$G482,'Comprovante DEV'!$D$7),""))</f>
        <v/>
      </c>
      <c r="N482" s="48" t="str">
        <f aca="false">IF($F482="","",IFERROR(VLOOKUP($F482,Apelidos_Tecnico!$A:$B,2,0),$F482))</f>
        <v/>
      </c>
    </row>
    <row r="483" customFormat="false" ht="15" hidden="false" customHeight="false" outlineLevel="0" collapsed="false">
      <c r="A483" s="25"/>
      <c r="B483" s="25"/>
      <c r="C483" s="26"/>
      <c r="D483" s="25"/>
      <c r="E483" s="25"/>
      <c r="F483" s="25"/>
      <c r="G483" s="27"/>
      <c r="H483" s="25"/>
      <c r="I483" s="26"/>
      <c r="J483" s="48" t="str">
        <f aca="false">IF($N483="","",IF(AND($N483=Consulta!$C$3,$G483&lt;&gt;"",$G483&gt;=Consulta!$C$4,$G483&lt;=Consulta!$C$5),COUNTIFS($N$6:$N483,Consulta!$C$3,$G$6:$G483,"&gt;="&amp;Consulta!$C$4,$G$6:$G483,"&lt;="&amp;Consulta!$C$5),""))</f>
        <v/>
      </c>
      <c r="K483" s="48" t="str">
        <f aca="false">IF($C483="","",IF(AND($C483=Consulta!$L$3,$G483&lt;&gt;"",$G483&gt;=Consulta!$L$4,$G483&lt;=Consulta!$L$5),COUNTIFS($C$6:$C483,Consulta!$L$3,$G$6:$G483,"&gt;="&amp;Consulta!$L$4,$G$6:$G483,"&lt;="&amp;Consulta!$L$5),""))</f>
        <v/>
      </c>
      <c r="L483" s="48" t="str">
        <f aca="false">IF($D483="","",IF($D483=Consulta!$S$3,COUNTIF($D$6:$D483,Consulta!$S$3),""))</f>
        <v/>
      </c>
      <c r="M483" s="48" t="str">
        <f aca="false">IF($N483="","",IF(AND($N483='Comprovante DEV'!$D$6,$G483='Comprovante DEV'!$D$7),COUNTIFS($N$6:$N483,'Comprovante DEV'!$D$6,$G$6:$G483,'Comprovante DEV'!$D$7),""))</f>
        <v/>
      </c>
      <c r="N483" s="48" t="str">
        <f aca="false">IF($F483="","",IFERROR(VLOOKUP($F483,Apelidos_Tecnico!$A:$B,2,0),$F483))</f>
        <v/>
      </c>
    </row>
    <row r="484" customFormat="false" ht="15" hidden="false" customHeight="false" outlineLevel="0" collapsed="false">
      <c r="A484" s="25"/>
      <c r="B484" s="25"/>
      <c r="C484" s="26"/>
      <c r="D484" s="25"/>
      <c r="E484" s="25"/>
      <c r="F484" s="25"/>
      <c r="G484" s="27"/>
      <c r="H484" s="25"/>
      <c r="I484" s="26"/>
      <c r="J484" s="48" t="str">
        <f aca="false">IF($N484="","",IF(AND($N484=Consulta!$C$3,$G484&lt;&gt;"",$G484&gt;=Consulta!$C$4,$G484&lt;=Consulta!$C$5),COUNTIFS($N$6:$N484,Consulta!$C$3,$G$6:$G484,"&gt;="&amp;Consulta!$C$4,$G$6:$G484,"&lt;="&amp;Consulta!$C$5),""))</f>
        <v/>
      </c>
      <c r="K484" s="48" t="str">
        <f aca="false">IF($C484="","",IF(AND($C484=Consulta!$L$3,$G484&lt;&gt;"",$G484&gt;=Consulta!$L$4,$G484&lt;=Consulta!$L$5),COUNTIFS($C$6:$C484,Consulta!$L$3,$G$6:$G484,"&gt;="&amp;Consulta!$L$4,$G$6:$G484,"&lt;="&amp;Consulta!$L$5),""))</f>
        <v/>
      </c>
      <c r="L484" s="48" t="str">
        <f aca="false">IF($D484="","",IF($D484=Consulta!$S$3,COUNTIF($D$6:$D484,Consulta!$S$3),""))</f>
        <v/>
      </c>
      <c r="M484" s="48" t="str">
        <f aca="false">IF($N484="","",IF(AND($N484='Comprovante DEV'!$D$6,$G484='Comprovante DEV'!$D$7),COUNTIFS($N$6:$N484,'Comprovante DEV'!$D$6,$G$6:$G484,'Comprovante DEV'!$D$7),""))</f>
        <v/>
      </c>
      <c r="N484" s="48" t="str">
        <f aca="false">IF($F484="","",IFERROR(VLOOKUP($F484,Apelidos_Tecnico!$A:$B,2,0),$F484))</f>
        <v/>
      </c>
    </row>
    <row r="485" customFormat="false" ht="15" hidden="false" customHeight="false" outlineLevel="0" collapsed="false">
      <c r="A485" s="25"/>
      <c r="B485" s="25"/>
      <c r="C485" s="26"/>
      <c r="D485" s="25"/>
      <c r="E485" s="25"/>
      <c r="F485" s="25"/>
      <c r="G485" s="27"/>
      <c r="H485" s="25"/>
      <c r="I485" s="26"/>
      <c r="J485" s="48" t="str">
        <f aca="false">IF($N485="","",IF(AND($N485=Consulta!$C$3,$G485&lt;&gt;"",$G485&gt;=Consulta!$C$4,$G485&lt;=Consulta!$C$5),COUNTIFS($N$6:$N485,Consulta!$C$3,$G$6:$G485,"&gt;="&amp;Consulta!$C$4,$G$6:$G485,"&lt;="&amp;Consulta!$C$5),""))</f>
        <v/>
      </c>
      <c r="K485" s="48" t="str">
        <f aca="false">IF($C485="","",IF(AND($C485=Consulta!$L$3,$G485&lt;&gt;"",$G485&gt;=Consulta!$L$4,$G485&lt;=Consulta!$L$5),COUNTIFS($C$6:$C485,Consulta!$L$3,$G$6:$G485,"&gt;="&amp;Consulta!$L$4,$G$6:$G485,"&lt;="&amp;Consulta!$L$5),""))</f>
        <v/>
      </c>
      <c r="L485" s="48" t="str">
        <f aca="false">IF($D485="","",IF($D485=Consulta!$S$3,COUNTIF($D$6:$D485,Consulta!$S$3),""))</f>
        <v/>
      </c>
      <c r="M485" s="48" t="str">
        <f aca="false">IF($N485="","",IF(AND($N485='Comprovante DEV'!$D$6,$G485='Comprovante DEV'!$D$7),COUNTIFS($N$6:$N485,'Comprovante DEV'!$D$6,$G$6:$G485,'Comprovante DEV'!$D$7),""))</f>
        <v/>
      </c>
      <c r="N485" s="48" t="str">
        <f aca="false">IF($F485="","",IFERROR(VLOOKUP($F485,Apelidos_Tecnico!$A:$B,2,0),$F485))</f>
        <v/>
      </c>
    </row>
    <row r="486" customFormat="false" ht="15" hidden="false" customHeight="false" outlineLevel="0" collapsed="false">
      <c r="A486" s="25"/>
      <c r="B486" s="25"/>
      <c r="C486" s="26"/>
      <c r="D486" s="25"/>
      <c r="E486" s="25"/>
      <c r="F486" s="25"/>
      <c r="G486" s="27"/>
      <c r="H486" s="25"/>
      <c r="I486" s="26"/>
      <c r="J486" s="48" t="str">
        <f aca="false">IF($N486="","",IF(AND($N486=Consulta!$C$3,$G486&lt;&gt;"",$G486&gt;=Consulta!$C$4,$G486&lt;=Consulta!$C$5),COUNTIFS($N$6:$N486,Consulta!$C$3,$G$6:$G486,"&gt;="&amp;Consulta!$C$4,$G$6:$G486,"&lt;="&amp;Consulta!$C$5),""))</f>
        <v/>
      </c>
      <c r="K486" s="48" t="str">
        <f aca="false">IF($C486="","",IF(AND($C486=Consulta!$L$3,$G486&lt;&gt;"",$G486&gt;=Consulta!$L$4,$G486&lt;=Consulta!$L$5),COUNTIFS($C$6:$C486,Consulta!$L$3,$G$6:$G486,"&gt;="&amp;Consulta!$L$4,$G$6:$G486,"&lt;="&amp;Consulta!$L$5),""))</f>
        <v/>
      </c>
      <c r="L486" s="48" t="str">
        <f aca="false">IF($D486="","",IF($D486=Consulta!$S$3,COUNTIF($D$6:$D486,Consulta!$S$3),""))</f>
        <v/>
      </c>
      <c r="M486" s="48" t="str">
        <f aca="false">IF($N486="","",IF(AND($N486='Comprovante DEV'!$D$6,$G486='Comprovante DEV'!$D$7),COUNTIFS($N$6:$N486,'Comprovante DEV'!$D$6,$G$6:$G486,'Comprovante DEV'!$D$7),""))</f>
        <v/>
      </c>
      <c r="N486" s="48" t="str">
        <f aca="false">IF($F486="","",IFERROR(VLOOKUP($F486,Apelidos_Tecnico!$A:$B,2,0),$F486))</f>
        <v/>
      </c>
    </row>
    <row r="487" customFormat="false" ht="15" hidden="false" customHeight="false" outlineLevel="0" collapsed="false">
      <c r="A487" s="25"/>
      <c r="B487" s="25"/>
      <c r="C487" s="26"/>
      <c r="D487" s="25"/>
      <c r="E487" s="25"/>
      <c r="F487" s="25"/>
      <c r="G487" s="27"/>
      <c r="H487" s="25"/>
      <c r="I487" s="26"/>
      <c r="J487" s="48" t="str">
        <f aca="false">IF($N487="","",IF(AND($N487=Consulta!$C$3,$G487&lt;&gt;"",$G487&gt;=Consulta!$C$4,$G487&lt;=Consulta!$C$5),COUNTIFS($N$6:$N487,Consulta!$C$3,$G$6:$G487,"&gt;="&amp;Consulta!$C$4,$G$6:$G487,"&lt;="&amp;Consulta!$C$5),""))</f>
        <v/>
      </c>
      <c r="K487" s="48" t="str">
        <f aca="false">IF($C487="","",IF(AND($C487=Consulta!$L$3,$G487&lt;&gt;"",$G487&gt;=Consulta!$L$4,$G487&lt;=Consulta!$L$5),COUNTIFS($C$6:$C487,Consulta!$L$3,$G$6:$G487,"&gt;="&amp;Consulta!$L$4,$G$6:$G487,"&lt;="&amp;Consulta!$L$5),""))</f>
        <v/>
      </c>
      <c r="L487" s="48" t="str">
        <f aca="false">IF($D487="","",IF($D487=Consulta!$S$3,COUNTIF($D$6:$D487,Consulta!$S$3),""))</f>
        <v/>
      </c>
      <c r="M487" s="48" t="str">
        <f aca="false">IF($N487="","",IF(AND($N487='Comprovante DEV'!$D$6,$G487='Comprovante DEV'!$D$7),COUNTIFS($N$6:$N487,'Comprovante DEV'!$D$6,$G$6:$G487,'Comprovante DEV'!$D$7),""))</f>
        <v/>
      </c>
      <c r="N487" s="48" t="str">
        <f aca="false">IF($F487="","",IFERROR(VLOOKUP($F487,Apelidos_Tecnico!$A:$B,2,0),$F487))</f>
        <v/>
      </c>
    </row>
    <row r="488" customFormat="false" ht="15" hidden="false" customHeight="false" outlineLevel="0" collapsed="false">
      <c r="A488" s="25"/>
      <c r="B488" s="25"/>
      <c r="C488" s="26"/>
      <c r="D488" s="25"/>
      <c r="E488" s="25"/>
      <c r="F488" s="25"/>
      <c r="G488" s="27"/>
      <c r="H488" s="25"/>
      <c r="I488" s="26"/>
      <c r="J488" s="48" t="str">
        <f aca="false">IF($N488="","",IF(AND($N488=Consulta!$C$3,$G488&lt;&gt;"",$G488&gt;=Consulta!$C$4,$G488&lt;=Consulta!$C$5),COUNTIFS($N$6:$N488,Consulta!$C$3,$G$6:$G488,"&gt;="&amp;Consulta!$C$4,$G$6:$G488,"&lt;="&amp;Consulta!$C$5),""))</f>
        <v/>
      </c>
      <c r="K488" s="48" t="str">
        <f aca="false">IF($C488="","",IF(AND($C488=Consulta!$L$3,$G488&lt;&gt;"",$G488&gt;=Consulta!$L$4,$G488&lt;=Consulta!$L$5),COUNTIFS($C$6:$C488,Consulta!$L$3,$G$6:$G488,"&gt;="&amp;Consulta!$L$4,$G$6:$G488,"&lt;="&amp;Consulta!$L$5),""))</f>
        <v/>
      </c>
      <c r="L488" s="48" t="str">
        <f aca="false">IF($D488="","",IF($D488=Consulta!$S$3,COUNTIF($D$6:$D488,Consulta!$S$3),""))</f>
        <v/>
      </c>
      <c r="M488" s="48" t="str">
        <f aca="false">IF($N488="","",IF(AND($N488='Comprovante DEV'!$D$6,$G488='Comprovante DEV'!$D$7),COUNTIFS($N$6:$N488,'Comprovante DEV'!$D$6,$G$6:$G488,'Comprovante DEV'!$D$7),""))</f>
        <v/>
      </c>
      <c r="N488" s="48" t="str">
        <f aca="false">IF($F488="","",IFERROR(VLOOKUP($F488,Apelidos_Tecnico!$A:$B,2,0),$F488))</f>
        <v/>
      </c>
    </row>
    <row r="489" customFormat="false" ht="15" hidden="false" customHeight="false" outlineLevel="0" collapsed="false">
      <c r="A489" s="25"/>
      <c r="B489" s="25"/>
      <c r="C489" s="26"/>
      <c r="D489" s="25"/>
      <c r="E489" s="25"/>
      <c r="F489" s="25"/>
      <c r="G489" s="27"/>
      <c r="H489" s="25"/>
      <c r="I489" s="26"/>
      <c r="J489" s="48" t="str">
        <f aca="false">IF($N489="","",IF(AND($N489=Consulta!$C$3,$G489&lt;&gt;"",$G489&gt;=Consulta!$C$4,$G489&lt;=Consulta!$C$5),COUNTIFS($N$6:$N489,Consulta!$C$3,$G$6:$G489,"&gt;="&amp;Consulta!$C$4,$G$6:$G489,"&lt;="&amp;Consulta!$C$5),""))</f>
        <v/>
      </c>
      <c r="K489" s="48" t="str">
        <f aca="false">IF($C489="","",IF(AND($C489=Consulta!$L$3,$G489&lt;&gt;"",$G489&gt;=Consulta!$L$4,$G489&lt;=Consulta!$L$5),COUNTIFS($C$6:$C489,Consulta!$L$3,$G$6:$G489,"&gt;="&amp;Consulta!$L$4,$G$6:$G489,"&lt;="&amp;Consulta!$L$5),""))</f>
        <v/>
      </c>
      <c r="L489" s="48" t="str">
        <f aca="false">IF($D489="","",IF($D489=Consulta!$S$3,COUNTIF($D$6:$D489,Consulta!$S$3),""))</f>
        <v/>
      </c>
      <c r="M489" s="48" t="str">
        <f aca="false">IF($N489="","",IF(AND($N489='Comprovante DEV'!$D$6,$G489='Comprovante DEV'!$D$7),COUNTIFS($N$6:$N489,'Comprovante DEV'!$D$6,$G$6:$G489,'Comprovante DEV'!$D$7),""))</f>
        <v/>
      </c>
      <c r="N489" s="48" t="str">
        <f aca="false">IF($F489="","",IFERROR(VLOOKUP($F489,Apelidos_Tecnico!$A:$B,2,0),$F489))</f>
        <v/>
      </c>
    </row>
    <row r="490" customFormat="false" ht="15" hidden="false" customHeight="false" outlineLevel="0" collapsed="false">
      <c r="A490" s="25"/>
      <c r="B490" s="25"/>
      <c r="C490" s="26"/>
      <c r="D490" s="25"/>
      <c r="E490" s="25"/>
      <c r="F490" s="25"/>
      <c r="G490" s="27"/>
      <c r="H490" s="25"/>
      <c r="I490" s="26"/>
      <c r="J490" s="48" t="str">
        <f aca="false">IF($N490="","",IF(AND($N490=Consulta!$C$3,$G490&lt;&gt;"",$G490&gt;=Consulta!$C$4,$G490&lt;=Consulta!$C$5),COUNTIFS($N$6:$N490,Consulta!$C$3,$G$6:$G490,"&gt;="&amp;Consulta!$C$4,$G$6:$G490,"&lt;="&amp;Consulta!$C$5),""))</f>
        <v/>
      </c>
      <c r="K490" s="48" t="str">
        <f aca="false">IF($C490="","",IF(AND($C490=Consulta!$L$3,$G490&lt;&gt;"",$G490&gt;=Consulta!$L$4,$G490&lt;=Consulta!$L$5),COUNTIFS($C$6:$C490,Consulta!$L$3,$G$6:$G490,"&gt;="&amp;Consulta!$L$4,$G$6:$G490,"&lt;="&amp;Consulta!$L$5),""))</f>
        <v/>
      </c>
      <c r="L490" s="48" t="str">
        <f aca="false">IF($D490="","",IF($D490=Consulta!$S$3,COUNTIF($D$6:$D490,Consulta!$S$3),""))</f>
        <v/>
      </c>
      <c r="M490" s="48" t="str">
        <f aca="false">IF($N490="","",IF(AND($N490='Comprovante DEV'!$D$6,$G490='Comprovante DEV'!$D$7),COUNTIFS($N$6:$N490,'Comprovante DEV'!$D$6,$G$6:$G490,'Comprovante DEV'!$D$7),""))</f>
        <v/>
      </c>
      <c r="N490" s="48" t="str">
        <f aca="false">IF($F490="","",IFERROR(VLOOKUP($F490,Apelidos_Tecnico!$A:$B,2,0),$F490))</f>
        <v/>
      </c>
    </row>
    <row r="491" customFormat="false" ht="15" hidden="false" customHeight="false" outlineLevel="0" collapsed="false">
      <c r="A491" s="25"/>
      <c r="B491" s="25"/>
      <c r="C491" s="26"/>
      <c r="D491" s="25"/>
      <c r="E491" s="25"/>
      <c r="F491" s="25"/>
      <c r="G491" s="27"/>
      <c r="H491" s="25"/>
      <c r="I491" s="26"/>
      <c r="J491" s="48" t="str">
        <f aca="false">IF($N491="","",IF(AND($N491=Consulta!$C$3,$G491&lt;&gt;"",$G491&gt;=Consulta!$C$4,$G491&lt;=Consulta!$C$5),COUNTIFS($N$6:$N491,Consulta!$C$3,$G$6:$G491,"&gt;="&amp;Consulta!$C$4,$G$6:$G491,"&lt;="&amp;Consulta!$C$5),""))</f>
        <v/>
      </c>
      <c r="K491" s="48" t="str">
        <f aca="false">IF($C491="","",IF(AND($C491=Consulta!$L$3,$G491&lt;&gt;"",$G491&gt;=Consulta!$L$4,$G491&lt;=Consulta!$L$5),COUNTIFS($C$6:$C491,Consulta!$L$3,$G$6:$G491,"&gt;="&amp;Consulta!$L$4,$G$6:$G491,"&lt;="&amp;Consulta!$L$5),""))</f>
        <v/>
      </c>
      <c r="L491" s="48" t="str">
        <f aca="false">IF($D491="","",IF($D491=Consulta!$S$3,COUNTIF($D$6:$D491,Consulta!$S$3),""))</f>
        <v/>
      </c>
      <c r="M491" s="48" t="str">
        <f aca="false">IF($N491="","",IF(AND($N491='Comprovante DEV'!$D$6,$G491='Comprovante DEV'!$D$7),COUNTIFS($N$6:$N491,'Comprovante DEV'!$D$6,$G$6:$G491,'Comprovante DEV'!$D$7),""))</f>
        <v/>
      </c>
      <c r="N491" s="48" t="str">
        <f aca="false">IF($F491="","",IFERROR(VLOOKUP($F491,Apelidos_Tecnico!$A:$B,2,0),$F491))</f>
        <v/>
      </c>
    </row>
    <row r="492" customFormat="false" ht="15" hidden="false" customHeight="false" outlineLevel="0" collapsed="false">
      <c r="A492" s="25"/>
      <c r="B492" s="25"/>
      <c r="C492" s="26"/>
      <c r="D492" s="25"/>
      <c r="E492" s="25"/>
      <c r="F492" s="25"/>
      <c r="G492" s="27"/>
      <c r="H492" s="25"/>
      <c r="I492" s="26"/>
      <c r="J492" s="48" t="str">
        <f aca="false">IF($N492="","",IF(AND($N492=Consulta!$C$3,$G492&lt;&gt;"",$G492&gt;=Consulta!$C$4,$G492&lt;=Consulta!$C$5),COUNTIFS($N$6:$N492,Consulta!$C$3,$G$6:$G492,"&gt;="&amp;Consulta!$C$4,$G$6:$G492,"&lt;="&amp;Consulta!$C$5),""))</f>
        <v/>
      </c>
      <c r="K492" s="48" t="str">
        <f aca="false">IF($C492="","",IF(AND($C492=Consulta!$L$3,$G492&lt;&gt;"",$G492&gt;=Consulta!$L$4,$G492&lt;=Consulta!$L$5),COUNTIFS($C$6:$C492,Consulta!$L$3,$G$6:$G492,"&gt;="&amp;Consulta!$L$4,$G$6:$G492,"&lt;="&amp;Consulta!$L$5),""))</f>
        <v/>
      </c>
      <c r="L492" s="48" t="str">
        <f aca="false">IF($D492="","",IF($D492=Consulta!$S$3,COUNTIF($D$6:$D492,Consulta!$S$3),""))</f>
        <v/>
      </c>
      <c r="M492" s="48" t="str">
        <f aca="false">IF($N492="","",IF(AND($N492='Comprovante DEV'!$D$6,$G492='Comprovante DEV'!$D$7),COUNTIFS($N$6:$N492,'Comprovante DEV'!$D$6,$G$6:$G492,'Comprovante DEV'!$D$7),""))</f>
        <v/>
      </c>
      <c r="N492" s="48" t="str">
        <f aca="false">IF($F492="","",IFERROR(VLOOKUP($F492,Apelidos_Tecnico!$A:$B,2,0),$F492))</f>
        <v/>
      </c>
    </row>
    <row r="493" customFormat="false" ht="15" hidden="false" customHeight="false" outlineLevel="0" collapsed="false">
      <c r="A493" s="25"/>
      <c r="B493" s="25"/>
      <c r="C493" s="26"/>
      <c r="D493" s="25"/>
      <c r="E493" s="25"/>
      <c r="F493" s="25"/>
      <c r="G493" s="27"/>
      <c r="H493" s="25"/>
      <c r="I493" s="26"/>
      <c r="J493" s="48" t="str">
        <f aca="false">IF($N493="","",IF(AND($N493=Consulta!$C$3,$G493&lt;&gt;"",$G493&gt;=Consulta!$C$4,$G493&lt;=Consulta!$C$5),COUNTIFS($N$6:$N493,Consulta!$C$3,$G$6:$G493,"&gt;="&amp;Consulta!$C$4,$G$6:$G493,"&lt;="&amp;Consulta!$C$5),""))</f>
        <v/>
      </c>
      <c r="K493" s="48" t="str">
        <f aca="false">IF($C493="","",IF(AND($C493=Consulta!$L$3,$G493&lt;&gt;"",$G493&gt;=Consulta!$L$4,$G493&lt;=Consulta!$L$5),COUNTIFS($C$6:$C493,Consulta!$L$3,$G$6:$G493,"&gt;="&amp;Consulta!$L$4,$G$6:$G493,"&lt;="&amp;Consulta!$L$5),""))</f>
        <v/>
      </c>
      <c r="L493" s="48" t="str">
        <f aca="false">IF($D493="","",IF($D493=Consulta!$S$3,COUNTIF($D$6:$D493,Consulta!$S$3),""))</f>
        <v/>
      </c>
      <c r="M493" s="48" t="str">
        <f aca="false">IF($N493="","",IF(AND($N493='Comprovante DEV'!$D$6,$G493='Comprovante DEV'!$D$7),COUNTIFS($N$6:$N493,'Comprovante DEV'!$D$6,$G$6:$G493,'Comprovante DEV'!$D$7),""))</f>
        <v/>
      </c>
      <c r="N493" s="48" t="str">
        <f aca="false">IF($F493="","",IFERROR(VLOOKUP($F493,Apelidos_Tecnico!$A:$B,2,0),$F493))</f>
        <v/>
      </c>
    </row>
    <row r="494" customFormat="false" ht="15" hidden="false" customHeight="false" outlineLevel="0" collapsed="false">
      <c r="A494" s="25"/>
      <c r="B494" s="25"/>
      <c r="C494" s="26"/>
      <c r="D494" s="25"/>
      <c r="E494" s="25"/>
      <c r="F494" s="25"/>
      <c r="G494" s="27"/>
      <c r="H494" s="25"/>
      <c r="I494" s="26"/>
      <c r="J494" s="48" t="str">
        <f aca="false">IF($N494="","",IF(AND($N494=Consulta!$C$3,$G494&lt;&gt;"",$G494&gt;=Consulta!$C$4,$G494&lt;=Consulta!$C$5),COUNTIFS($N$6:$N494,Consulta!$C$3,$G$6:$G494,"&gt;="&amp;Consulta!$C$4,$G$6:$G494,"&lt;="&amp;Consulta!$C$5),""))</f>
        <v/>
      </c>
      <c r="K494" s="48" t="str">
        <f aca="false">IF($C494="","",IF(AND($C494=Consulta!$L$3,$G494&lt;&gt;"",$G494&gt;=Consulta!$L$4,$G494&lt;=Consulta!$L$5),COUNTIFS($C$6:$C494,Consulta!$L$3,$G$6:$G494,"&gt;="&amp;Consulta!$L$4,$G$6:$G494,"&lt;="&amp;Consulta!$L$5),""))</f>
        <v/>
      </c>
      <c r="L494" s="48" t="str">
        <f aca="false">IF($D494="","",IF($D494=Consulta!$S$3,COUNTIF($D$6:$D494,Consulta!$S$3),""))</f>
        <v/>
      </c>
      <c r="M494" s="48" t="str">
        <f aca="false">IF($N494="","",IF(AND($N494='Comprovante DEV'!$D$6,$G494='Comprovante DEV'!$D$7),COUNTIFS($N$6:$N494,'Comprovante DEV'!$D$6,$G$6:$G494,'Comprovante DEV'!$D$7),""))</f>
        <v/>
      </c>
      <c r="N494" s="48" t="str">
        <f aca="false">IF($F494="","",IFERROR(VLOOKUP($F494,Apelidos_Tecnico!$A:$B,2,0),$F494))</f>
        <v/>
      </c>
    </row>
    <row r="495" customFormat="false" ht="15" hidden="false" customHeight="false" outlineLevel="0" collapsed="false">
      <c r="A495" s="25"/>
      <c r="B495" s="25"/>
      <c r="C495" s="26"/>
      <c r="D495" s="25"/>
      <c r="E495" s="25"/>
      <c r="F495" s="25"/>
      <c r="G495" s="27"/>
      <c r="H495" s="25"/>
      <c r="I495" s="26"/>
      <c r="J495" s="48" t="str">
        <f aca="false">IF($N495="","",IF(AND($N495=Consulta!$C$3,$G495&lt;&gt;"",$G495&gt;=Consulta!$C$4,$G495&lt;=Consulta!$C$5),COUNTIFS($N$6:$N495,Consulta!$C$3,$G$6:$G495,"&gt;="&amp;Consulta!$C$4,$G$6:$G495,"&lt;="&amp;Consulta!$C$5),""))</f>
        <v/>
      </c>
      <c r="K495" s="48" t="str">
        <f aca="false">IF($C495="","",IF(AND($C495=Consulta!$L$3,$G495&lt;&gt;"",$G495&gt;=Consulta!$L$4,$G495&lt;=Consulta!$L$5),COUNTIFS($C$6:$C495,Consulta!$L$3,$G$6:$G495,"&gt;="&amp;Consulta!$L$4,$G$6:$G495,"&lt;="&amp;Consulta!$L$5),""))</f>
        <v/>
      </c>
      <c r="L495" s="48" t="str">
        <f aca="false">IF($D495="","",IF($D495=Consulta!$S$3,COUNTIF($D$6:$D495,Consulta!$S$3),""))</f>
        <v/>
      </c>
      <c r="M495" s="48" t="str">
        <f aca="false">IF($N495="","",IF(AND($N495='Comprovante DEV'!$D$6,$G495='Comprovante DEV'!$D$7),COUNTIFS($N$6:$N495,'Comprovante DEV'!$D$6,$G$6:$G495,'Comprovante DEV'!$D$7),""))</f>
        <v/>
      </c>
      <c r="N495" s="48" t="str">
        <f aca="false">IF($F495="","",IFERROR(VLOOKUP($F495,Apelidos_Tecnico!$A:$B,2,0),$F495))</f>
        <v/>
      </c>
    </row>
    <row r="496" customFormat="false" ht="15" hidden="false" customHeight="false" outlineLevel="0" collapsed="false">
      <c r="A496" s="25"/>
      <c r="B496" s="25"/>
      <c r="C496" s="26"/>
      <c r="D496" s="25"/>
      <c r="E496" s="25"/>
      <c r="F496" s="25"/>
      <c r="G496" s="27"/>
      <c r="H496" s="25"/>
      <c r="I496" s="26"/>
      <c r="J496" s="48" t="str">
        <f aca="false">IF($N496="","",IF(AND($N496=Consulta!$C$3,$G496&lt;&gt;"",$G496&gt;=Consulta!$C$4,$G496&lt;=Consulta!$C$5),COUNTIFS($N$6:$N496,Consulta!$C$3,$G$6:$G496,"&gt;="&amp;Consulta!$C$4,$G$6:$G496,"&lt;="&amp;Consulta!$C$5),""))</f>
        <v/>
      </c>
      <c r="K496" s="48" t="str">
        <f aca="false">IF($C496="","",IF(AND($C496=Consulta!$L$3,$G496&lt;&gt;"",$G496&gt;=Consulta!$L$4,$G496&lt;=Consulta!$L$5),COUNTIFS($C$6:$C496,Consulta!$L$3,$G$6:$G496,"&gt;="&amp;Consulta!$L$4,$G$6:$G496,"&lt;="&amp;Consulta!$L$5),""))</f>
        <v/>
      </c>
      <c r="L496" s="48" t="str">
        <f aca="false">IF($D496="","",IF($D496=Consulta!$S$3,COUNTIF($D$6:$D496,Consulta!$S$3),""))</f>
        <v/>
      </c>
      <c r="M496" s="48" t="str">
        <f aca="false">IF($N496="","",IF(AND($N496='Comprovante DEV'!$D$6,$G496='Comprovante DEV'!$D$7),COUNTIFS($N$6:$N496,'Comprovante DEV'!$D$6,$G$6:$G496,'Comprovante DEV'!$D$7),""))</f>
        <v/>
      </c>
      <c r="N496" s="48" t="str">
        <f aca="false">IF($F496="","",IFERROR(VLOOKUP($F496,Apelidos_Tecnico!$A:$B,2,0),$F496))</f>
        <v/>
      </c>
    </row>
    <row r="497" customFormat="false" ht="15" hidden="false" customHeight="false" outlineLevel="0" collapsed="false">
      <c r="A497" s="25"/>
      <c r="B497" s="25"/>
      <c r="C497" s="26"/>
      <c r="D497" s="25"/>
      <c r="E497" s="25"/>
      <c r="F497" s="25"/>
      <c r="G497" s="27"/>
      <c r="H497" s="25"/>
      <c r="I497" s="26"/>
      <c r="J497" s="48" t="str">
        <f aca="false">IF($N497="","",IF(AND($N497=Consulta!$C$3,$G497&lt;&gt;"",$G497&gt;=Consulta!$C$4,$G497&lt;=Consulta!$C$5),COUNTIFS($N$6:$N497,Consulta!$C$3,$G$6:$G497,"&gt;="&amp;Consulta!$C$4,$G$6:$G497,"&lt;="&amp;Consulta!$C$5),""))</f>
        <v/>
      </c>
      <c r="K497" s="48" t="str">
        <f aca="false">IF($C497="","",IF(AND($C497=Consulta!$L$3,$G497&lt;&gt;"",$G497&gt;=Consulta!$L$4,$G497&lt;=Consulta!$L$5),COUNTIFS($C$6:$C497,Consulta!$L$3,$G$6:$G497,"&gt;="&amp;Consulta!$L$4,$G$6:$G497,"&lt;="&amp;Consulta!$L$5),""))</f>
        <v/>
      </c>
      <c r="L497" s="48" t="str">
        <f aca="false">IF($D497="","",IF($D497=Consulta!$S$3,COUNTIF($D$6:$D497,Consulta!$S$3),""))</f>
        <v/>
      </c>
      <c r="M497" s="48" t="str">
        <f aca="false">IF($N497="","",IF(AND($N497='Comprovante DEV'!$D$6,$G497='Comprovante DEV'!$D$7),COUNTIFS($N$6:$N497,'Comprovante DEV'!$D$6,$G$6:$G497,'Comprovante DEV'!$D$7),""))</f>
        <v/>
      </c>
      <c r="N497" s="48" t="str">
        <f aca="false">IF($F497="","",IFERROR(VLOOKUP($F497,Apelidos_Tecnico!$A:$B,2,0),$F497))</f>
        <v/>
      </c>
    </row>
    <row r="498" customFormat="false" ht="15" hidden="false" customHeight="false" outlineLevel="0" collapsed="false">
      <c r="A498" s="25"/>
      <c r="B498" s="25"/>
      <c r="C498" s="26"/>
      <c r="D498" s="25"/>
      <c r="E498" s="25"/>
      <c r="F498" s="25"/>
      <c r="G498" s="27"/>
      <c r="H498" s="25"/>
      <c r="I498" s="26"/>
      <c r="J498" s="48" t="str">
        <f aca="false">IF($N498="","",IF(AND($N498=Consulta!$C$3,$G498&lt;&gt;"",$G498&gt;=Consulta!$C$4,$G498&lt;=Consulta!$C$5),COUNTIFS($N$6:$N498,Consulta!$C$3,$G$6:$G498,"&gt;="&amp;Consulta!$C$4,$G$6:$G498,"&lt;="&amp;Consulta!$C$5),""))</f>
        <v/>
      </c>
      <c r="K498" s="48" t="str">
        <f aca="false">IF($C498="","",IF(AND($C498=Consulta!$L$3,$G498&lt;&gt;"",$G498&gt;=Consulta!$L$4,$G498&lt;=Consulta!$L$5),COUNTIFS($C$6:$C498,Consulta!$L$3,$G$6:$G498,"&gt;="&amp;Consulta!$L$4,$G$6:$G498,"&lt;="&amp;Consulta!$L$5),""))</f>
        <v/>
      </c>
      <c r="L498" s="48" t="str">
        <f aca="false">IF($D498="","",IF($D498=Consulta!$S$3,COUNTIF($D$6:$D498,Consulta!$S$3),""))</f>
        <v/>
      </c>
      <c r="M498" s="48" t="str">
        <f aca="false">IF($N498="","",IF(AND($N498='Comprovante DEV'!$D$6,$G498='Comprovante DEV'!$D$7),COUNTIFS($N$6:$N498,'Comprovante DEV'!$D$6,$G$6:$G498,'Comprovante DEV'!$D$7),""))</f>
        <v/>
      </c>
      <c r="N498" s="48" t="str">
        <f aca="false">IF($F498="","",IFERROR(VLOOKUP($F498,Apelidos_Tecnico!$A:$B,2,0),$F498))</f>
        <v/>
      </c>
    </row>
    <row r="499" customFormat="false" ht="15" hidden="false" customHeight="false" outlineLevel="0" collapsed="false">
      <c r="A499" s="25"/>
      <c r="B499" s="25"/>
      <c r="C499" s="26"/>
      <c r="D499" s="25"/>
      <c r="E499" s="25"/>
      <c r="F499" s="25"/>
      <c r="G499" s="27"/>
      <c r="H499" s="25"/>
      <c r="I499" s="26"/>
      <c r="J499" s="48" t="str">
        <f aca="false">IF($N499="","",IF(AND($N499=Consulta!$C$3,$G499&lt;&gt;"",$G499&gt;=Consulta!$C$4,$G499&lt;=Consulta!$C$5),COUNTIFS($N$6:$N499,Consulta!$C$3,$G$6:$G499,"&gt;="&amp;Consulta!$C$4,$G$6:$G499,"&lt;="&amp;Consulta!$C$5),""))</f>
        <v/>
      </c>
      <c r="K499" s="48" t="str">
        <f aca="false">IF($C499="","",IF(AND($C499=Consulta!$L$3,$G499&lt;&gt;"",$G499&gt;=Consulta!$L$4,$G499&lt;=Consulta!$L$5),COUNTIFS($C$6:$C499,Consulta!$L$3,$G$6:$G499,"&gt;="&amp;Consulta!$L$4,$G$6:$G499,"&lt;="&amp;Consulta!$L$5),""))</f>
        <v/>
      </c>
      <c r="L499" s="48" t="str">
        <f aca="false">IF($D499="","",IF($D499=Consulta!$S$3,COUNTIF($D$6:$D499,Consulta!$S$3),""))</f>
        <v/>
      </c>
      <c r="M499" s="48" t="str">
        <f aca="false">IF($N499="","",IF(AND($N499='Comprovante DEV'!$D$6,$G499='Comprovante DEV'!$D$7),COUNTIFS($N$6:$N499,'Comprovante DEV'!$D$6,$G$6:$G499,'Comprovante DEV'!$D$7),""))</f>
        <v/>
      </c>
      <c r="N499" s="48" t="str">
        <f aca="false">IF($F499="","",IFERROR(VLOOKUP($F499,Apelidos_Tecnico!$A:$B,2,0),$F499))</f>
        <v/>
      </c>
    </row>
    <row r="500" customFormat="false" ht="15" hidden="false" customHeight="false" outlineLevel="0" collapsed="false">
      <c r="A500" s="25"/>
      <c r="B500" s="25"/>
      <c r="C500" s="26"/>
      <c r="D500" s="25"/>
      <c r="E500" s="25"/>
      <c r="F500" s="25"/>
      <c r="G500" s="27"/>
      <c r="H500" s="25"/>
      <c r="I500" s="26"/>
      <c r="J500" s="48" t="str">
        <f aca="false">IF($N500="","",IF(AND($N500=Consulta!$C$3,$G500&lt;&gt;"",$G500&gt;=Consulta!$C$4,$G500&lt;=Consulta!$C$5),COUNTIFS($N$6:$N500,Consulta!$C$3,$G$6:$G500,"&gt;="&amp;Consulta!$C$4,$G$6:$G500,"&lt;="&amp;Consulta!$C$5),""))</f>
        <v/>
      </c>
      <c r="K500" s="48" t="str">
        <f aca="false">IF($C500="","",IF(AND($C500=Consulta!$L$3,$G500&lt;&gt;"",$G500&gt;=Consulta!$L$4,$G500&lt;=Consulta!$L$5),COUNTIFS($C$6:$C500,Consulta!$L$3,$G$6:$G500,"&gt;="&amp;Consulta!$L$4,$G$6:$G500,"&lt;="&amp;Consulta!$L$5),""))</f>
        <v/>
      </c>
      <c r="L500" s="48" t="str">
        <f aca="false">IF($D500="","",IF($D500=Consulta!$S$3,COUNTIF($D$6:$D500,Consulta!$S$3),""))</f>
        <v/>
      </c>
      <c r="M500" s="48" t="str">
        <f aca="false">IF($N500="","",IF(AND($N500='Comprovante DEV'!$D$6,$G500='Comprovante DEV'!$D$7),COUNTIFS($N$6:$N500,'Comprovante DEV'!$D$6,$G$6:$G500,'Comprovante DEV'!$D$7),""))</f>
        <v/>
      </c>
      <c r="N500" s="48" t="str">
        <f aca="false">IF($F500="","",IFERROR(VLOOKUP($F500,Apelidos_Tecnico!$A:$B,2,0),$F500))</f>
        <v/>
      </c>
    </row>
    <row r="501" customFormat="false" ht="15" hidden="false" customHeight="false" outlineLevel="0" collapsed="false">
      <c r="A501" s="25"/>
      <c r="B501" s="25"/>
      <c r="C501" s="26"/>
      <c r="D501" s="25"/>
      <c r="E501" s="25"/>
      <c r="F501" s="25"/>
      <c r="G501" s="27"/>
      <c r="H501" s="25"/>
      <c r="I501" s="26"/>
      <c r="J501" s="48" t="str">
        <f aca="false">IF($N501="","",IF(AND($N501=Consulta!$C$3,$G501&lt;&gt;"",$G501&gt;=Consulta!$C$4,$G501&lt;=Consulta!$C$5),COUNTIFS($N$6:$N501,Consulta!$C$3,$G$6:$G501,"&gt;="&amp;Consulta!$C$4,$G$6:$G501,"&lt;="&amp;Consulta!$C$5),""))</f>
        <v/>
      </c>
      <c r="K501" s="48" t="str">
        <f aca="false">IF($C501="","",IF(AND($C501=Consulta!$L$3,$G501&lt;&gt;"",$G501&gt;=Consulta!$L$4,$G501&lt;=Consulta!$L$5),COUNTIFS($C$6:$C501,Consulta!$L$3,$G$6:$G501,"&gt;="&amp;Consulta!$L$4,$G$6:$G501,"&lt;="&amp;Consulta!$L$5),""))</f>
        <v/>
      </c>
      <c r="L501" s="48" t="str">
        <f aca="false">IF($D501="","",IF($D501=Consulta!$S$3,COUNTIF($D$6:$D501,Consulta!$S$3),""))</f>
        <v/>
      </c>
      <c r="M501" s="48" t="str">
        <f aca="false">IF($N501="","",IF(AND($N501='Comprovante DEV'!$D$6,$G501='Comprovante DEV'!$D$7),COUNTIFS($N$6:$N501,'Comprovante DEV'!$D$6,$G$6:$G501,'Comprovante DEV'!$D$7),""))</f>
        <v/>
      </c>
      <c r="N501" s="48" t="str">
        <f aca="false">IF($F501="","",IFERROR(VLOOKUP($F501,Apelidos_Tecnico!$A:$B,2,0),$F501))</f>
        <v/>
      </c>
    </row>
    <row r="502" customFormat="false" ht="15" hidden="false" customHeight="false" outlineLevel="0" collapsed="false">
      <c r="A502" s="25"/>
      <c r="B502" s="25"/>
      <c r="C502" s="26"/>
      <c r="D502" s="25"/>
      <c r="E502" s="25"/>
      <c r="F502" s="25"/>
      <c r="G502" s="27"/>
      <c r="H502" s="25"/>
      <c r="I502" s="26"/>
      <c r="J502" s="48" t="str">
        <f aca="false">IF($N502="","",IF(AND($N502=Consulta!$C$3,$G502&lt;&gt;"",$G502&gt;=Consulta!$C$4,$G502&lt;=Consulta!$C$5),COUNTIFS($N$6:$N502,Consulta!$C$3,$G$6:$G502,"&gt;="&amp;Consulta!$C$4,$G$6:$G502,"&lt;="&amp;Consulta!$C$5),""))</f>
        <v/>
      </c>
      <c r="K502" s="48" t="str">
        <f aca="false">IF($C502="","",IF(AND($C502=Consulta!$L$3,$G502&lt;&gt;"",$G502&gt;=Consulta!$L$4,$G502&lt;=Consulta!$L$5),COUNTIFS($C$6:$C502,Consulta!$L$3,$G$6:$G502,"&gt;="&amp;Consulta!$L$4,$G$6:$G502,"&lt;="&amp;Consulta!$L$5),""))</f>
        <v/>
      </c>
      <c r="L502" s="48" t="str">
        <f aca="false">IF($D502="","",IF($D502=Consulta!$S$3,COUNTIF($D$6:$D502,Consulta!$S$3),""))</f>
        <v/>
      </c>
      <c r="M502" s="48" t="str">
        <f aca="false">IF($N502="","",IF(AND($N502='Comprovante DEV'!$D$6,$G502='Comprovante DEV'!$D$7),COUNTIFS($N$6:$N502,'Comprovante DEV'!$D$6,$G$6:$G502,'Comprovante DEV'!$D$7),""))</f>
        <v/>
      </c>
      <c r="N502" s="48" t="str">
        <f aca="false">IF($F502="","",IFERROR(VLOOKUP($F502,Apelidos_Tecnico!$A:$B,2,0),$F502))</f>
        <v/>
      </c>
    </row>
    <row r="503" customFormat="false" ht="15" hidden="false" customHeight="false" outlineLevel="0" collapsed="false">
      <c r="A503" s="25"/>
      <c r="B503" s="25"/>
      <c r="C503" s="26"/>
      <c r="D503" s="25"/>
      <c r="E503" s="25"/>
      <c r="F503" s="25"/>
      <c r="G503" s="27"/>
      <c r="H503" s="25"/>
      <c r="I503" s="26"/>
      <c r="J503" s="48" t="str">
        <f aca="false">IF($N503="","",IF(AND($N503=Consulta!$C$3,$G503&lt;&gt;"",$G503&gt;=Consulta!$C$4,$G503&lt;=Consulta!$C$5),COUNTIFS($N$6:$N503,Consulta!$C$3,$G$6:$G503,"&gt;="&amp;Consulta!$C$4,$G$6:$G503,"&lt;="&amp;Consulta!$C$5),""))</f>
        <v/>
      </c>
      <c r="K503" s="48" t="str">
        <f aca="false">IF($C503="","",IF(AND($C503=Consulta!$L$3,$G503&lt;&gt;"",$G503&gt;=Consulta!$L$4,$G503&lt;=Consulta!$L$5),COUNTIFS($C$6:$C503,Consulta!$L$3,$G$6:$G503,"&gt;="&amp;Consulta!$L$4,$G$6:$G503,"&lt;="&amp;Consulta!$L$5),""))</f>
        <v/>
      </c>
      <c r="L503" s="48" t="str">
        <f aca="false">IF($D503="","",IF($D503=Consulta!$S$3,COUNTIF($D$6:$D503,Consulta!$S$3),""))</f>
        <v/>
      </c>
      <c r="M503" s="48" t="str">
        <f aca="false">IF($N503="","",IF(AND($N503='Comprovante DEV'!$D$6,$G503='Comprovante DEV'!$D$7),COUNTIFS($N$6:$N503,'Comprovante DEV'!$D$6,$G$6:$G503,'Comprovante DEV'!$D$7),""))</f>
        <v/>
      </c>
      <c r="N503" s="48" t="str">
        <f aca="false">IF($F503="","",IFERROR(VLOOKUP($F503,Apelidos_Tecnico!$A:$B,2,0),$F503))</f>
        <v/>
      </c>
    </row>
    <row r="504" customFormat="false" ht="15" hidden="false" customHeight="false" outlineLevel="0" collapsed="false">
      <c r="A504" s="25"/>
      <c r="B504" s="25"/>
      <c r="C504" s="26"/>
      <c r="D504" s="25"/>
      <c r="E504" s="25"/>
      <c r="F504" s="25"/>
      <c r="G504" s="27"/>
      <c r="H504" s="25"/>
      <c r="I504" s="26"/>
      <c r="J504" s="48" t="str">
        <f aca="false">IF($N504="","",IF(AND($N504=Consulta!$C$3,$G504&lt;&gt;"",$G504&gt;=Consulta!$C$4,$G504&lt;=Consulta!$C$5),COUNTIFS($N$6:$N504,Consulta!$C$3,$G$6:$G504,"&gt;="&amp;Consulta!$C$4,$G$6:$G504,"&lt;="&amp;Consulta!$C$5),""))</f>
        <v/>
      </c>
      <c r="K504" s="48" t="str">
        <f aca="false">IF($C504="","",IF(AND($C504=Consulta!$L$3,$G504&lt;&gt;"",$G504&gt;=Consulta!$L$4,$G504&lt;=Consulta!$L$5),COUNTIFS($C$6:$C504,Consulta!$L$3,$G$6:$G504,"&gt;="&amp;Consulta!$L$4,$G$6:$G504,"&lt;="&amp;Consulta!$L$5),""))</f>
        <v/>
      </c>
      <c r="L504" s="48" t="str">
        <f aca="false">IF($D504="","",IF($D504=Consulta!$S$3,COUNTIF($D$6:$D504,Consulta!$S$3),""))</f>
        <v/>
      </c>
      <c r="M504" s="48" t="str">
        <f aca="false">IF($N504="","",IF(AND($N504='Comprovante DEV'!$D$6,$G504='Comprovante DEV'!$D$7),COUNTIFS($N$6:$N504,'Comprovante DEV'!$D$6,$G$6:$G504,'Comprovante DEV'!$D$7),""))</f>
        <v/>
      </c>
      <c r="N504" s="48" t="str">
        <f aca="false">IF($F504="","",IFERROR(VLOOKUP($F504,Apelidos_Tecnico!$A:$B,2,0),$F504))</f>
        <v/>
      </c>
    </row>
    <row r="505" customFormat="false" ht="15" hidden="false" customHeight="false" outlineLevel="0" collapsed="false">
      <c r="A505" s="25"/>
      <c r="B505" s="25"/>
      <c r="C505" s="26"/>
      <c r="D505" s="25"/>
      <c r="E505" s="25"/>
      <c r="F505" s="25"/>
      <c r="G505" s="27"/>
      <c r="H505" s="25"/>
      <c r="I505" s="26"/>
      <c r="J505" s="48" t="str">
        <f aca="false">IF($N505="","",IF(AND($N505=Consulta!$C$3,$G505&lt;&gt;"",$G505&gt;=Consulta!$C$4,$G505&lt;=Consulta!$C$5),COUNTIFS($N$6:$N505,Consulta!$C$3,$G$6:$G505,"&gt;="&amp;Consulta!$C$4,$G$6:$G505,"&lt;="&amp;Consulta!$C$5),""))</f>
        <v/>
      </c>
      <c r="K505" s="48" t="str">
        <f aca="false">IF($C505="","",IF(AND($C505=Consulta!$L$3,$G505&lt;&gt;"",$G505&gt;=Consulta!$L$4,$G505&lt;=Consulta!$L$5),COUNTIFS($C$6:$C505,Consulta!$L$3,$G$6:$G505,"&gt;="&amp;Consulta!$L$4,$G$6:$G505,"&lt;="&amp;Consulta!$L$5),""))</f>
        <v/>
      </c>
      <c r="L505" s="48" t="str">
        <f aca="false">IF($D505="","",IF($D505=Consulta!$S$3,COUNTIF($D$6:$D505,Consulta!$S$3),""))</f>
        <v/>
      </c>
      <c r="M505" s="48" t="str">
        <f aca="false">IF($N505="","",IF(AND($N505='Comprovante DEV'!$D$6,$G505='Comprovante DEV'!$D$7),COUNTIFS($N$6:$N505,'Comprovante DEV'!$D$6,$G$6:$G505,'Comprovante DEV'!$D$7),""))</f>
        <v/>
      </c>
      <c r="N505" s="48" t="str">
        <f aca="false">IF($F505="","",IFERROR(VLOOKUP($F505,Apelidos_Tecnico!$A:$B,2,0),$F505))</f>
        <v/>
      </c>
    </row>
    <row r="506" customFormat="false" ht="15" hidden="false" customHeight="false" outlineLevel="0" collapsed="false">
      <c r="A506" s="25"/>
      <c r="B506" s="25"/>
      <c r="C506" s="26"/>
      <c r="D506" s="25"/>
      <c r="E506" s="25"/>
      <c r="F506" s="25"/>
      <c r="G506" s="27"/>
      <c r="H506" s="25"/>
      <c r="I506" s="26"/>
      <c r="J506" s="48" t="str">
        <f aca="false">IF($N506="","",IF(AND($N506=Consulta!$C$3,$G506&lt;&gt;"",$G506&gt;=Consulta!$C$4,$G506&lt;=Consulta!$C$5),COUNTIFS($N$6:$N506,Consulta!$C$3,$G$6:$G506,"&gt;="&amp;Consulta!$C$4,$G$6:$G506,"&lt;="&amp;Consulta!$C$5),""))</f>
        <v/>
      </c>
      <c r="K506" s="48" t="str">
        <f aca="false">IF($C506="","",IF(AND($C506=Consulta!$L$3,$G506&lt;&gt;"",$G506&gt;=Consulta!$L$4,$G506&lt;=Consulta!$L$5),COUNTIFS($C$6:$C506,Consulta!$L$3,$G$6:$G506,"&gt;="&amp;Consulta!$L$4,$G$6:$G506,"&lt;="&amp;Consulta!$L$5),""))</f>
        <v/>
      </c>
      <c r="L506" s="48" t="str">
        <f aca="false">IF($D506="","",IF($D506=Consulta!$S$3,COUNTIF($D$6:$D506,Consulta!$S$3),""))</f>
        <v/>
      </c>
      <c r="M506" s="48" t="str">
        <f aca="false">IF($N506="","",IF(AND($N506='Comprovante DEV'!$D$6,$G506='Comprovante DEV'!$D$7),COUNTIFS($N$6:$N506,'Comprovante DEV'!$D$6,$G$6:$G506,'Comprovante DEV'!$D$7),""))</f>
        <v/>
      </c>
      <c r="N506" s="48" t="str">
        <f aca="false">IF($F506="","",IFERROR(VLOOKUP($F506,Apelidos_Tecnico!$A:$B,2,0),$F506))</f>
        <v/>
      </c>
    </row>
    <row r="507" customFormat="false" ht="15" hidden="false" customHeight="false" outlineLevel="0" collapsed="false">
      <c r="A507" s="25"/>
      <c r="B507" s="25"/>
      <c r="C507" s="26"/>
      <c r="D507" s="25"/>
      <c r="E507" s="25"/>
      <c r="F507" s="25"/>
      <c r="G507" s="27"/>
      <c r="H507" s="25"/>
      <c r="I507" s="26"/>
      <c r="J507" s="48" t="str">
        <f aca="false">IF($N507="","",IF(AND($N507=Consulta!$C$3,$G507&lt;&gt;"",$G507&gt;=Consulta!$C$4,$G507&lt;=Consulta!$C$5),COUNTIFS($N$6:$N507,Consulta!$C$3,$G$6:$G507,"&gt;="&amp;Consulta!$C$4,$G$6:$G507,"&lt;="&amp;Consulta!$C$5),""))</f>
        <v/>
      </c>
      <c r="K507" s="48" t="str">
        <f aca="false">IF($C507="","",IF(AND($C507=Consulta!$L$3,$G507&lt;&gt;"",$G507&gt;=Consulta!$L$4,$G507&lt;=Consulta!$L$5),COUNTIFS($C$6:$C507,Consulta!$L$3,$G$6:$G507,"&gt;="&amp;Consulta!$L$4,$G$6:$G507,"&lt;="&amp;Consulta!$L$5),""))</f>
        <v/>
      </c>
      <c r="L507" s="48" t="str">
        <f aca="false">IF($D507="","",IF($D507=Consulta!$S$3,COUNTIF($D$6:$D507,Consulta!$S$3),""))</f>
        <v/>
      </c>
      <c r="M507" s="48" t="str">
        <f aca="false">IF($N507="","",IF(AND($N507='Comprovante DEV'!$D$6,$G507='Comprovante DEV'!$D$7),COUNTIFS($N$6:$N507,'Comprovante DEV'!$D$6,$G$6:$G507,'Comprovante DEV'!$D$7),""))</f>
        <v/>
      </c>
      <c r="N507" s="48" t="str">
        <f aca="false">IF($F507="","",IFERROR(VLOOKUP($F507,Apelidos_Tecnico!$A:$B,2,0),$F507))</f>
        <v/>
      </c>
    </row>
    <row r="508" customFormat="false" ht="15" hidden="false" customHeight="false" outlineLevel="0" collapsed="false">
      <c r="A508" s="25"/>
      <c r="B508" s="25"/>
      <c r="C508" s="26"/>
      <c r="D508" s="25"/>
      <c r="E508" s="25"/>
      <c r="F508" s="25"/>
      <c r="G508" s="27"/>
      <c r="H508" s="25"/>
      <c r="I508" s="26"/>
      <c r="J508" s="48" t="str">
        <f aca="false">IF($N508="","",IF(AND($N508=Consulta!$C$3,$G508&lt;&gt;"",$G508&gt;=Consulta!$C$4,$G508&lt;=Consulta!$C$5),COUNTIFS($N$6:$N508,Consulta!$C$3,$G$6:$G508,"&gt;="&amp;Consulta!$C$4,$G$6:$G508,"&lt;="&amp;Consulta!$C$5),""))</f>
        <v/>
      </c>
      <c r="K508" s="48" t="str">
        <f aca="false">IF($C508="","",IF(AND($C508=Consulta!$L$3,$G508&lt;&gt;"",$G508&gt;=Consulta!$L$4,$G508&lt;=Consulta!$L$5),COUNTIFS($C$6:$C508,Consulta!$L$3,$G$6:$G508,"&gt;="&amp;Consulta!$L$4,$G$6:$G508,"&lt;="&amp;Consulta!$L$5),""))</f>
        <v/>
      </c>
      <c r="L508" s="48" t="str">
        <f aca="false">IF($D508="","",IF($D508=Consulta!$S$3,COUNTIF($D$6:$D508,Consulta!$S$3),""))</f>
        <v/>
      </c>
      <c r="M508" s="48" t="str">
        <f aca="false">IF($N508="","",IF(AND($N508='Comprovante DEV'!$D$6,$G508='Comprovante DEV'!$D$7),COUNTIFS($N$6:$N508,'Comprovante DEV'!$D$6,$G$6:$G508,'Comprovante DEV'!$D$7),""))</f>
        <v/>
      </c>
      <c r="N508" s="48" t="str">
        <f aca="false">IF($F508="","",IFERROR(VLOOKUP($F508,Apelidos_Tecnico!$A:$B,2,0),$F508))</f>
        <v/>
      </c>
    </row>
    <row r="509" customFormat="false" ht="15" hidden="false" customHeight="false" outlineLevel="0" collapsed="false">
      <c r="A509" s="25"/>
      <c r="B509" s="25"/>
      <c r="C509" s="26"/>
      <c r="D509" s="25"/>
      <c r="E509" s="25"/>
      <c r="F509" s="25"/>
      <c r="G509" s="27"/>
      <c r="H509" s="25"/>
      <c r="I509" s="26"/>
      <c r="J509" s="48" t="str">
        <f aca="false">IF($N509="","",IF(AND($N509=Consulta!$C$3,$G509&lt;&gt;"",$G509&gt;=Consulta!$C$4,$G509&lt;=Consulta!$C$5),COUNTIFS($N$6:$N509,Consulta!$C$3,$G$6:$G509,"&gt;="&amp;Consulta!$C$4,$G$6:$G509,"&lt;="&amp;Consulta!$C$5),""))</f>
        <v/>
      </c>
      <c r="K509" s="48" t="str">
        <f aca="false">IF($C509="","",IF(AND($C509=Consulta!$L$3,$G509&lt;&gt;"",$G509&gt;=Consulta!$L$4,$G509&lt;=Consulta!$L$5),COUNTIFS($C$6:$C509,Consulta!$L$3,$G$6:$G509,"&gt;="&amp;Consulta!$L$4,$G$6:$G509,"&lt;="&amp;Consulta!$L$5),""))</f>
        <v/>
      </c>
      <c r="L509" s="48" t="str">
        <f aca="false">IF($D509="","",IF($D509=Consulta!$S$3,COUNTIF($D$6:$D509,Consulta!$S$3),""))</f>
        <v/>
      </c>
      <c r="M509" s="48" t="str">
        <f aca="false">IF($N509="","",IF(AND($N509='Comprovante DEV'!$D$6,$G509='Comprovante DEV'!$D$7),COUNTIFS($N$6:$N509,'Comprovante DEV'!$D$6,$G$6:$G509,'Comprovante DEV'!$D$7),""))</f>
        <v/>
      </c>
      <c r="N509" s="48" t="str">
        <f aca="false">IF($F509="","",IFERROR(VLOOKUP($F509,Apelidos_Tecnico!$A:$B,2,0),$F509))</f>
        <v/>
      </c>
    </row>
    <row r="510" customFormat="false" ht="15" hidden="false" customHeight="false" outlineLevel="0" collapsed="false">
      <c r="A510" s="25"/>
      <c r="B510" s="25"/>
      <c r="C510" s="26"/>
      <c r="D510" s="25"/>
      <c r="E510" s="25"/>
      <c r="F510" s="25"/>
      <c r="G510" s="27"/>
      <c r="H510" s="25"/>
      <c r="I510" s="26"/>
      <c r="J510" s="48" t="str">
        <f aca="false">IF($N510="","",IF(AND($N510=Consulta!$C$3,$G510&lt;&gt;"",$G510&gt;=Consulta!$C$4,$G510&lt;=Consulta!$C$5),COUNTIFS($N$6:$N510,Consulta!$C$3,$G$6:$G510,"&gt;="&amp;Consulta!$C$4,$G$6:$G510,"&lt;="&amp;Consulta!$C$5),""))</f>
        <v/>
      </c>
      <c r="K510" s="48" t="str">
        <f aca="false">IF($C510="","",IF(AND($C510=Consulta!$L$3,$G510&lt;&gt;"",$G510&gt;=Consulta!$L$4,$G510&lt;=Consulta!$L$5),COUNTIFS($C$6:$C510,Consulta!$L$3,$G$6:$G510,"&gt;="&amp;Consulta!$L$4,$G$6:$G510,"&lt;="&amp;Consulta!$L$5),""))</f>
        <v/>
      </c>
      <c r="L510" s="48" t="str">
        <f aca="false">IF($D510="","",IF($D510=Consulta!$S$3,COUNTIF($D$6:$D510,Consulta!$S$3),""))</f>
        <v/>
      </c>
      <c r="M510" s="48" t="str">
        <f aca="false">IF($N510="","",IF(AND($N510='Comprovante DEV'!$D$6,$G510='Comprovante DEV'!$D$7),COUNTIFS($N$6:$N510,'Comprovante DEV'!$D$6,$G$6:$G510,'Comprovante DEV'!$D$7),""))</f>
        <v/>
      </c>
      <c r="N510" s="48" t="str">
        <f aca="false">IF($F510="","",IFERROR(VLOOKUP($F510,Apelidos_Tecnico!$A:$B,2,0),$F510))</f>
        <v/>
      </c>
    </row>
    <row r="511" customFormat="false" ht="15" hidden="false" customHeight="false" outlineLevel="0" collapsed="false">
      <c r="A511" s="25"/>
      <c r="B511" s="25"/>
      <c r="C511" s="26"/>
      <c r="D511" s="25"/>
      <c r="E511" s="25"/>
      <c r="F511" s="25"/>
      <c r="G511" s="27"/>
      <c r="H511" s="25"/>
      <c r="I511" s="26"/>
      <c r="J511" s="48" t="str">
        <f aca="false">IF($N511="","",IF(AND($N511=Consulta!$C$3,$G511&lt;&gt;"",$G511&gt;=Consulta!$C$4,$G511&lt;=Consulta!$C$5),COUNTIFS($N$6:$N511,Consulta!$C$3,$G$6:$G511,"&gt;="&amp;Consulta!$C$4,$G$6:$G511,"&lt;="&amp;Consulta!$C$5),""))</f>
        <v/>
      </c>
      <c r="K511" s="48" t="str">
        <f aca="false">IF($C511="","",IF(AND($C511=Consulta!$L$3,$G511&lt;&gt;"",$G511&gt;=Consulta!$L$4,$G511&lt;=Consulta!$L$5),COUNTIFS($C$6:$C511,Consulta!$L$3,$G$6:$G511,"&gt;="&amp;Consulta!$L$4,$G$6:$G511,"&lt;="&amp;Consulta!$L$5),""))</f>
        <v/>
      </c>
      <c r="L511" s="48" t="str">
        <f aca="false">IF($D511="","",IF($D511=Consulta!$S$3,COUNTIF($D$6:$D511,Consulta!$S$3),""))</f>
        <v/>
      </c>
      <c r="M511" s="48" t="str">
        <f aca="false">IF($N511="","",IF(AND($N511='Comprovante DEV'!$D$6,$G511='Comprovante DEV'!$D$7),COUNTIFS($N$6:$N511,'Comprovante DEV'!$D$6,$G$6:$G511,'Comprovante DEV'!$D$7),""))</f>
        <v/>
      </c>
      <c r="N511" s="48" t="str">
        <f aca="false">IF($F511="","",IFERROR(VLOOKUP($F511,Apelidos_Tecnico!$A:$B,2,0),$F511))</f>
        <v/>
      </c>
    </row>
    <row r="512" customFormat="false" ht="15" hidden="false" customHeight="false" outlineLevel="0" collapsed="false">
      <c r="A512" s="25"/>
      <c r="B512" s="25"/>
      <c r="C512" s="26"/>
      <c r="D512" s="25"/>
      <c r="E512" s="25"/>
      <c r="F512" s="25"/>
      <c r="G512" s="27"/>
      <c r="H512" s="25"/>
      <c r="I512" s="26"/>
      <c r="J512" s="48" t="str">
        <f aca="false">IF($N512="","",IF(AND($N512=Consulta!$C$3,$G512&lt;&gt;"",$G512&gt;=Consulta!$C$4,$G512&lt;=Consulta!$C$5),COUNTIFS($N$6:$N512,Consulta!$C$3,$G$6:$G512,"&gt;="&amp;Consulta!$C$4,$G$6:$G512,"&lt;="&amp;Consulta!$C$5),""))</f>
        <v/>
      </c>
      <c r="K512" s="48" t="str">
        <f aca="false">IF($C512="","",IF(AND($C512=Consulta!$L$3,$G512&lt;&gt;"",$G512&gt;=Consulta!$L$4,$G512&lt;=Consulta!$L$5),COUNTIFS($C$6:$C512,Consulta!$L$3,$G$6:$G512,"&gt;="&amp;Consulta!$L$4,$G$6:$G512,"&lt;="&amp;Consulta!$L$5),""))</f>
        <v/>
      </c>
      <c r="L512" s="48" t="str">
        <f aca="false">IF($D512="","",IF($D512=Consulta!$S$3,COUNTIF($D$6:$D512,Consulta!$S$3),""))</f>
        <v/>
      </c>
      <c r="M512" s="48" t="str">
        <f aca="false">IF($N512="","",IF(AND($N512='Comprovante DEV'!$D$6,$G512='Comprovante DEV'!$D$7),COUNTIFS($N$6:$N512,'Comprovante DEV'!$D$6,$G$6:$G512,'Comprovante DEV'!$D$7),""))</f>
        <v/>
      </c>
      <c r="N512" s="48" t="str">
        <f aca="false">IF($F512="","",IFERROR(VLOOKUP($F512,Apelidos_Tecnico!$A:$B,2,0),$F512))</f>
        <v/>
      </c>
    </row>
    <row r="513" customFormat="false" ht="15" hidden="false" customHeight="false" outlineLevel="0" collapsed="false">
      <c r="A513" s="25"/>
      <c r="B513" s="25"/>
      <c r="C513" s="26"/>
      <c r="D513" s="25"/>
      <c r="E513" s="25"/>
      <c r="F513" s="25"/>
      <c r="G513" s="27"/>
      <c r="H513" s="25"/>
      <c r="I513" s="26"/>
      <c r="J513" s="48" t="str">
        <f aca="false">IF($N513="","",IF(AND($N513=Consulta!$C$3,$G513&lt;&gt;"",$G513&gt;=Consulta!$C$4,$G513&lt;=Consulta!$C$5),COUNTIFS($N$6:$N513,Consulta!$C$3,$G$6:$G513,"&gt;="&amp;Consulta!$C$4,$G$6:$G513,"&lt;="&amp;Consulta!$C$5),""))</f>
        <v/>
      </c>
      <c r="K513" s="48" t="str">
        <f aca="false">IF($C513="","",IF(AND($C513=Consulta!$L$3,$G513&lt;&gt;"",$G513&gt;=Consulta!$L$4,$G513&lt;=Consulta!$L$5),COUNTIFS($C$6:$C513,Consulta!$L$3,$G$6:$G513,"&gt;="&amp;Consulta!$L$4,$G$6:$G513,"&lt;="&amp;Consulta!$L$5),""))</f>
        <v/>
      </c>
      <c r="L513" s="48" t="str">
        <f aca="false">IF($D513="","",IF($D513=Consulta!$S$3,COUNTIF($D$6:$D513,Consulta!$S$3),""))</f>
        <v/>
      </c>
      <c r="M513" s="48" t="str">
        <f aca="false">IF($N513="","",IF(AND($N513='Comprovante DEV'!$D$6,$G513='Comprovante DEV'!$D$7),COUNTIFS($N$6:$N513,'Comprovante DEV'!$D$6,$G$6:$G513,'Comprovante DEV'!$D$7),""))</f>
        <v/>
      </c>
      <c r="N513" s="48" t="str">
        <f aca="false">IF($F513="","",IFERROR(VLOOKUP($F513,Apelidos_Tecnico!$A:$B,2,0),$F513))</f>
        <v/>
      </c>
    </row>
    <row r="514" customFormat="false" ht="15" hidden="false" customHeight="false" outlineLevel="0" collapsed="false">
      <c r="A514" s="25"/>
      <c r="B514" s="25"/>
      <c r="C514" s="26"/>
      <c r="D514" s="25"/>
      <c r="E514" s="25"/>
      <c r="F514" s="25"/>
      <c r="G514" s="27"/>
      <c r="H514" s="25"/>
      <c r="I514" s="26"/>
      <c r="J514" s="48" t="str">
        <f aca="false">IF($N514="","",IF(AND($N514=Consulta!$C$3,$G514&lt;&gt;"",$G514&gt;=Consulta!$C$4,$G514&lt;=Consulta!$C$5),COUNTIFS($N$6:$N514,Consulta!$C$3,$G$6:$G514,"&gt;="&amp;Consulta!$C$4,$G$6:$G514,"&lt;="&amp;Consulta!$C$5),""))</f>
        <v/>
      </c>
      <c r="K514" s="48" t="str">
        <f aca="false">IF($C514="","",IF(AND($C514=Consulta!$L$3,$G514&lt;&gt;"",$G514&gt;=Consulta!$L$4,$G514&lt;=Consulta!$L$5),COUNTIFS($C$6:$C514,Consulta!$L$3,$G$6:$G514,"&gt;="&amp;Consulta!$L$4,$G$6:$G514,"&lt;="&amp;Consulta!$L$5),""))</f>
        <v/>
      </c>
      <c r="L514" s="48" t="str">
        <f aca="false">IF($D514="","",IF($D514=Consulta!$S$3,COUNTIF($D$6:$D514,Consulta!$S$3),""))</f>
        <v/>
      </c>
      <c r="M514" s="48" t="str">
        <f aca="false">IF($N514="","",IF(AND($N514='Comprovante DEV'!$D$6,$G514='Comprovante DEV'!$D$7),COUNTIFS($N$6:$N514,'Comprovante DEV'!$D$6,$G$6:$G514,'Comprovante DEV'!$D$7),""))</f>
        <v/>
      </c>
      <c r="N514" s="48" t="str">
        <f aca="false">IF($F514="","",IFERROR(VLOOKUP($F514,Apelidos_Tecnico!$A:$B,2,0),$F514))</f>
        <v/>
      </c>
    </row>
    <row r="515" customFormat="false" ht="15" hidden="false" customHeight="false" outlineLevel="0" collapsed="false">
      <c r="A515" s="25"/>
      <c r="B515" s="25"/>
      <c r="C515" s="26"/>
      <c r="D515" s="25"/>
      <c r="E515" s="25"/>
      <c r="F515" s="25"/>
      <c r="G515" s="27"/>
      <c r="H515" s="25"/>
      <c r="I515" s="26"/>
      <c r="J515" s="48" t="str">
        <f aca="false">IF($N515="","",IF(AND($N515=Consulta!$C$3,$G515&lt;&gt;"",$G515&gt;=Consulta!$C$4,$G515&lt;=Consulta!$C$5),COUNTIFS($N$6:$N515,Consulta!$C$3,$G$6:$G515,"&gt;="&amp;Consulta!$C$4,$G$6:$G515,"&lt;="&amp;Consulta!$C$5),""))</f>
        <v/>
      </c>
      <c r="K515" s="48" t="str">
        <f aca="false">IF($C515="","",IF(AND($C515=Consulta!$L$3,$G515&lt;&gt;"",$G515&gt;=Consulta!$L$4,$G515&lt;=Consulta!$L$5),COUNTIFS($C$6:$C515,Consulta!$L$3,$G$6:$G515,"&gt;="&amp;Consulta!$L$4,$G$6:$G515,"&lt;="&amp;Consulta!$L$5),""))</f>
        <v/>
      </c>
      <c r="L515" s="48" t="str">
        <f aca="false">IF($D515="","",IF($D515=Consulta!$S$3,COUNTIF($D$6:$D515,Consulta!$S$3),""))</f>
        <v/>
      </c>
      <c r="M515" s="48" t="str">
        <f aca="false">IF($N515="","",IF(AND($N515='Comprovante DEV'!$D$6,$G515='Comprovante DEV'!$D$7),COUNTIFS($N$6:$N515,'Comprovante DEV'!$D$6,$G$6:$G515,'Comprovante DEV'!$D$7),""))</f>
        <v/>
      </c>
      <c r="N515" s="48" t="str">
        <f aca="false">IF($F515="","",IFERROR(VLOOKUP($F515,Apelidos_Tecnico!$A:$B,2,0),$F515))</f>
        <v/>
      </c>
    </row>
    <row r="516" customFormat="false" ht="15" hidden="false" customHeight="false" outlineLevel="0" collapsed="false">
      <c r="A516" s="25"/>
      <c r="B516" s="25"/>
      <c r="C516" s="26"/>
      <c r="D516" s="25"/>
      <c r="E516" s="25"/>
      <c r="F516" s="25"/>
      <c r="G516" s="27"/>
      <c r="H516" s="25"/>
      <c r="I516" s="26"/>
      <c r="J516" s="48" t="str">
        <f aca="false">IF($N516="","",IF(AND($N516=Consulta!$C$3,$G516&lt;&gt;"",$G516&gt;=Consulta!$C$4,$G516&lt;=Consulta!$C$5),COUNTIFS($N$6:$N516,Consulta!$C$3,$G$6:$G516,"&gt;="&amp;Consulta!$C$4,$G$6:$G516,"&lt;="&amp;Consulta!$C$5),""))</f>
        <v/>
      </c>
      <c r="K516" s="48" t="str">
        <f aca="false">IF($C516="","",IF(AND($C516=Consulta!$L$3,$G516&lt;&gt;"",$G516&gt;=Consulta!$L$4,$G516&lt;=Consulta!$L$5),COUNTIFS($C$6:$C516,Consulta!$L$3,$G$6:$G516,"&gt;="&amp;Consulta!$L$4,$G$6:$G516,"&lt;="&amp;Consulta!$L$5),""))</f>
        <v/>
      </c>
      <c r="L516" s="48" t="str">
        <f aca="false">IF($D516="","",IF($D516=Consulta!$S$3,COUNTIF($D$6:$D516,Consulta!$S$3),""))</f>
        <v/>
      </c>
      <c r="M516" s="48" t="str">
        <f aca="false">IF($N516="","",IF(AND($N516='Comprovante DEV'!$D$6,$G516='Comprovante DEV'!$D$7),COUNTIFS($N$6:$N516,'Comprovante DEV'!$D$6,$G$6:$G516,'Comprovante DEV'!$D$7),""))</f>
        <v/>
      </c>
      <c r="N516" s="48" t="str">
        <f aca="false">IF($F516="","",IFERROR(VLOOKUP($F516,Apelidos_Tecnico!$A:$B,2,0),$F516))</f>
        <v/>
      </c>
    </row>
    <row r="517" customFormat="false" ht="15" hidden="false" customHeight="false" outlineLevel="0" collapsed="false">
      <c r="A517" s="25"/>
      <c r="B517" s="25"/>
      <c r="C517" s="26"/>
      <c r="D517" s="25"/>
      <c r="E517" s="25"/>
      <c r="F517" s="25"/>
      <c r="G517" s="27"/>
      <c r="H517" s="25"/>
      <c r="I517" s="26"/>
      <c r="J517" s="48" t="str">
        <f aca="false">IF($N517="","",IF(AND($N517=Consulta!$C$3,$G517&lt;&gt;"",$G517&gt;=Consulta!$C$4,$G517&lt;=Consulta!$C$5),COUNTIFS($N$6:$N517,Consulta!$C$3,$G$6:$G517,"&gt;="&amp;Consulta!$C$4,$G$6:$G517,"&lt;="&amp;Consulta!$C$5),""))</f>
        <v/>
      </c>
      <c r="K517" s="48" t="str">
        <f aca="false">IF($C517="","",IF(AND($C517=Consulta!$L$3,$G517&lt;&gt;"",$G517&gt;=Consulta!$L$4,$G517&lt;=Consulta!$L$5),COUNTIFS($C$6:$C517,Consulta!$L$3,$G$6:$G517,"&gt;="&amp;Consulta!$L$4,$G$6:$G517,"&lt;="&amp;Consulta!$L$5),""))</f>
        <v/>
      </c>
      <c r="L517" s="48" t="str">
        <f aca="false">IF($D517="","",IF($D517=Consulta!$S$3,COUNTIF($D$6:$D517,Consulta!$S$3),""))</f>
        <v/>
      </c>
      <c r="M517" s="48" t="str">
        <f aca="false">IF($N517="","",IF(AND($N517='Comprovante DEV'!$D$6,$G517='Comprovante DEV'!$D$7),COUNTIFS($N$6:$N517,'Comprovante DEV'!$D$6,$G$6:$G517,'Comprovante DEV'!$D$7),""))</f>
        <v/>
      </c>
      <c r="N517" s="48" t="str">
        <f aca="false">IF($F517="","",IFERROR(VLOOKUP($F517,Apelidos_Tecnico!$A:$B,2,0),$F517))</f>
        <v/>
      </c>
    </row>
    <row r="518" customFormat="false" ht="15" hidden="false" customHeight="false" outlineLevel="0" collapsed="false">
      <c r="A518" s="25"/>
      <c r="B518" s="25"/>
      <c r="C518" s="26"/>
      <c r="D518" s="25"/>
      <c r="E518" s="25"/>
      <c r="F518" s="25"/>
      <c r="G518" s="27"/>
      <c r="H518" s="25"/>
      <c r="I518" s="26"/>
      <c r="J518" s="48" t="str">
        <f aca="false">IF($N518="","",IF(AND($N518=Consulta!$C$3,$G518&lt;&gt;"",$G518&gt;=Consulta!$C$4,$G518&lt;=Consulta!$C$5),COUNTIFS($N$6:$N518,Consulta!$C$3,$G$6:$G518,"&gt;="&amp;Consulta!$C$4,$G$6:$G518,"&lt;="&amp;Consulta!$C$5),""))</f>
        <v/>
      </c>
      <c r="K518" s="48" t="str">
        <f aca="false">IF($C518="","",IF(AND($C518=Consulta!$L$3,$G518&lt;&gt;"",$G518&gt;=Consulta!$L$4,$G518&lt;=Consulta!$L$5),COUNTIFS($C$6:$C518,Consulta!$L$3,$G$6:$G518,"&gt;="&amp;Consulta!$L$4,$G$6:$G518,"&lt;="&amp;Consulta!$L$5),""))</f>
        <v/>
      </c>
      <c r="L518" s="48" t="str">
        <f aca="false">IF($D518="","",IF($D518=Consulta!$S$3,COUNTIF($D$6:$D518,Consulta!$S$3),""))</f>
        <v/>
      </c>
      <c r="M518" s="48" t="str">
        <f aca="false">IF($N518="","",IF(AND($N518='Comprovante DEV'!$D$6,$G518='Comprovante DEV'!$D$7),COUNTIFS($N$6:$N518,'Comprovante DEV'!$D$6,$G$6:$G518,'Comprovante DEV'!$D$7),""))</f>
        <v/>
      </c>
      <c r="N518" s="48" t="str">
        <f aca="false">IF($F518="","",IFERROR(VLOOKUP($F518,Apelidos_Tecnico!$A:$B,2,0),$F518))</f>
        <v/>
      </c>
    </row>
    <row r="519" customFormat="false" ht="15" hidden="false" customHeight="false" outlineLevel="0" collapsed="false">
      <c r="A519" s="25"/>
      <c r="B519" s="25"/>
      <c r="C519" s="26"/>
      <c r="D519" s="25"/>
      <c r="E519" s="25"/>
      <c r="F519" s="25"/>
      <c r="G519" s="27"/>
      <c r="H519" s="25"/>
      <c r="I519" s="26"/>
      <c r="J519" s="48" t="str">
        <f aca="false">IF($N519="","",IF(AND($N519=Consulta!$C$3,$G519&lt;&gt;"",$G519&gt;=Consulta!$C$4,$G519&lt;=Consulta!$C$5),COUNTIFS($N$6:$N519,Consulta!$C$3,$G$6:$G519,"&gt;="&amp;Consulta!$C$4,$G$6:$G519,"&lt;="&amp;Consulta!$C$5),""))</f>
        <v/>
      </c>
      <c r="K519" s="48" t="str">
        <f aca="false">IF($C519="","",IF(AND($C519=Consulta!$L$3,$G519&lt;&gt;"",$G519&gt;=Consulta!$L$4,$G519&lt;=Consulta!$L$5),COUNTIFS($C$6:$C519,Consulta!$L$3,$G$6:$G519,"&gt;="&amp;Consulta!$L$4,$G$6:$G519,"&lt;="&amp;Consulta!$L$5),""))</f>
        <v/>
      </c>
      <c r="L519" s="48" t="str">
        <f aca="false">IF($D519="","",IF($D519=Consulta!$S$3,COUNTIF($D$6:$D519,Consulta!$S$3),""))</f>
        <v/>
      </c>
      <c r="M519" s="48" t="str">
        <f aca="false">IF($N519="","",IF(AND($N519='Comprovante DEV'!$D$6,$G519='Comprovante DEV'!$D$7),COUNTIFS($N$6:$N519,'Comprovante DEV'!$D$6,$G$6:$G519,'Comprovante DEV'!$D$7),""))</f>
        <v/>
      </c>
      <c r="N519" s="48" t="str">
        <f aca="false">IF($F519="","",IFERROR(VLOOKUP($F519,Apelidos_Tecnico!$A:$B,2,0),$F519))</f>
        <v/>
      </c>
    </row>
    <row r="520" customFormat="false" ht="15" hidden="false" customHeight="false" outlineLevel="0" collapsed="false">
      <c r="A520" s="25"/>
      <c r="B520" s="25"/>
      <c r="C520" s="26"/>
      <c r="D520" s="25"/>
      <c r="E520" s="25"/>
      <c r="F520" s="25"/>
      <c r="G520" s="27"/>
      <c r="H520" s="25"/>
      <c r="I520" s="26"/>
      <c r="J520" s="48" t="str">
        <f aca="false">IF($N520="","",IF(AND($N520=Consulta!$C$3,$G520&lt;&gt;"",$G520&gt;=Consulta!$C$4,$G520&lt;=Consulta!$C$5),COUNTIFS($N$6:$N520,Consulta!$C$3,$G$6:$G520,"&gt;="&amp;Consulta!$C$4,$G$6:$G520,"&lt;="&amp;Consulta!$C$5),""))</f>
        <v/>
      </c>
      <c r="K520" s="48" t="str">
        <f aca="false">IF($C520="","",IF(AND($C520=Consulta!$L$3,$G520&lt;&gt;"",$G520&gt;=Consulta!$L$4,$G520&lt;=Consulta!$L$5),COUNTIFS($C$6:$C520,Consulta!$L$3,$G$6:$G520,"&gt;="&amp;Consulta!$L$4,$G$6:$G520,"&lt;="&amp;Consulta!$L$5),""))</f>
        <v/>
      </c>
      <c r="L520" s="48" t="str">
        <f aca="false">IF($D520="","",IF($D520=Consulta!$S$3,COUNTIF($D$6:$D520,Consulta!$S$3),""))</f>
        <v/>
      </c>
      <c r="M520" s="48" t="str">
        <f aca="false">IF($N520="","",IF(AND($N520='Comprovante DEV'!$D$6,$G520='Comprovante DEV'!$D$7),COUNTIFS($N$6:$N520,'Comprovante DEV'!$D$6,$G$6:$G520,'Comprovante DEV'!$D$7),""))</f>
        <v/>
      </c>
      <c r="N520" s="48" t="str">
        <f aca="false">IF($F520="","",IFERROR(VLOOKUP($F520,Apelidos_Tecnico!$A:$B,2,0),$F520))</f>
        <v/>
      </c>
    </row>
    <row r="521" customFormat="false" ht="15" hidden="false" customHeight="false" outlineLevel="0" collapsed="false">
      <c r="A521" s="25"/>
      <c r="B521" s="25"/>
      <c r="C521" s="26"/>
      <c r="D521" s="25"/>
      <c r="E521" s="25"/>
      <c r="F521" s="25"/>
      <c r="G521" s="27"/>
      <c r="H521" s="25"/>
      <c r="I521" s="26"/>
      <c r="J521" s="48" t="str">
        <f aca="false">IF($N521="","",IF(AND($N521=Consulta!$C$3,$G521&lt;&gt;"",$G521&gt;=Consulta!$C$4,$G521&lt;=Consulta!$C$5),COUNTIFS($N$6:$N521,Consulta!$C$3,$G$6:$G521,"&gt;="&amp;Consulta!$C$4,$G$6:$G521,"&lt;="&amp;Consulta!$C$5),""))</f>
        <v/>
      </c>
      <c r="K521" s="48" t="str">
        <f aca="false">IF($C521="","",IF(AND($C521=Consulta!$L$3,$G521&lt;&gt;"",$G521&gt;=Consulta!$L$4,$G521&lt;=Consulta!$L$5),COUNTIFS($C$6:$C521,Consulta!$L$3,$G$6:$G521,"&gt;="&amp;Consulta!$L$4,$G$6:$G521,"&lt;="&amp;Consulta!$L$5),""))</f>
        <v/>
      </c>
      <c r="L521" s="48" t="str">
        <f aca="false">IF($D521="","",IF($D521=Consulta!$S$3,COUNTIF($D$6:$D521,Consulta!$S$3),""))</f>
        <v/>
      </c>
      <c r="M521" s="48" t="str">
        <f aca="false">IF($N521="","",IF(AND($N521='Comprovante DEV'!$D$6,$G521='Comprovante DEV'!$D$7),COUNTIFS($N$6:$N521,'Comprovante DEV'!$D$6,$G$6:$G521,'Comprovante DEV'!$D$7),""))</f>
        <v/>
      </c>
      <c r="N521" s="48" t="str">
        <f aca="false">IF($F521="","",IFERROR(VLOOKUP($F521,Apelidos_Tecnico!$A:$B,2,0),$F521))</f>
        <v/>
      </c>
    </row>
    <row r="522" customFormat="false" ht="15" hidden="false" customHeight="false" outlineLevel="0" collapsed="false">
      <c r="A522" s="25"/>
      <c r="B522" s="25"/>
      <c r="C522" s="26"/>
      <c r="D522" s="25"/>
      <c r="E522" s="25"/>
      <c r="F522" s="25"/>
      <c r="G522" s="27"/>
      <c r="H522" s="25"/>
      <c r="I522" s="26"/>
      <c r="J522" s="48" t="str">
        <f aca="false">IF($N522="","",IF(AND($N522=Consulta!$C$3,$G522&lt;&gt;"",$G522&gt;=Consulta!$C$4,$G522&lt;=Consulta!$C$5),COUNTIFS($N$6:$N522,Consulta!$C$3,$G$6:$G522,"&gt;="&amp;Consulta!$C$4,$G$6:$G522,"&lt;="&amp;Consulta!$C$5),""))</f>
        <v/>
      </c>
      <c r="K522" s="48" t="str">
        <f aca="false">IF($C522="","",IF(AND($C522=Consulta!$L$3,$G522&lt;&gt;"",$G522&gt;=Consulta!$L$4,$G522&lt;=Consulta!$L$5),COUNTIFS($C$6:$C522,Consulta!$L$3,$G$6:$G522,"&gt;="&amp;Consulta!$L$4,$G$6:$G522,"&lt;="&amp;Consulta!$L$5),""))</f>
        <v/>
      </c>
      <c r="L522" s="48" t="str">
        <f aca="false">IF($D522="","",IF($D522=Consulta!$S$3,COUNTIF($D$6:$D522,Consulta!$S$3),""))</f>
        <v/>
      </c>
      <c r="M522" s="48" t="str">
        <f aca="false">IF($N522="","",IF(AND($N522='Comprovante DEV'!$D$6,$G522='Comprovante DEV'!$D$7),COUNTIFS($N$6:$N522,'Comprovante DEV'!$D$6,$G$6:$G522,'Comprovante DEV'!$D$7),""))</f>
        <v/>
      </c>
      <c r="N522" s="48" t="str">
        <f aca="false">IF($F522="","",IFERROR(VLOOKUP($F522,Apelidos_Tecnico!$A:$B,2,0),$F522))</f>
        <v/>
      </c>
    </row>
    <row r="523" customFormat="false" ht="15" hidden="false" customHeight="false" outlineLevel="0" collapsed="false">
      <c r="A523" s="25"/>
      <c r="B523" s="25"/>
      <c r="C523" s="26"/>
      <c r="D523" s="25"/>
      <c r="E523" s="25"/>
      <c r="F523" s="25"/>
      <c r="G523" s="27"/>
      <c r="H523" s="25"/>
      <c r="I523" s="26"/>
      <c r="J523" s="48" t="str">
        <f aca="false">IF($N523="","",IF(AND($N523=Consulta!$C$3,$G523&lt;&gt;"",$G523&gt;=Consulta!$C$4,$G523&lt;=Consulta!$C$5),COUNTIFS($N$6:$N523,Consulta!$C$3,$G$6:$G523,"&gt;="&amp;Consulta!$C$4,$G$6:$G523,"&lt;="&amp;Consulta!$C$5),""))</f>
        <v/>
      </c>
      <c r="K523" s="48" t="str">
        <f aca="false">IF($C523="","",IF(AND($C523=Consulta!$L$3,$G523&lt;&gt;"",$G523&gt;=Consulta!$L$4,$G523&lt;=Consulta!$L$5),COUNTIFS($C$6:$C523,Consulta!$L$3,$G$6:$G523,"&gt;="&amp;Consulta!$L$4,$G$6:$G523,"&lt;="&amp;Consulta!$L$5),""))</f>
        <v/>
      </c>
      <c r="L523" s="48" t="str">
        <f aca="false">IF($D523="","",IF($D523=Consulta!$S$3,COUNTIF($D$6:$D523,Consulta!$S$3),""))</f>
        <v/>
      </c>
      <c r="M523" s="48" t="str">
        <f aca="false">IF($N523="","",IF(AND($N523='Comprovante DEV'!$D$6,$G523='Comprovante DEV'!$D$7),COUNTIFS($N$6:$N523,'Comprovante DEV'!$D$6,$G$6:$G523,'Comprovante DEV'!$D$7),""))</f>
        <v/>
      </c>
      <c r="N523" s="48" t="str">
        <f aca="false">IF($F523="","",IFERROR(VLOOKUP($F523,Apelidos_Tecnico!$A:$B,2,0),$F523))</f>
        <v/>
      </c>
    </row>
    <row r="524" customFormat="false" ht="15" hidden="false" customHeight="false" outlineLevel="0" collapsed="false">
      <c r="A524" s="25"/>
      <c r="B524" s="25"/>
      <c r="C524" s="26"/>
      <c r="D524" s="25"/>
      <c r="E524" s="25"/>
      <c r="F524" s="25"/>
      <c r="G524" s="27"/>
      <c r="H524" s="25"/>
      <c r="I524" s="26"/>
      <c r="J524" s="48" t="str">
        <f aca="false">IF($N524="","",IF(AND($N524=Consulta!$C$3,$G524&lt;&gt;"",$G524&gt;=Consulta!$C$4,$G524&lt;=Consulta!$C$5),COUNTIFS($N$6:$N524,Consulta!$C$3,$G$6:$G524,"&gt;="&amp;Consulta!$C$4,$G$6:$G524,"&lt;="&amp;Consulta!$C$5),""))</f>
        <v/>
      </c>
      <c r="K524" s="48" t="str">
        <f aca="false">IF($C524="","",IF(AND($C524=Consulta!$L$3,$G524&lt;&gt;"",$G524&gt;=Consulta!$L$4,$G524&lt;=Consulta!$L$5),COUNTIFS($C$6:$C524,Consulta!$L$3,$G$6:$G524,"&gt;="&amp;Consulta!$L$4,$G$6:$G524,"&lt;="&amp;Consulta!$L$5),""))</f>
        <v/>
      </c>
      <c r="L524" s="48" t="str">
        <f aca="false">IF($D524="","",IF($D524=Consulta!$S$3,COUNTIF($D$6:$D524,Consulta!$S$3),""))</f>
        <v/>
      </c>
      <c r="M524" s="48" t="str">
        <f aca="false">IF($N524="","",IF(AND($N524='Comprovante DEV'!$D$6,$G524='Comprovante DEV'!$D$7),COUNTIFS($N$6:$N524,'Comprovante DEV'!$D$6,$G$6:$G524,'Comprovante DEV'!$D$7),""))</f>
        <v/>
      </c>
      <c r="N524" s="48" t="str">
        <f aca="false">IF($F524="","",IFERROR(VLOOKUP($F524,Apelidos_Tecnico!$A:$B,2,0),$F524))</f>
        <v/>
      </c>
    </row>
    <row r="525" customFormat="false" ht="15" hidden="false" customHeight="false" outlineLevel="0" collapsed="false">
      <c r="A525" s="25"/>
      <c r="B525" s="25"/>
      <c r="C525" s="26"/>
      <c r="D525" s="25"/>
      <c r="E525" s="25"/>
      <c r="F525" s="25"/>
      <c r="G525" s="27"/>
      <c r="H525" s="25"/>
      <c r="I525" s="26"/>
      <c r="J525" s="48" t="str">
        <f aca="false">IF($N525="","",IF(AND($N525=Consulta!$C$3,$G525&lt;&gt;"",$G525&gt;=Consulta!$C$4,$G525&lt;=Consulta!$C$5),COUNTIFS($N$6:$N525,Consulta!$C$3,$G$6:$G525,"&gt;="&amp;Consulta!$C$4,$G$6:$G525,"&lt;="&amp;Consulta!$C$5),""))</f>
        <v/>
      </c>
      <c r="K525" s="48" t="str">
        <f aca="false">IF($C525="","",IF(AND($C525=Consulta!$L$3,$G525&lt;&gt;"",$G525&gt;=Consulta!$L$4,$G525&lt;=Consulta!$L$5),COUNTIFS($C$6:$C525,Consulta!$L$3,$G$6:$G525,"&gt;="&amp;Consulta!$L$4,$G$6:$G525,"&lt;="&amp;Consulta!$L$5),""))</f>
        <v/>
      </c>
      <c r="L525" s="48" t="str">
        <f aca="false">IF($D525="","",IF($D525=Consulta!$S$3,COUNTIF($D$6:$D525,Consulta!$S$3),""))</f>
        <v/>
      </c>
      <c r="M525" s="48" t="str">
        <f aca="false">IF($N525="","",IF(AND($N525='Comprovante DEV'!$D$6,$G525='Comprovante DEV'!$D$7),COUNTIFS($N$6:$N525,'Comprovante DEV'!$D$6,$G$6:$G525,'Comprovante DEV'!$D$7),""))</f>
        <v/>
      </c>
      <c r="N525" s="48" t="str">
        <f aca="false">IF($F525="","",IFERROR(VLOOKUP($F525,Apelidos_Tecnico!$A:$B,2,0),$F525))</f>
        <v/>
      </c>
    </row>
    <row r="526" customFormat="false" ht="15" hidden="false" customHeight="false" outlineLevel="0" collapsed="false">
      <c r="A526" s="25"/>
      <c r="B526" s="25"/>
      <c r="C526" s="26"/>
      <c r="D526" s="25"/>
      <c r="E526" s="25"/>
      <c r="F526" s="25"/>
      <c r="G526" s="27"/>
      <c r="H526" s="25"/>
      <c r="I526" s="26"/>
      <c r="J526" s="48" t="str">
        <f aca="false">IF($N526="","",IF(AND($N526=Consulta!$C$3,$G526&lt;&gt;"",$G526&gt;=Consulta!$C$4,$G526&lt;=Consulta!$C$5),COUNTIFS($N$6:$N526,Consulta!$C$3,$G$6:$G526,"&gt;="&amp;Consulta!$C$4,$G$6:$G526,"&lt;="&amp;Consulta!$C$5),""))</f>
        <v/>
      </c>
      <c r="K526" s="48" t="str">
        <f aca="false">IF($C526="","",IF(AND($C526=Consulta!$L$3,$G526&lt;&gt;"",$G526&gt;=Consulta!$L$4,$G526&lt;=Consulta!$L$5),COUNTIFS($C$6:$C526,Consulta!$L$3,$G$6:$G526,"&gt;="&amp;Consulta!$L$4,$G$6:$G526,"&lt;="&amp;Consulta!$L$5),""))</f>
        <v/>
      </c>
      <c r="L526" s="48" t="str">
        <f aca="false">IF($D526="","",IF($D526=Consulta!$S$3,COUNTIF($D$6:$D526,Consulta!$S$3),""))</f>
        <v/>
      </c>
      <c r="M526" s="48" t="str">
        <f aca="false">IF($N526="","",IF(AND($N526='Comprovante DEV'!$D$6,$G526='Comprovante DEV'!$D$7),COUNTIFS($N$6:$N526,'Comprovante DEV'!$D$6,$G$6:$G526,'Comprovante DEV'!$D$7),""))</f>
        <v/>
      </c>
      <c r="N526" s="48" t="str">
        <f aca="false">IF($F526="","",IFERROR(VLOOKUP($F526,Apelidos_Tecnico!$A:$B,2,0),$F526))</f>
        <v/>
      </c>
    </row>
    <row r="527" customFormat="false" ht="15" hidden="false" customHeight="false" outlineLevel="0" collapsed="false">
      <c r="A527" s="25"/>
      <c r="B527" s="25"/>
      <c r="C527" s="26"/>
      <c r="D527" s="25"/>
      <c r="E527" s="25"/>
      <c r="F527" s="25"/>
      <c r="G527" s="27"/>
      <c r="H527" s="25"/>
      <c r="I527" s="26"/>
      <c r="J527" s="48" t="str">
        <f aca="false">IF($N527="","",IF(AND($N527=Consulta!$C$3,$G527&lt;&gt;"",$G527&gt;=Consulta!$C$4,$G527&lt;=Consulta!$C$5),COUNTIFS($N$6:$N527,Consulta!$C$3,$G$6:$G527,"&gt;="&amp;Consulta!$C$4,$G$6:$G527,"&lt;="&amp;Consulta!$C$5),""))</f>
        <v/>
      </c>
      <c r="K527" s="48" t="str">
        <f aca="false">IF($C527="","",IF(AND($C527=Consulta!$L$3,$G527&lt;&gt;"",$G527&gt;=Consulta!$L$4,$G527&lt;=Consulta!$L$5),COUNTIFS($C$6:$C527,Consulta!$L$3,$G$6:$G527,"&gt;="&amp;Consulta!$L$4,$G$6:$G527,"&lt;="&amp;Consulta!$L$5),""))</f>
        <v/>
      </c>
      <c r="L527" s="48" t="str">
        <f aca="false">IF($D527="","",IF($D527=Consulta!$S$3,COUNTIF($D$6:$D527,Consulta!$S$3),""))</f>
        <v/>
      </c>
      <c r="M527" s="48" t="str">
        <f aca="false">IF($N527="","",IF(AND($N527='Comprovante DEV'!$D$6,$G527='Comprovante DEV'!$D$7),COUNTIFS($N$6:$N527,'Comprovante DEV'!$D$6,$G$6:$G527,'Comprovante DEV'!$D$7),""))</f>
        <v/>
      </c>
      <c r="N527" s="48" t="str">
        <f aca="false">IF($F527="","",IFERROR(VLOOKUP($F527,Apelidos_Tecnico!$A:$B,2,0),$F527))</f>
        <v/>
      </c>
    </row>
    <row r="528" customFormat="false" ht="15" hidden="false" customHeight="false" outlineLevel="0" collapsed="false">
      <c r="A528" s="25"/>
      <c r="B528" s="25"/>
      <c r="C528" s="26"/>
      <c r="D528" s="25"/>
      <c r="E528" s="25"/>
      <c r="F528" s="25"/>
      <c r="G528" s="27"/>
      <c r="H528" s="25"/>
      <c r="I528" s="26"/>
      <c r="J528" s="48" t="str">
        <f aca="false">IF($N528="","",IF(AND($N528=Consulta!$C$3,$G528&lt;&gt;"",$G528&gt;=Consulta!$C$4,$G528&lt;=Consulta!$C$5),COUNTIFS($N$6:$N528,Consulta!$C$3,$G$6:$G528,"&gt;="&amp;Consulta!$C$4,$G$6:$G528,"&lt;="&amp;Consulta!$C$5),""))</f>
        <v/>
      </c>
      <c r="K528" s="48" t="str">
        <f aca="false">IF($C528="","",IF(AND($C528=Consulta!$L$3,$G528&lt;&gt;"",$G528&gt;=Consulta!$L$4,$G528&lt;=Consulta!$L$5),COUNTIFS($C$6:$C528,Consulta!$L$3,$G$6:$G528,"&gt;="&amp;Consulta!$L$4,$G$6:$G528,"&lt;="&amp;Consulta!$L$5),""))</f>
        <v/>
      </c>
      <c r="L528" s="48" t="str">
        <f aca="false">IF($D528="","",IF($D528=Consulta!$S$3,COUNTIF($D$6:$D528,Consulta!$S$3),""))</f>
        <v/>
      </c>
      <c r="M528" s="48" t="str">
        <f aca="false">IF($N528="","",IF(AND($N528='Comprovante DEV'!$D$6,$G528='Comprovante DEV'!$D$7),COUNTIFS($N$6:$N528,'Comprovante DEV'!$D$6,$G$6:$G528,'Comprovante DEV'!$D$7),""))</f>
        <v/>
      </c>
      <c r="N528" s="48" t="str">
        <f aca="false">IF($F528="","",IFERROR(VLOOKUP($F528,Apelidos_Tecnico!$A:$B,2,0),$F528))</f>
        <v/>
      </c>
    </row>
    <row r="529" customFormat="false" ht="15" hidden="false" customHeight="false" outlineLevel="0" collapsed="false">
      <c r="A529" s="25"/>
      <c r="B529" s="25"/>
      <c r="C529" s="26"/>
      <c r="D529" s="25"/>
      <c r="E529" s="25"/>
      <c r="F529" s="25"/>
      <c r="G529" s="27"/>
      <c r="H529" s="25"/>
      <c r="I529" s="26"/>
      <c r="J529" s="48" t="str">
        <f aca="false">IF($N529="","",IF(AND($N529=Consulta!$C$3,$G529&lt;&gt;"",$G529&gt;=Consulta!$C$4,$G529&lt;=Consulta!$C$5),COUNTIFS($N$6:$N529,Consulta!$C$3,$G$6:$G529,"&gt;="&amp;Consulta!$C$4,$G$6:$G529,"&lt;="&amp;Consulta!$C$5),""))</f>
        <v/>
      </c>
      <c r="K529" s="48" t="str">
        <f aca="false">IF($C529="","",IF(AND($C529=Consulta!$L$3,$G529&lt;&gt;"",$G529&gt;=Consulta!$L$4,$G529&lt;=Consulta!$L$5),COUNTIFS($C$6:$C529,Consulta!$L$3,$G$6:$G529,"&gt;="&amp;Consulta!$L$4,$G$6:$G529,"&lt;="&amp;Consulta!$L$5),""))</f>
        <v/>
      </c>
      <c r="L529" s="48" t="str">
        <f aca="false">IF($D529="","",IF($D529=Consulta!$S$3,COUNTIF($D$6:$D529,Consulta!$S$3),""))</f>
        <v/>
      </c>
      <c r="M529" s="48" t="str">
        <f aca="false">IF($N529="","",IF(AND($N529='Comprovante DEV'!$D$6,$G529='Comprovante DEV'!$D$7),COUNTIFS($N$6:$N529,'Comprovante DEV'!$D$6,$G$6:$G529,'Comprovante DEV'!$D$7),""))</f>
        <v/>
      </c>
      <c r="N529" s="48" t="str">
        <f aca="false">IF($F529="","",IFERROR(VLOOKUP($F529,Apelidos_Tecnico!$A:$B,2,0),$F529))</f>
        <v/>
      </c>
    </row>
    <row r="530" customFormat="false" ht="15" hidden="false" customHeight="false" outlineLevel="0" collapsed="false">
      <c r="A530" s="25"/>
      <c r="B530" s="25"/>
      <c r="C530" s="26"/>
      <c r="D530" s="25"/>
      <c r="E530" s="25"/>
      <c r="F530" s="25"/>
      <c r="G530" s="27"/>
      <c r="H530" s="25"/>
      <c r="I530" s="26"/>
      <c r="J530" s="48" t="str">
        <f aca="false">IF($N530="","",IF(AND($N530=Consulta!$C$3,$G530&lt;&gt;"",$G530&gt;=Consulta!$C$4,$G530&lt;=Consulta!$C$5),COUNTIFS($N$6:$N530,Consulta!$C$3,$G$6:$G530,"&gt;="&amp;Consulta!$C$4,$G$6:$G530,"&lt;="&amp;Consulta!$C$5),""))</f>
        <v/>
      </c>
      <c r="K530" s="48" t="str">
        <f aca="false">IF($C530="","",IF(AND($C530=Consulta!$L$3,$G530&lt;&gt;"",$G530&gt;=Consulta!$L$4,$G530&lt;=Consulta!$L$5),COUNTIFS($C$6:$C530,Consulta!$L$3,$G$6:$G530,"&gt;="&amp;Consulta!$L$4,$G$6:$G530,"&lt;="&amp;Consulta!$L$5),""))</f>
        <v/>
      </c>
      <c r="L530" s="48" t="str">
        <f aca="false">IF($D530="","",IF($D530=Consulta!$S$3,COUNTIF($D$6:$D530,Consulta!$S$3),""))</f>
        <v/>
      </c>
      <c r="M530" s="48" t="str">
        <f aca="false">IF($N530="","",IF(AND($N530='Comprovante DEV'!$D$6,$G530='Comprovante DEV'!$D$7),COUNTIFS($N$6:$N530,'Comprovante DEV'!$D$6,$G$6:$G530,'Comprovante DEV'!$D$7),""))</f>
        <v/>
      </c>
      <c r="N530" s="48" t="str">
        <f aca="false">IF($F530="","",IFERROR(VLOOKUP($F530,Apelidos_Tecnico!$A:$B,2,0),$F530))</f>
        <v/>
      </c>
    </row>
    <row r="531" customFormat="false" ht="15" hidden="false" customHeight="false" outlineLevel="0" collapsed="false">
      <c r="A531" s="25"/>
      <c r="B531" s="25"/>
      <c r="C531" s="26"/>
      <c r="D531" s="25"/>
      <c r="E531" s="25"/>
      <c r="F531" s="25"/>
      <c r="G531" s="27"/>
      <c r="H531" s="25"/>
      <c r="I531" s="26"/>
      <c r="J531" s="48" t="str">
        <f aca="false">IF($N531="","",IF(AND($N531=Consulta!$C$3,$G531&lt;&gt;"",$G531&gt;=Consulta!$C$4,$G531&lt;=Consulta!$C$5),COUNTIFS($N$6:$N531,Consulta!$C$3,$G$6:$G531,"&gt;="&amp;Consulta!$C$4,$G$6:$G531,"&lt;="&amp;Consulta!$C$5),""))</f>
        <v/>
      </c>
      <c r="K531" s="48" t="str">
        <f aca="false">IF($C531="","",IF(AND($C531=Consulta!$L$3,$G531&lt;&gt;"",$G531&gt;=Consulta!$L$4,$G531&lt;=Consulta!$L$5),COUNTIFS($C$6:$C531,Consulta!$L$3,$G$6:$G531,"&gt;="&amp;Consulta!$L$4,$G$6:$G531,"&lt;="&amp;Consulta!$L$5),""))</f>
        <v/>
      </c>
      <c r="L531" s="48" t="str">
        <f aca="false">IF($D531="","",IF($D531=Consulta!$S$3,COUNTIF($D$6:$D531,Consulta!$S$3),""))</f>
        <v/>
      </c>
      <c r="M531" s="48" t="str">
        <f aca="false">IF($N531="","",IF(AND($N531='Comprovante DEV'!$D$6,$G531='Comprovante DEV'!$D$7),COUNTIFS($N$6:$N531,'Comprovante DEV'!$D$6,$G$6:$G531,'Comprovante DEV'!$D$7),""))</f>
        <v/>
      </c>
      <c r="N531" s="48" t="str">
        <f aca="false">IF($F531="","",IFERROR(VLOOKUP($F531,Apelidos_Tecnico!$A:$B,2,0),$F531))</f>
        <v/>
      </c>
    </row>
    <row r="532" customFormat="false" ht="15" hidden="false" customHeight="false" outlineLevel="0" collapsed="false">
      <c r="A532" s="25"/>
      <c r="B532" s="25"/>
      <c r="C532" s="26"/>
      <c r="D532" s="25"/>
      <c r="E532" s="25"/>
      <c r="F532" s="25"/>
      <c r="G532" s="27"/>
      <c r="H532" s="25"/>
      <c r="I532" s="26"/>
      <c r="J532" s="48" t="str">
        <f aca="false">IF($N532="","",IF(AND($N532=Consulta!$C$3,$G532&lt;&gt;"",$G532&gt;=Consulta!$C$4,$G532&lt;=Consulta!$C$5),COUNTIFS($N$6:$N532,Consulta!$C$3,$G$6:$G532,"&gt;="&amp;Consulta!$C$4,$G$6:$G532,"&lt;="&amp;Consulta!$C$5),""))</f>
        <v/>
      </c>
      <c r="K532" s="48" t="str">
        <f aca="false">IF($C532="","",IF(AND($C532=Consulta!$L$3,$G532&lt;&gt;"",$G532&gt;=Consulta!$L$4,$G532&lt;=Consulta!$L$5),COUNTIFS($C$6:$C532,Consulta!$L$3,$G$6:$G532,"&gt;="&amp;Consulta!$L$4,$G$6:$G532,"&lt;="&amp;Consulta!$L$5),""))</f>
        <v/>
      </c>
      <c r="L532" s="48" t="str">
        <f aca="false">IF($D532="","",IF($D532=Consulta!$S$3,COUNTIF($D$6:$D532,Consulta!$S$3),""))</f>
        <v/>
      </c>
      <c r="M532" s="48" t="str">
        <f aca="false">IF($N532="","",IF(AND($N532='Comprovante DEV'!$D$6,$G532='Comprovante DEV'!$D$7),COUNTIFS($N$6:$N532,'Comprovante DEV'!$D$6,$G$6:$G532,'Comprovante DEV'!$D$7),""))</f>
        <v/>
      </c>
      <c r="N532" s="48" t="str">
        <f aca="false">IF($F532="","",IFERROR(VLOOKUP($F532,Apelidos_Tecnico!$A:$B,2,0),$F532))</f>
        <v/>
      </c>
    </row>
    <row r="533" customFormat="false" ht="15" hidden="false" customHeight="false" outlineLevel="0" collapsed="false">
      <c r="A533" s="25"/>
      <c r="B533" s="25"/>
      <c r="C533" s="26"/>
      <c r="D533" s="25"/>
      <c r="E533" s="25"/>
      <c r="F533" s="25"/>
      <c r="G533" s="27"/>
      <c r="H533" s="25"/>
      <c r="I533" s="26"/>
      <c r="J533" s="48" t="str">
        <f aca="false">IF($N533="","",IF(AND($N533=Consulta!$C$3,$G533&lt;&gt;"",$G533&gt;=Consulta!$C$4,$G533&lt;=Consulta!$C$5),COUNTIFS($N$6:$N533,Consulta!$C$3,$G$6:$G533,"&gt;="&amp;Consulta!$C$4,$G$6:$G533,"&lt;="&amp;Consulta!$C$5),""))</f>
        <v/>
      </c>
      <c r="K533" s="48" t="str">
        <f aca="false">IF($C533="","",IF(AND($C533=Consulta!$L$3,$G533&lt;&gt;"",$G533&gt;=Consulta!$L$4,$G533&lt;=Consulta!$L$5),COUNTIFS($C$6:$C533,Consulta!$L$3,$G$6:$G533,"&gt;="&amp;Consulta!$L$4,$G$6:$G533,"&lt;="&amp;Consulta!$L$5),""))</f>
        <v/>
      </c>
      <c r="L533" s="48" t="str">
        <f aca="false">IF($D533="","",IF($D533=Consulta!$S$3,COUNTIF($D$6:$D533,Consulta!$S$3),""))</f>
        <v/>
      </c>
      <c r="M533" s="48" t="str">
        <f aca="false">IF($N533="","",IF(AND($N533='Comprovante DEV'!$D$6,$G533='Comprovante DEV'!$D$7),COUNTIFS($N$6:$N533,'Comprovante DEV'!$D$6,$G$6:$G533,'Comprovante DEV'!$D$7),""))</f>
        <v/>
      </c>
      <c r="N533" s="48" t="str">
        <f aca="false">IF($F533="","",IFERROR(VLOOKUP($F533,Apelidos_Tecnico!$A:$B,2,0),$F533))</f>
        <v/>
      </c>
    </row>
    <row r="534" customFormat="false" ht="15" hidden="false" customHeight="false" outlineLevel="0" collapsed="false">
      <c r="A534" s="25"/>
      <c r="B534" s="25"/>
      <c r="C534" s="26"/>
      <c r="D534" s="25"/>
      <c r="E534" s="25"/>
      <c r="F534" s="25"/>
      <c r="G534" s="27"/>
      <c r="H534" s="25"/>
      <c r="I534" s="26"/>
      <c r="J534" s="48" t="str">
        <f aca="false">IF($N534="","",IF(AND($N534=Consulta!$C$3,$G534&lt;&gt;"",$G534&gt;=Consulta!$C$4,$G534&lt;=Consulta!$C$5),COUNTIFS($N$6:$N534,Consulta!$C$3,$G$6:$G534,"&gt;="&amp;Consulta!$C$4,$G$6:$G534,"&lt;="&amp;Consulta!$C$5),""))</f>
        <v/>
      </c>
      <c r="K534" s="48" t="str">
        <f aca="false">IF($C534="","",IF(AND($C534=Consulta!$L$3,$G534&lt;&gt;"",$G534&gt;=Consulta!$L$4,$G534&lt;=Consulta!$L$5),COUNTIFS($C$6:$C534,Consulta!$L$3,$G$6:$G534,"&gt;="&amp;Consulta!$L$4,$G$6:$G534,"&lt;="&amp;Consulta!$L$5),""))</f>
        <v/>
      </c>
      <c r="L534" s="48" t="str">
        <f aca="false">IF($D534="","",IF($D534=Consulta!$S$3,COUNTIF($D$6:$D534,Consulta!$S$3),""))</f>
        <v/>
      </c>
      <c r="M534" s="48" t="str">
        <f aca="false">IF($N534="","",IF(AND($N534='Comprovante DEV'!$D$6,$G534='Comprovante DEV'!$D$7),COUNTIFS($N$6:$N534,'Comprovante DEV'!$D$6,$G$6:$G534,'Comprovante DEV'!$D$7),""))</f>
        <v/>
      </c>
      <c r="N534" s="48" t="str">
        <f aca="false">IF($F534="","",IFERROR(VLOOKUP($F534,Apelidos_Tecnico!$A:$B,2,0),$F534))</f>
        <v/>
      </c>
    </row>
    <row r="535" customFormat="false" ht="15" hidden="false" customHeight="false" outlineLevel="0" collapsed="false">
      <c r="A535" s="25"/>
      <c r="B535" s="25"/>
      <c r="C535" s="26"/>
      <c r="D535" s="25"/>
      <c r="E535" s="25"/>
      <c r="F535" s="25"/>
      <c r="G535" s="27"/>
      <c r="H535" s="25"/>
      <c r="I535" s="26"/>
      <c r="J535" s="48" t="str">
        <f aca="false">IF($N535="","",IF(AND($N535=Consulta!$C$3,$G535&lt;&gt;"",$G535&gt;=Consulta!$C$4,$G535&lt;=Consulta!$C$5),COUNTIFS($N$6:$N535,Consulta!$C$3,$G$6:$G535,"&gt;="&amp;Consulta!$C$4,$G$6:$G535,"&lt;="&amp;Consulta!$C$5),""))</f>
        <v/>
      </c>
      <c r="K535" s="48" t="str">
        <f aca="false">IF($C535="","",IF(AND($C535=Consulta!$L$3,$G535&lt;&gt;"",$G535&gt;=Consulta!$L$4,$G535&lt;=Consulta!$L$5),COUNTIFS($C$6:$C535,Consulta!$L$3,$G$6:$G535,"&gt;="&amp;Consulta!$L$4,$G$6:$G535,"&lt;="&amp;Consulta!$L$5),""))</f>
        <v/>
      </c>
      <c r="L535" s="48" t="str">
        <f aca="false">IF($D535="","",IF($D535=Consulta!$S$3,COUNTIF($D$6:$D535,Consulta!$S$3),""))</f>
        <v/>
      </c>
      <c r="M535" s="48" t="str">
        <f aca="false">IF($N535="","",IF(AND($N535='Comprovante DEV'!$D$6,$G535='Comprovante DEV'!$D$7),COUNTIFS($N$6:$N535,'Comprovante DEV'!$D$6,$G$6:$G535,'Comprovante DEV'!$D$7),""))</f>
        <v/>
      </c>
      <c r="N535" s="48" t="str">
        <f aca="false">IF($F535="","",IFERROR(VLOOKUP($F535,Apelidos_Tecnico!$A:$B,2,0),$F535))</f>
        <v/>
      </c>
    </row>
    <row r="536" customFormat="false" ht="15" hidden="false" customHeight="false" outlineLevel="0" collapsed="false">
      <c r="A536" s="25"/>
      <c r="B536" s="25"/>
      <c r="C536" s="26"/>
      <c r="D536" s="25"/>
      <c r="E536" s="25"/>
      <c r="F536" s="25"/>
      <c r="G536" s="27"/>
      <c r="H536" s="25"/>
      <c r="I536" s="26"/>
      <c r="J536" s="48" t="str">
        <f aca="false">IF($N536="","",IF(AND($N536=Consulta!$C$3,$G536&lt;&gt;"",$G536&gt;=Consulta!$C$4,$G536&lt;=Consulta!$C$5),COUNTIFS($N$6:$N536,Consulta!$C$3,$G$6:$G536,"&gt;="&amp;Consulta!$C$4,$G$6:$G536,"&lt;="&amp;Consulta!$C$5),""))</f>
        <v/>
      </c>
      <c r="K536" s="48" t="str">
        <f aca="false">IF($C536="","",IF(AND($C536=Consulta!$L$3,$G536&lt;&gt;"",$G536&gt;=Consulta!$L$4,$G536&lt;=Consulta!$L$5),COUNTIFS($C$6:$C536,Consulta!$L$3,$G$6:$G536,"&gt;="&amp;Consulta!$L$4,$G$6:$G536,"&lt;="&amp;Consulta!$L$5),""))</f>
        <v/>
      </c>
      <c r="L536" s="48" t="str">
        <f aca="false">IF($D536="","",IF($D536=Consulta!$S$3,COUNTIF($D$6:$D536,Consulta!$S$3),""))</f>
        <v/>
      </c>
      <c r="M536" s="48" t="str">
        <f aca="false">IF($N536="","",IF(AND($N536='Comprovante DEV'!$D$6,$G536='Comprovante DEV'!$D$7),COUNTIFS($N$6:$N536,'Comprovante DEV'!$D$6,$G$6:$G536,'Comprovante DEV'!$D$7),""))</f>
        <v/>
      </c>
      <c r="N536" s="48" t="str">
        <f aca="false">IF($F536="","",IFERROR(VLOOKUP($F536,Apelidos_Tecnico!$A:$B,2,0),$F536))</f>
        <v/>
      </c>
    </row>
    <row r="537" customFormat="false" ht="15" hidden="false" customHeight="false" outlineLevel="0" collapsed="false">
      <c r="A537" s="25"/>
      <c r="B537" s="25"/>
      <c r="C537" s="26"/>
      <c r="D537" s="25"/>
      <c r="E537" s="25"/>
      <c r="F537" s="25"/>
      <c r="G537" s="27"/>
      <c r="H537" s="25"/>
      <c r="I537" s="26"/>
      <c r="J537" s="48" t="str">
        <f aca="false">IF($N537="","",IF(AND($N537=Consulta!$C$3,$G537&lt;&gt;"",$G537&gt;=Consulta!$C$4,$G537&lt;=Consulta!$C$5),COUNTIFS($N$6:$N537,Consulta!$C$3,$G$6:$G537,"&gt;="&amp;Consulta!$C$4,$G$6:$G537,"&lt;="&amp;Consulta!$C$5),""))</f>
        <v/>
      </c>
      <c r="K537" s="48" t="str">
        <f aca="false">IF($C537="","",IF(AND($C537=Consulta!$L$3,$G537&lt;&gt;"",$G537&gt;=Consulta!$L$4,$G537&lt;=Consulta!$L$5),COUNTIFS($C$6:$C537,Consulta!$L$3,$G$6:$G537,"&gt;="&amp;Consulta!$L$4,$G$6:$G537,"&lt;="&amp;Consulta!$L$5),""))</f>
        <v/>
      </c>
      <c r="L537" s="48" t="str">
        <f aca="false">IF($D537="","",IF($D537=Consulta!$S$3,COUNTIF($D$6:$D537,Consulta!$S$3),""))</f>
        <v/>
      </c>
      <c r="M537" s="48" t="str">
        <f aca="false">IF($N537="","",IF(AND($N537='Comprovante DEV'!$D$6,$G537='Comprovante DEV'!$D$7),COUNTIFS($N$6:$N537,'Comprovante DEV'!$D$6,$G$6:$G537,'Comprovante DEV'!$D$7),""))</f>
        <v/>
      </c>
      <c r="N537" s="48" t="str">
        <f aca="false">IF($F537="","",IFERROR(VLOOKUP($F537,Apelidos_Tecnico!$A:$B,2,0),$F537))</f>
        <v/>
      </c>
    </row>
    <row r="538" customFormat="false" ht="15" hidden="false" customHeight="false" outlineLevel="0" collapsed="false">
      <c r="A538" s="25"/>
      <c r="B538" s="25"/>
      <c r="C538" s="26"/>
      <c r="D538" s="25"/>
      <c r="E538" s="25"/>
      <c r="F538" s="25"/>
      <c r="G538" s="27"/>
      <c r="H538" s="25"/>
      <c r="I538" s="26"/>
      <c r="J538" s="48" t="str">
        <f aca="false">IF($N538="","",IF(AND($N538=Consulta!$C$3,$G538&lt;&gt;"",$G538&gt;=Consulta!$C$4,$G538&lt;=Consulta!$C$5),COUNTIFS($N$6:$N538,Consulta!$C$3,$G$6:$G538,"&gt;="&amp;Consulta!$C$4,$G$6:$G538,"&lt;="&amp;Consulta!$C$5),""))</f>
        <v/>
      </c>
      <c r="K538" s="48" t="str">
        <f aca="false">IF($C538="","",IF(AND($C538=Consulta!$L$3,$G538&lt;&gt;"",$G538&gt;=Consulta!$L$4,$G538&lt;=Consulta!$L$5),COUNTIFS($C$6:$C538,Consulta!$L$3,$G$6:$G538,"&gt;="&amp;Consulta!$L$4,$G$6:$G538,"&lt;="&amp;Consulta!$L$5),""))</f>
        <v/>
      </c>
      <c r="L538" s="48" t="str">
        <f aca="false">IF($D538="","",IF($D538=Consulta!$S$3,COUNTIF($D$6:$D538,Consulta!$S$3),""))</f>
        <v/>
      </c>
      <c r="M538" s="48" t="str">
        <f aca="false">IF($N538="","",IF(AND($N538='Comprovante DEV'!$D$6,$G538='Comprovante DEV'!$D$7),COUNTIFS($N$6:$N538,'Comprovante DEV'!$D$6,$G$6:$G538,'Comprovante DEV'!$D$7),""))</f>
        <v/>
      </c>
      <c r="N538" s="48" t="str">
        <f aca="false">IF($F538="","",IFERROR(VLOOKUP($F538,Apelidos_Tecnico!$A:$B,2,0),$F538))</f>
        <v/>
      </c>
    </row>
    <row r="539" customFormat="false" ht="15" hidden="false" customHeight="false" outlineLevel="0" collapsed="false">
      <c r="A539" s="25"/>
      <c r="B539" s="25"/>
      <c r="C539" s="26"/>
      <c r="D539" s="25"/>
      <c r="E539" s="25"/>
      <c r="F539" s="25"/>
      <c r="G539" s="27"/>
      <c r="H539" s="25"/>
      <c r="I539" s="26"/>
      <c r="J539" s="48" t="str">
        <f aca="false">IF($N539="","",IF(AND($N539=Consulta!$C$3,$G539&lt;&gt;"",$G539&gt;=Consulta!$C$4,$G539&lt;=Consulta!$C$5),COUNTIFS($N$6:$N539,Consulta!$C$3,$G$6:$G539,"&gt;="&amp;Consulta!$C$4,$G$6:$G539,"&lt;="&amp;Consulta!$C$5),""))</f>
        <v/>
      </c>
      <c r="K539" s="48" t="str">
        <f aca="false">IF($C539="","",IF(AND($C539=Consulta!$L$3,$G539&lt;&gt;"",$G539&gt;=Consulta!$L$4,$G539&lt;=Consulta!$L$5),COUNTIFS($C$6:$C539,Consulta!$L$3,$G$6:$G539,"&gt;="&amp;Consulta!$L$4,$G$6:$G539,"&lt;="&amp;Consulta!$L$5),""))</f>
        <v/>
      </c>
      <c r="L539" s="48" t="str">
        <f aca="false">IF($D539="","",IF($D539=Consulta!$S$3,COUNTIF($D$6:$D539,Consulta!$S$3),""))</f>
        <v/>
      </c>
      <c r="M539" s="48" t="str">
        <f aca="false">IF($N539="","",IF(AND($N539='Comprovante DEV'!$D$6,$G539='Comprovante DEV'!$D$7),COUNTIFS($N$6:$N539,'Comprovante DEV'!$D$6,$G$6:$G539,'Comprovante DEV'!$D$7),""))</f>
        <v/>
      </c>
      <c r="N539" s="48" t="str">
        <f aca="false">IF($F539="","",IFERROR(VLOOKUP($F539,Apelidos_Tecnico!$A:$B,2,0),$F539))</f>
        <v/>
      </c>
    </row>
    <row r="540" customFormat="false" ht="15" hidden="false" customHeight="false" outlineLevel="0" collapsed="false">
      <c r="A540" s="25"/>
      <c r="B540" s="25"/>
      <c r="C540" s="26"/>
      <c r="D540" s="25"/>
      <c r="E540" s="25"/>
      <c r="F540" s="25"/>
      <c r="G540" s="27"/>
      <c r="H540" s="25"/>
      <c r="I540" s="26"/>
      <c r="J540" s="48" t="str">
        <f aca="false">IF($N540="","",IF(AND($N540=Consulta!$C$3,$G540&lt;&gt;"",$G540&gt;=Consulta!$C$4,$G540&lt;=Consulta!$C$5),COUNTIFS($N$6:$N540,Consulta!$C$3,$G$6:$G540,"&gt;="&amp;Consulta!$C$4,$G$6:$G540,"&lt;="&amp;Consulta!$C$5),""))</f>
        <v/>
      </c>
      <c r="K540" s="48" t="str">
        <f aca="false">IF($C540="","",IF(AND($C540=Consulta!$L$3,$G540&lt;&gt;"",$G540&gt;=Consulta!$L$4,$G540&lt;=Consulta!$L$5),COUNTIFS($C$6:$C540,Consulta!$L$3,$G$6:$G540,"&gt;="&amp;Consulta!$L$4,$G$6:$G540,"&lt;="&amp;Consulta!$L$5),""))</f>
        <v/>
      </c>
      <c r="L540" s="48" t="str">
        <f aca="false">IF($D540="","",IF($D540=Consulta!$S$3,COUNTIF($D$6:$D540,Consulta!$S$3),""))</f>
        <v/>
      </c>
      <c r="M540" s="48" t="str">
        <f aca="false">IF($N540="","",IF(AND($N540='Comprovante DEV'!$D$6,$G540='Comprovante DEV'!$D$7),COUNTIFS($N$6:$N540,'Comprovante DEV'!$D$6,$G$6:$G540,'Comprovante DEV'!$D$7),""))</f>
        <v/>
      </c>
      <c r="N540" s="48" t="str">
        <f aca="false">IF($F540="","",IFERROR(VLOOKUP($F540,Apelidos_Tecnico!$A:$B,2,0),$F540))</f>
        <v/>
      </c>
    </row>
    <row r="541" customFormat="false" ht="15" hidden="false" customHeight="false" outlineLevel="0" collapsed="false">
      <c r="A541" s="25"/>
      <c r="B541" s="25"/>
      <c r="C541" s="26"/>
      <c r="D541" s="25"/>
      <c r="E541" s="25"/>
      <c r="F541" s="25"/>
      <c r="G541" s="27"/>
      <c r="H541" s="25"/>
      <c r="I541" s="26"/>
      <c r="J541" s="48" t="str">
        <f aca="false">IF($N541="","",IF(AND($N541=Consulta!$C$3,$G541&lt;&gt;"",$G541&gt;=Consulta!$C$4,$G541&lt;=Consulta!$C$5),COUNTIFS($N$6:$N541,Consulta!$C$3,$G$6:$G541,"&gt;="&amp;Consulta!$C$4,$G$6:$G541,"&lt;="&amp;Consulta!$C$5),""))</f>
        <v/>
      </c>
      <c r="K541" s="48" t="str">
        <f aca="false">IF($C541="","",IF(AND($C541=Consulta!$L$3,$G541&lt;&gt;"",$G541&gt;=Consulta!$L$4,$G541&lt;=Consulta!$L$5),COUNTIFS($C$6:$C541,Consulta!$L$3,$G$6:$G541,"&gt;="&amp;Consulta!$L$4,$G$6:$G541,"&lt;="&amp;Consulta!$L$5),""))</f>
        <v/>
      </c>
      <c r="L541" s="48" t="str">
        <f aca="false">IF($D541="","",IF($D541=Consulta!$S$3,COUNTIF($D$6:$D541,Consulta!$S$3),""))</f>
        <v/>
      </c>
      <c r="M541" s="48" t="str">
        <f aca="false">IF($N541="","",IF(AND($N541='Comprovante DEV'!$D$6,$G541='Comprovante DEV'!$D$7),COUNTIFS($N$6:$N541,'Comprovante DEV'!$D$6,$G$6:$G541,'Comprovante DEV'!$D$7),""))</f>
        <v/>
      </c>
      <c r="N541" s="48" t="str">
        <f aca="false">IF($F541="","",IFERROR(VLOOKUP($F541,Apelidos_Tecnico!$A:$B,2,0),$F541))</f>
        <v/>
      </c>
    </row>
    <row r="542" customFormat="false" ht="15" hidden="false" customHeight="false" outlineLevel="0" collapsed="false">
      <c r="A542" s="25"/>
      <c r="B542" s="25"/>
      <c r="C542" s="26"/>
      <c r="D542" s="25"/>
      <c r="E542" s="25"/>
      <c r="F542" s="25"/>
      <c r="G542" s="27"/>
      <c r="H542" s="25"/>
      <c r="I542" s="26"/>
      <c r="J542" s="48" t="str">
        <f aca="false">IF($N542="","",IF(AND($N542=Consulta!$C$3,$G542&lt;&gt;"",$G542&gt;=Consulta!$C$4,$G542&lt;=Consulta!$C$5),COUNTIFS($N$6:$N542,Consulta!$C$3,$G$6:$G542,"&gt;="&amp;Consulta!$C$4,$G$6:$G542,"&lt;="&amp;Consulta!$C$5),""))</f>
        <v/>
      </c>
      <c r="K542" s="48" t="str">
        <f aca="false">IF($C542="","",IF(AND($C542=Consulta!$L$3,$G542&lt;&gt;"",$G542&gt;=Consulta!$L$4,$G542&lt;=Consulta!$L$5),COUNTIFS($C$6:$C542,Consulta!$L$3,$G$6:$G542,"&gt;="&amp;Consulta!$L$4,$G$6:$G542,"&lt;="&amp;Consulta!$L$5),""))</f>
        <v/>
      </c>
      <c r="L542" s="48" t="str">
        <f aca="false">IF($D542="","",IF($D542=Consulta!$S$3,COUNTIF($D$6:$D542,Consulta!$S$3),""))</f>
        <v/>
      </c>
      <c r="M542" s="48" t="str">
        <f aca="false">IF($N542="","",IF(AND($N542='Comprovante DEV'!$D$6,$G542='Comprovante DEV'!$D$7),COUNTIFS($N$6:$N542,'Comprovante DEV'!$D$6,$G$6:$G542,'Comprovante DEV'!$D$7),""))</f>
        <v/>
      </c>
      <c r="N542" s="48" t="str">
        <f aca="false">IF($F542="","",IFERROR(VLOOKUP($F542,Apelidos_Tecnico!$A:$B,2,0),$F542))</f>
        <v/>
      </c>
    </row>
    <row r="543" customFormat="false" ht="15" hidden="false" customHeight="false" outlineLevel="0" collapsed="false">
      <c r="A543" s="25"/>
      <c r="B543" s="25"/>
      <c r="C543" s="26"/>
      <c r="D543" s="25"/>
      <c r="E543" s="25"/>
      <c r="F543" s="25"/>
      <c r="G543" s="27"/>
      <c r="H543" s="25"/>
      <c r="I543" s="26"/>
      <c r="J543" s="48" t="str">
        <f aca="false">IF($N543="","",IF(AND($N543=Consulta!$C$3,$G543&lt;&gt;"",$G543&gt;=Consulta!$C$4,$G543&lt;=Consulta!$C$5),COUNTIFS($N$6:$N543,Consulta!$C$3,$G$6:$G543,"&gt;="&amp;Consulta!$C$4,$G$6:$G543,"&lt;="&amp;Consulta!$C$5),""))</f>
        <v/>
      </c>
      <c r="K543" s="48" t="str">
        <f aca="false">IF($C543="","",IF(AND($C543=Consulta!$L$3,$G543&lt;&gt;"",$G543&gt;=Consulta!$L$4,$G543&lt;=Consulta!$L$5),COUNTIFS($C$6:$C543,Consulta!$L$3,$G$6:$G543,"&gt;="&amp;Consulta!$L$4,$G$6:$G543,"&lt;="&amp;Consulta!$L$5),""))</f>
        <v/>
      </c>
      <c r="L543" s="48" t="str">
        <f aca="false">IF($D543="","",IF($D543=Consulta!$S$3,COUNTIF($D$6:$D543,Consulta!$S$3),""))</f>
        <v/>
      </c>
      <c r="M543" s="48" t="str">
        <f aca="false">IF($N543="","",IF(AND($N543='Comprovante DEV'!$D$6,$G543='Comprovante DEV'!$D$7),COUNTIFS($N$6:$N543,'Comprovante DEV'!$D$6,$G$6:$G543,'Comprovante DEV'!$D$7),""))</f>
        <v/>
      </c>
      <c r="N543" s="48" t="str">
        <f aca="false">IF($F543="","",IFERROR(VLOOKUP($F543,Apelidos_Tecnico!$A:$B,2,0),$F543))</f>
        <v/>
      </c>
    </row>
    <row r="544" customFormat="false" ht="15" hidden="false" customHeight="false" outlineLevel="0" collapsed="false">
      <c r="A544" s="25"/>
      <c r="B544" s="25"/>
      <c r="C544" s="26"/>
      <c r="D544" s="25"/>
      <c r="E544" s="25"/>
      <c r="F544" s="25"/>
      <c r="G544" s="27"/>
      <c r="H544" s="25"/>
      <c r="I544" s="26"/>
      <c r="J544" s="48" t="str">
        <f aca="false">IF($N544="","",IF(AND($N544=Consulta!$C$3,$G544&lt;&gt;"",$G544&gt;=Consulta!$C$4,$G544&lt;=Consulta!$C$5),COUNTIFS($N$6:$N544,Consulta!$C$3,$G$6:$G544,"&gt;="&amp;Consulta!$C$4,$G$6:$G544,"&lt;="&amp;Consulta!$C$5),""))</f>
        <v/>
      </c>
      <c r="K544" s="48" t="str">
        <f aca="false">IF($C544="","",IF(AND($C544=Consulta!$L$3,$G544&lt;&gt;"",$G544&gt;=Consulta!$L$4,$G544&lt;=Consulta!$L$5),COUNTIFS($C$6:$C544,Consulta!$L$3,$G$6:$G544,"&gt;="&amp;Consulta!$L$4,$G$6:$G544,"&lt;="&amp;Consulta!$L$5),""))</f>
        <v/>
      </c>
      <c r="L544" s="48" t="str">
        <f aca="false">IF($D544="","",IF($D544=Consulta!$S$3,COUNTIF($D$6:$D544,Consulta!$S$3),""))</f>
        <v/>
      </c>
      <c r="M544" s="48" t="str">
        <f aca="false">IF($N544="","",IF(AND($N544='Comprovante DEV'!$D$6,$G544='Comprovante DEV'!$D$7),COUNTIFS($N$6:$N544,'Comprovante DEV'!$D$6,$G$6:$G544,'Comprovante DEV'!$D$7),""))</f>
        <v/>
      </c>
      <c r="N544" s="48" t="str">
        <f aca="false">IF($F544="","",IFERROR(VLOOKUP($F544,Apelidos_Tecnico!$A:$B,2,0),$F544))</f>
        <v/>
      </c>
    </row>
    <row r="545" customFormat="false" ht="15" hidden="false" customHeight="false" outlineLevel="0" collapsed="false">
      <c r="A545" s="25"/>
      <c r="B545" s="25"/>
      <c r="C545" s="26"/>
      <c r="D545" s="25"/>
      <c r="E545" s="25"/>
      <c r="F545" s="25"/>
      <c r="G545" s="27"/>
      <c r="H545" s="25"/>
      <c r="I545" s="26"/>
      <c r="J545" s="48" t="str">
        <f aca="false">IF($N545="","",IF(AND($N545=Consulta!$C$3,$G545&lt;&gt;"",$G545&gt;=Consulta!$C$4,$G545&lt;=Consulta!$C$5),COUNTIFS($N$6:$N545,Consulta!$C$3,$G$6:$G545,"&gt;="&amp;Consulta!$C$4,$G$6:$G545,"&lt;="&amp;Consulta!$C$5),""))</f>
        <v/>
      </c>
      <c r="K545" s="48" t="str">
        <f aca="false">IF($C545="","",IF(AND($C545=Consulta!$L$3,$G545&lt;&gt;"",$G545&gt;=Consulta!$L$4,$G545&lt;=Consulta!$L$5),COUNTIFS($C$6:$C545,Consulta!$L$3,$G$6:$G545,"&gt;="&amp;Consulta!$L$4,$G$6:$G545,"&lt;="&amp;Consulta!$L$5),""))</f>
        <v/>
      </c>
      <c r="L545" s="48" t="str">
        <f aca="false">IF($D545="","",IF($D545=Consulta!$S$3,COUNTIF($D$6:$D545,Consulta!$S$3),""))</f>
        <v/>
      </c>
      <c r="M545" s="48" t="str">
        <f aca="false">IF($N545="","",IF(AND($N545='Comprovante DEV'!$D$6,$G545='Comprovante DEV'!$D$7),COUNTIFS($N$6:$N545,'Comprovante DEV'!$D$6,$G$6:$G545,'Comprovante DEV'!$D$7),""))</f>
        <v/>
      </c>
      <c r="N545" s="48" t="str">
        <f aca="false">IF($F545="","",IFERROR(VLOOKUP($F545,Apelidos_Tecnico!$A:$B,2,0),$F545))</f>
        <v/>
      </c>
    </row>
    <row r="546" customFormat="false" ht="15" hidden="false" customHeight="false" outlineLevel="0" collapsed="false">
      <c r="A546" s="25"/>
      <c r="B546" s="25"/>
      <c r="C546" s="26"/>
      <c r="D546" s="25"/>
      <c r="E546" s="25"/>
      <c r="F546" s="25"/>
      <c r="G546" s="27"/>
      <c r="H546" s="25"/>
      <c r="I546" s="26"/>
      <c r="J546" s="48" t="str">
        <f aca="false">IF($N546="","",IF(AND($N546=Consulta!$C$3,$G546&lt;&gt;"",$G546&gt;=Consulta!$C$4,$G546&lt;=Consulta!$C$5),COUNTIFS($N$6:$N546,Consulta!$C$3,$G$6:$G546,"&gt;="&amp;Consulta!$C$4,$G$6:$G546,"&lt;="&amp;Consulta!$C$5),""))</f>
        <v/>
      </c>
      <c r="K546" s="48" t="str">
        <f aca="false">IF($C546="","",IF(AND($C546=Consulta!$L$3,$G546&lt;&gt;"",$G546&gt;=Consulta!$L$4,$G546&lt;=Consulta!$L$5),COUNTIFS($C$6:$C546,Consulta!$L$3,$G$6:$G546,"&gt;="&amp;Consulta!$L$4,$G$6:$G546,"&lt;="&amp;Consulta!$L$5),""))</f>
        <v/>
      </c>
      <c r="L546" s="48" t="str">
        <f aca="false">IF($D546="","",IF($D546=Consulta!$S$3,COUNTIF($D$6:$D546,Consulta!$S$3),""))</f>
        <v/>
      </c>
      <c r="M546" s="48" t="str">
        <f aca="false">IF($N546="","",IF(AND($N546='Comprovante DEV'!$D$6,$G546='Comprovante DEV'!$D$7),COUNTIFS($N$6:$N546,'Comprovante DEV'!$D$6,$G$6:$G546,'Comprovante DEV'!$D$7),""))</f>
        <v/>
      </c>
      <c r="N546" s="48" t="str">
        <f aca="false">IF($F546="","",IFERROR(VLOOKUP($F546,Apelidos_Tecnico!$A:$B,2,0),$F546))</f>
        <v/>
      </c>
    </row>
    <row r="547" customFormat="false" ht="15" hidden="false" customHeight="false" outlineLevel="0" collapsed="false">
      <c r="A547" s="25"/>
      <c r="B547" s="25"/>
      <c r="C547" s="26"/>
      <c r="D547" s="25"/>
      <c r="E547" s="25"/>
      <c r="F547" s="25"/>
      <c r="G547" s="27"/>
      <c r="H547" s="25"/>
      <c r="I547" s="26"/>
      <c r="J547" s="48" t="str">
        <f aca="false">IF($N547="","",IF(AND($N547=Consulta!$C$3,$G547&lt;&gt;"",$G547&gt;=Consulta!$C$4,$G547&lt;=Consulta!$C$5),COUNTIFS($N$6:$N547,Consulta!$C$3,$G$6:$G547,"&gt;="&amp;Consulta!$C$4,$G$6:$G547,"&lt;="&amp;Consulta!$C$5),""))</f>
        <v/>
      </c>
      <c r="K547" s="48" t="str">
        <f aca="false">IF($C547="","",IF(AND($C547=Consulta!$L$3,$G547&lt;&gt;"",$G547&gt;=Consulta!$L$4,$G547&lt;=Consulta!$L$5),COUNTIFS($C$6:$C547,Consulta!$L$3,$G$6:$G547,"&gt;="&amp;Consulta!$L$4,$G$6:$G547,"&lt;="&amp;Consulta!$L$5),""))</f>
        <v/>
      </c>
      <c r="L547" s="48" t="str">
        <f aca="false">IF($D547="","",IF($D547=Consulta!$S$3,COUNTIF($D$6:$D547,Consulta!$S$3),""))</f>
        <v/>
      </c>
      <c r="M547" s="48" t="str">
        <f aca="false">IF($N547="","",IF(AND($N547='Comprovante DEV'!$D$6,$G547='Comprovante DEV'!$D$7),COUNTIFS($N$6:$N547,'Comprovante DEV'!$D$6,$G$6:$G547,'Comprovante DEV'!$D$7),""))</f>
        <v/>
      </c>
      <c r="N547" s="48" t="str">
        <f aca="false">IF($F547="","",IFERROR(VLOOKUP($F547,Apelidos_Tecnico!$A:$B,2,0),$F547))</f>
        <v/>
      </c>
    </row>
    <row r="548" customFormat="false" ht="15" hidden="false" customHeight="false" outlineLevel="0" collapsed="false">
      <c r="A548" s="25"/>
      <c r="B548" s="25"/>
      <c r="C548" s="26"/>
      <c r="D548" s="25"/>
      <c r="E548" s="25"/>
      <c r="F548" s="25"/>
      <c r="G548" s="27"/>
      <c r="H548" s="25"/>
      <c r="I548" s="26"/>
      <c r="J548" s="48" t="str">
        <f aca="false">IF($N548="","",IF(AND($N548=Consulta!$C$3,$G548&lt;&gt;"",$G548&gt;=Consulta!$C$4,$G548&lt;=Consulta!$C$5),COUNTIFS($N$6:$N548,Consulta!$C$3,$G$6:$G548,"&gt;="&amp;Consulta!$C$4,$G$6:$G548,"&lt;="&amp;Consulta!$C$5),""))</f>
        <v/>
      </c>
      <c r="K548" s="48" t="str">
        <f aca="false">IF($C548="","",IF(AND($C548=Consulta!$L$3,$G548&lt;&gt;"",$G548&gt;=Consulta!$L$4,$G548&lt;=Consulta!$L$5),COUNTIFS($C$6:$C548,Consulta!$L$3,$G$6:$G548,"&gt;="&amp;Consulta!$L$4,$G$6:$G548,"&lt;="&amp;Consulta!$L$5),""))</f>
        <v/>
      </c>
      <c r="L548" s="48" t="str">
        <f aca="false">IF($D548="","",IF($D548=Consulta!$S$3,COUNTIF($D$6:$D548,Consulta!$S$3),""))</f>
        <v/>
      </c>
      <c r="M548" s="48" t="str">
        <f aca="false">IF($N548="","",IF(AND($N548='Comprovante DEV'!$D$6,$G548='Comprovante DEV'!$D$7),COUNTIFS($N$6:$N548,'Comprovante DEV'!$D$6,$G$6:$G548,'Comprovante DEV'!$D$7),""))</f>
        <v/>
      </c>
      <c r="N548" s="48" t="str">
        <f aca="false">IF($F548="","",IFERROR(VLOOKUP($F548,Apelidos_Tecnico!$A:$B,2,0),$F548))</f>
        <v/>
      </c>
    </row>
    <row r="549" customFormat="false" ht="15" hidden="false" customHeight="false" outlineLevel="0" collapsed="false">
      <c r="A549" s="25"/>
      <c r="B549" s="25"/>
      <c r="C549" s="26"/>
      <c r="D549" s="25"/>
      <c r="E549" s="25"/>
      <c r="F549" s="25"/>
      <c r="G549" s="27"/>
      <c r="H549" s="25"/>
      <c r="I549" s="26"/>
      <c r="J549" s="48" t="str">
        <f aca="false">IF($N549="","",IF(AND($N549=Consulta!$C$3,$G549&lt;&gt;"",$G549&gt;=Consulta!$C$4,$G549&lt;=Consulta!$C$5),COUNTIFS($N$6:$N549,Consulta!$C$3,$G$6:$G549,"&gt;="&amp;Consulta!$C$4,$G$6:$G549,"&lt;="&amp;Consulta!$C$5),""))</f>
        <v/>
      </c>
      <c r="K549" s="48" t="str">
        <f aca="false">IF($C549="","",IF(AND($C549=Consulta!$L$3,$G549&lt;&gt;"",$G549&gt;=Consulta!$L$4,$G549&lt;=Consulta!$L$5),COUNTIFS($C$6:$C549,Consulta!$L$3,$G$6:$G549,"&gt;="&amp;Consulta!$L$4,$G$6:$G549,"&lt;="&amp;Consulta!$L$5),""))</f>
        <v/>
      </c>
      <c r="L549" s="48" t="str">
        <f aca="false">IF($D549="","",IF($D549=Consulta!$S$3,COUNTIF($D$6:$D549,Consulta!$S$3),""))</f>
        <v/>
      </c>
      <c r="M549" s="48" t="str">
        <f aca="false">IF($N549="","",IF(AND($N549='Comprovante DEV'!$D$6,$G549='Comprovante DEV'!$D$7),COUNTIFS($N$6:$N549,'Comprovante DEV'!$D$6,$G$6:$G549,'Comprovante DEV'!$D$7),""))</f>
        <v/>
      </c>
      <c r="N549" s="48" t="str">
        <f aca="false">IF($F549="","",IFERROR(VLOOKUP($F549,Apelidos_Tecnico!$A:$B,2,0),$F549))</f>
        <v/>
      </c>
    </row>
    <row r="550" customFormat="false" ht="15" hidden="false" customHeight="false" outlineLevel="0" collapsed="false">
      <c r="A550" s="25"/>
      <c r="B550" s="25"/>
      <c r="C550" s="26"/>
      <c r="D550" s="25"/>
      <c r="E550" s="25"/>
      <c r="F550" s="25"/>
      <c r="G550" s="27"/>
      <c r="H550" s="25"/>
      <c r="I550" s="26"/>
      <c r="J550" s="48" t="str">
        <f aca="false">IF($N550="","",IF(AND($N550=Consulta!$C$3,$G550&lt;&gt;"",$G550&gt;=Consulta!$C$4,$G550&lt;=Consulta!$C$5),COUNTIFS($N$6:$N550,Consulta!$C$3,$G$6:$G550,"&gt;="&amp;Consulta!$C$4,$G$6:$G550,"&lt;="&amp;Consulta!$C$5),""))</f>
        <v/>
      </c>
      <c r="K550" s="48" t="str">
        <f aca="false">IF($C550="","",IF(AND($C550=Consulta!$L$3,$G550&lt;&gt;"",$G550&gt;=Consulta!$L$4,$G550&lt;=Consulta!$L$5),COUNTIFS($C$6:$C550,Consulta!$L$3,$G$6:$G550,"&gt;="&amp;Consulta!$L$4,$G$6:$G550,"&lt;="&amp;Consulta!$L$5),""))</f>
        <v/>
      </c>
      <c r="L550" s="48" t="str">
        <f aca="false">IF($D550="","",IF($D550=Consulta!$S$3,COUNTIF($D$6:$D550,Consulta!$S$3),""))</f>
        <v/>
      </c>
      <c r="M550" s="48" t="str">
        <f aca="false">IF($N550="","",IF(AND($N550='Comprovante DEV'!$D$6,$G550='Comprovante DEV'!$D$7),COUNTIFS($N$6:$N550,'Comprovante DEV'!$D$6,$G$6:$G550,'Comprovante DEV'!$D$7),""))</f>
        <v/>
      </c>
      <c r="N550" s="48" t="str">
        <f aca="false">IF($F550="","",IFERROR(VLOOKUP($F550,Apelidos_Tecnico!$A:$B,2,0),$F550))</f>
        <v/>
      </c>
    </row>
    <row r="551" customFormat="false" ht="15" hidden="false" customHeight="false" outlineLevel="0" collapsed="false">
      <c r="A551" s="25"/>
      <c r="B551" s="25"/>
      <c r="C551" s="26"/>
      <c r="D551" s="25"/>
      <c r="E551" s="25"/>
      <c r="F551" s="25"/>
      <c r="G551" s="27"/>
      <c r="H551" s="25"/>
      <c r="I551" s="26"/>
      <c r="J551" s="48" t="str">
        <f aca="false">IF($N551="","",IF(AND($N551=Consulta!$C$3,$G551&lt;&gt;"",$G551&gt;=Consulta!$C$4,$G551&lt;=Consulta!$C$5),COUNTIFS($N$6:$N551,Consulta!$C$3,$G$6:$G551,"&gt;="&amp;Consulta!$C$4,$G$6:$G551,"&lt;="&amp;Consulta!$C$5),""))</f>
        <v/>
      </c>
      <c r="K551" s="48" t="str">
        <f aca="false">IF($C551="","",IF(AND($C551=Consulta!$L$3,$G551&lt;&gt;"",$G551&gt;=Consulta!$L$4,$G551&lt;=Consulta!$L$5),COUNTIFS($C$6:$C551,Consulta!$L$3,$G$6:$G551,"&gt;="&amp;Consulta!$L$4,$G$6:$G551,"&lt;="&amp;Consulta!$L$5),""))</f>
        <v/>
      </c>
      <c r="L551" s="48" t="str">
        <f aca="false">IF($D551="","",IF($D551=Consulta!$S$3,COUNTIF($D$6:$D551,Consulta!$S$3),""))</f>
        <v/>
      </c>
      <c r="M551" s="48" t="str">
        <f aca="false">IF($N551="","",IF(AND($N551='Comprovante DEV'!$D$6,$G551='Comprovante DEV'!$D$7),COUNTIFS($N$6:$N551,'Comprovante DEV'!$D$6,$G$6:$G551,'Comprovante DEV'!$D$7),""))</f>
        <v/>
      </c>
      <c r="N551" s="48" t="str">
        <f aca="false">IF($F551="","",IFERROR(VLOOKUP($F551,Apelidos_Tecnico!$A:$B,2,0),$F551))</f>
        <v/>
      </c>
    </row>
    <row r="552" customFormat="false" ht="15" hidden="false" customHeight="false" outlineLevel="0" collapsed="false">
      <c r="A552" s="25"/>
      <c r="B552" s="25"/>
      <c r="C552" s="26"/>
      <c r="D552" s="25"/>
      <c r="E552" s="25"/>
      <c r="F552" s="25"/>
      <c r="G552" s="27"/>
      <c r="H552" s="25"/>
      <c r="I552" s="26"/>
      <c r="J552" s="48" t="str">
        <f aca="false">IF($N552="","",IF(AND($N552=Consulta!$C$3,$G552&lt;&gt;"",$G552&gt;=Consulta!$C$4,$G552&lt;=Consulta!$C$5),COUNTIFS($N$6:$N552,Consulta!$C$3,$G$6:$G552,"&gt;="&amp;Consulta!$C$4,$G$6:$G552,"&lt;="&amp;Consulta!$C$5),""))</f>
        <v/>
      </c>
      <c r="K552" s="48" t="str">
        <f aca="false">IF($C552="","",IF(AND($C552=Consulta!$L$3,$G552&lt;&gt;"",$G552&gt;=Consulta!$L$4,$G552&lt;=Consulta!$L$5),COUNTIFS($C$6:$C552,Consulta!$L$3,$G$6:$G552,"&gt;="&amp;Consulta!$L$4,$G$6:$G552,"&lt;="&amp;Consulta!$L$5),""))</f>
        <v/>
      </c>
      <c r="L552" s="48" t="str">
        <f aca="false">IF($D552="","",IF($D552=Consulta!$S$3,COUNTIF($D$6:$D552,Consulta!$S$3),""))</f>
        <v/>
      </c>
      <c r="M552" s="48" t="str">
        <f aca="false">IF($N552="","",IF(AND($N552='Comprovante DEV'!$D$6,$G552='Comprovante DEV'!$D$7),COUNTIFS($N$6:$N552,'Comprovante DEV'!$D$6,$G$6:$G552,'Comprovante DEV'!$D$7),""))</f>
        <v/>
      </c>
      <c r="N552" s="48" t="str">
        <f aca="false">IF($F552="","",IFERROR(VLOOKUP($F552,Apelidos_Tecnico!$A:$B,2,0),$F552))</f>
        <v/>
      </c>
    </row>
    <row r="553" customFormat="false" ht="15" hidden="false" customHeight="false" outlineLevel="0" collapsed="false">
      <c r="A553" s="25"/>
      <c r="B553" s="25"/>
      <c r="C553" s="26"/>
      <c r="D553" s="25"/>
      <c r="E553" s="25"/>
      <c r="F553" s="25"/>
      <c r="G553" s="27"/>
      <c r="H553" s="25"/>
      <c r="I553" s="26"/>
      <c r="J553" s="48" t="str">
        <f aca="false">IF($N553="","",IF(AND($N553=Consulta!$C$3,$G553&lt;&gt;"",$G553&gt;=Consulta!$C$4,$G553&lt;=Consulta!$C$5),COUNTIFS($N$6:$N553,Consulta!$C$3,$G$6:$G553,"&gt;="&amp;Consulta!$C$4,$G$6:$G553,"&lt;="&amp;Consulta!$C$5),""))</f>
        <v/>
      </c>
      <c r="K553" s="48" t="str">
        <f aca="false">IF($C553="","",IF(AND($C553=Consulta!$L$3,$G553&lt;&gt;"",$G553&gt;=Consulta!$L$4,$G553&lt;=Consulta!$L$5),COUNTIFS($C$6:$C553,Consulta!$L$3,$G$6:$G553,"&gt;="&amp;Consulta!$L$4,$G$6:$G553,"&lt;="&amp;Consulta!$L$5),""))</f>
        <v/>
      </c>
      <c r="L553" s="48" t="str">
        <f aca="false">IF($D553="","",IF($D553=Consulta!$S$3,COUNTIF($D$6:$D553,Consulta!$S$3),""))</f>
        <v/>
      </c>
      <c r="M553" s="48" t="str">
        <f aca="false">IF($N553="","",IF(AND($N553='Comprovante DEV'!$D$6,$G553='Comprovante DEV'!$D$7),COUNTIFS($N$6:$N553,'Comprovante DEV'!$D$6,$G$6:$G553,'Comprovante DEV'!$D$7),""))</f>
        <v/>
      </c>
      <c r="N553" s="48" t="str">
        <f aca="false">IF($F553="","",IFERROR(VLOOKUP($F553,Apelidos_Tecnico!$A:$B,2,0),$F553))</f>
        <v/>
      </c>
    </row>
    <row r="554" customFormat="false" ht="15" hidden="false" customHeight="false" outlineLevel="0" collapsed="false">
      <c r="A554" s="25"/>
      <c r="B554" s="25"/>
      <c r="C554" s="26"/>
      <c r="D554" s="25"/>
      <c r="E554" s="25"/>
      <c r="F554" s="25"/>
      <c r="G554" s="27"/>
      <c r="H554" s="25"/>
      <c r="I554" s="26"/>
      <c r="J554" s="48" t="str">
        <f aca="false">IF($N554="","",IF(AND($N554=Consulta!$C$3,$G554&lt;&gt;"",$G554&gt;=Consulta!$C$4,$G554&lt;=Consulta!$C$5),COUNTIFS($N$6:$N554,Consulta!$C$3,$G$6:$G554,"&gt;="&amp;Consulta!$C$4,$G$6:$G554,"&lt;="&amp;Consulta!$C$5),""))</f>
        <v/>
      </c>
      <c r="K554" s="48" t="str">
        <f aca="false">IF($C554="","",IF(AND($C554=Consulta!$L$3,$G554&lt;&gt;"",$G554&gt;=Consulta!$L$4,$G554&lt;=Consulta!$L$5),COUNTIFS($C$6:$C554,Consulta!$L$3,$G$6:$G554,"&gt;="&amp;Consulta!$L$4,$G$6:$G554,"&lt;="&amp;Consulta!$L$5),""))</f>
        <v/>
      </c>
      <c r="L554" s="48" t="str">
        <f aca="false">IF($D554="","",IF($D554=Consulta!$S$3,COUNTIF($D$6:$D554,Consulta!$S$3),""))</f>
        <v/>
      </c>
      <c r="M554" s="48" t="str">
        <f aca="false">IF($N554="","",IF(AND($N554='Comprovante DEV'!$D$6,$G554='Comprovante DEV'!$D$7),COUNTIFS($N$6:$N554,'Comprovante DEV'!$D$6,$G$6:$G554,'Comprovante DEV'!$D$7),""))</f>
        <v/>
      </c>
      <c r="N554" s="48" t="str">
        <f aca="false">IF($F554="","",IFERROR(VLOOKUP($F554,Apelidos_Tecnico!$A:$B,2,0),$F554))</f>
        <v/>
      </c>
    </row>
    <row r="555" customFormat="false" ht="15" hidden="false" customHeight="false" outlineLevel="0" collapsed="false">
      <c r="A555" s="25"/>
      <c r="B555" s="25"/>
      <c r="C555" s="26"/>
      <c r="D555" s="25"/>
      <c r="E555" s="25"/>
      <c r="F555" s="25"/>
      <c r="G555" s="27"/>
      <c r="H555" s="25"/>
      <c r="I555" s="26"/>
      <c r="J555" s="48" t="str">
        <f aca="false">IF($N555="","",IF(AND($N555=Consulta!$C$3,$G555&lt;&gt;"",$G555&gt;=Consulta!$C$4,$G555&lt;=Consulta!$C$5),COUNTIFS($N$6:$N555,Consulta!$C$3,$G$6:$G555,"&gt;="&amp;Consulta!$C$4,$G$6:$G555,"&lt;="&amp;Consulta!$C$5),""))</f>
        <v/>
      </c>
      <c r="K555" s="48" t="str">
        <f aca="false">IF($C555="","",IF(AND($C555=Consulta!$L$3,$G555&lt;&gt;"",$G555&gt;=Consulta!$L$4,$G555&lt;=Consulta!$L$5),COUNTIFS($C$6:$C555,Consulta!$L$3,$G$6:$G555,"&gt;="&amp;Consulta!$L$4,$G$6:$G555,"&lt;="&amp;Consulta!$L$5),""))</f>
        <v/>
      </c>
      <c r="L555" s="48" t="str">
        <f aca="false">IF($D555="","",IF($D555=Consulta!$S$3,COUNTIF($D$6:$D555,Consulta!$S$3),""))</f>
        <v/>
      </c>
      <c r="M555" s="48" t="str">
        <f aca="false">IF($N555="","",IF(AND($N555='Comprovante DEV'!$D$6,$G555='Comprovante DEV'!$D$7),COUNTIFS($N$6:$N555,'Comprovante DEV'!$D$6,$G$6:$G555,'Comprovante DEV'!$D$7),""))</f>
        <v/>
      </c>
      <c r="N555" s="48" t="str">
        <f aca="false">IF($F555="","",IFERROR(VLOOKUP($F555,Apelidos_Tecnico!$A:$B,2,0),$F555))</f>
        <v/>
      </c>
    </row>
    <row r="556" customFormat="false" ht="15" hidden="false" customHeight="false" outlineLevel="0" collapsed="false">
      <c r="A556" s="25"/>
      <c r="B556" s="25"/>
      <c r="C556" s="26"/>
      <c r="D556" s="25"/>
      <c r="E556" s="25"/>
      <c r="F556" s="25"/>
      <c r="G556" s="27"/>
      <c r="H556" s="25"/>
      <c r="I556" s="26"/>
      <c r="J556" s="48" t="str">
        <f aca="false">IF($N556="","",IF(AND($N556=Consulta!$C$3,$G556&lt;&gt;"",$G556&gt;=Consulta!$C$4,$G556&lt;=Consulta!$C$5),COUNTIFS($N$6:$N556,Consulta!$C$3,$G$6:$G556,"&gt;="&amp;Consulta!$C$4,$G$6:$G556,"&lt;="&amp;Consulta!$C$5),""))</f>
        <v/>
      </c>
      <c r="K556" s="48" t="str">
        <f aca="false">IF($C556="","",IF(AND($C556=Consulta!$L$3,$G556&lt;&gt;"",$G556&gt;=Consulta!$L$4,$G556&lt;=Consulta!$L$5),COUNTIFS($C$6:$C556,Consulta!$L$3,$G$6:$G556,"&gt;="&amp;Consulta!$L$4,$G$6:$G556,"&lt;="&amp;Consulta!$L$5),""))</f>
        <v/>
      </c>
      <c r="L556" s="48" t="str">
        <f aca="false">IF($D556="","",IF($D556=Consulta!$S$3,COUNTIF($D$6:$D556,Consulta!$S$3),""))</f>
        <v/>
      </c>
      <c r="M556" s="48" t="str">
        <f aca="false">IF($N556="","",IF(AND($N556='Comprovante DEV'!$D$6,$G556='Comprovante DEV'!$D$7),COUNTIFS($N$6:$N556,'Comprovante DEV'!$D$6,$G$6:$G556,'Comprovante DEV'!$D$7),""))</f>
        <v/>
      </c>
      <c r="N556" s="48" t="str">
        <f aca="false">IF($F556="","",IFERROR(VLOOKUP($F556,Apelidos_Tecnico!$A:$B,2,0),$F556))</f>
        <v/>
      </c>
    </row>
    <row r="557" customFormat="false" ht="15" hidden="false" customHeight="false" outlineLevel="0" collapsed="false">
      <c r="A557" s="25"/>
      <c r="B557" s="25"/>
      <c r="C557" s="26"/>
      <c r="D557" s="25"/>
      <c r="E557" s="25"/>
      <c r="F557" s="25"/>
      <c r="G557" s="27"/>
      <c r="H557" s="25"/>
      <c r="I557" s="26"/>
      <c r="J557" s="48" t="str">
        <f aca="false">IF($N557="","",IF(AND($N557=Consulta!$C$3,$G557&lt;&gt;"",$G557&gt;=Consulta!$C$4,$G557&lt;=Consulta!$C$5),COUNTIFS($N$6:$N557,Consulta!$C$3,$G$6:$G557,"&gt;="&amp;Consulta!$C$4,$G$6:$G557,"&lt;="&amp;Consulta!$C$5),""))</f>
        <v/>
      </c>
      <c r="K557" s="48" t="str">
        <f aca="false">IF($C557="","",IF(AND($C557=Consulta!$L$3,$G557&lt;&gt;"",$G557&gt;=Consulta!$L$4,$G557&lt;=Consulta!$L$5),COUNTIFS($C$6:$C557,Consulta!$L$3,$G$6:$G557,"&gt;="&amp;Consulta!$L$4,$G$6:$G557,"&lt;="&amp;Consulta!$L$5),""))</f>
        <v/>
      </c>
      <c r="L557" s="48" t="str">
        <f aca="false">IF($D557="","",IF($D557=Consulta!$S$3,COUNTIF($D$6:$D557,Consulta!$S$3),""))</f>
        <v/>
      </c>
      <c r="M557" s="48" t="str">
        <f aca="false">IF($N557="","",IF(AND($N557='Comprovante DEV'!$D$6,$G557='Comprovante DEV'!$D$7),COUNTIFS($N$6:$N557,'Comprovante DEV'!$D$6,$G$6:$G557,'Comprovante DEV'!$D$7),""))</f>
        <v/>
      </c>
      <c r="N557" s="48" t="str">
        <f aca="false">IF($F557="","",IFERROR(VLOOKUP($F557,Apelidos_Tecnico!$A:$B,2,0),$F557))</f>
        <v/>
      </c>
    </row>
    <row r="558" customFormat="false" ht="15" hidden="false" customHeight="false" outlineLevel="0" collapsed="false">
      <c r="A558" s="25"/>
      <c r="B558" s="25"/>
      <c r="C558" s="26"/>
      <c r="D558" s="25"/>
      <c r="E558" s="25"/>
      <c r="F558" s="25"/>
      <c r="G558" s="27"/>
      <c r="H558" s="25"/>
      <c r="I558" s="26"/>
      <c r="J558" s="48" t="str">
        <f aca="false">IF($N558="","",IF(AND($N558=Consulta!$C$3,$G558&lt;&gt;"",$G558&gt;=Consulta!$C$4,$G558&lt;=Consulta!$C$5),COUNTIFS($N$6:$N558,Consulta!$C$3,$G$6:$G558,"&gt;="&amp;Consulta!$C$4,$G$6:$G558,"&lt;="&amp;Consulta!$C$5),""))</f>
        <v/>
      </c>
      <c r="K558" s="48" t="str">
        <f aca="false">IF($C558="","",IF(AND($C558=Consulta!$L$3,$G558&lt;&gt;"",$G558&gt;=Consulta!$L$4,$G558&lt;=Consulta!$L$5),COUNTIFS($C$6:$C558,Consulta!$L$3,$G$6:$G558,"&gt;="&amp;Consulta!$L$4,$G$6:$G558,"&lt;="&amp;Consulta!$L$5),""))</f>
        <v/>
      </c>
      <c r="L558" s="48" t="str">
        <f aca="false">IF($D558="","",IF($D558=Consulta!$S$3,COUNTIF($D$6:$D558,Consulta!$S$3),""))</f>
        <v/>
      </c>
      <c r="M558" s="48" t="str">
        <f aca="false">IF($N558="","",IF(AND($N558='Comprovante DEV'!$D$6,$G558='Comprovante DEV'!$D$7),COUNTIFS($N$6:$N558,'Comprovante DEV'!$D$6,$G$6:$G558,'Comprovante DEV'!$D$7),""))</f>
        <v/>
      </c>
      <c r="N558" s="48" t="str">
        <f aca="false">IF($F558="","",IFERROR(VLOOKUP($F558,Apelidos_Tecnico!$A:$B,2,0),$F558))</f>
        <v/>
      </c>
    </row>
    <row r="559" customFormat="false" ht="15" hidden="false" customHeight="false" outlineLevel="0" collapsed="false">
      <c r="A559" s="25"/>
      <c r="B559" s="25"/>
      <c r="C559" s="26"/>
      <c r="D559" s="25"/>
      <c r="E559" s="25"/>
      <c r="F559" s="25"/>
      <c r="G559" s="27"/>
      <c r="H559" s="25"/>
      <c r="I559" s="26"/>
      <c r="J559" s="48" t="str">
        <f aca="false">IF($N559="","",IF(AND($N559=Consulta!$C$3,$G559&lt;&gt;"",$G559&gt;=Consulta!$C$4,$G559&lt;=Consulta!$C$5),COUNTIFS($N$6:$N559,Consulta!$C$3,$G$6:$G559,"&gt;="&amp;Consulta!$C$4,$G$6:$G559,"&lt;="&amp;Consulta!$C$5),""))</f>
        <v/>
      </c>
      <c r="K559" s="48" t="str">
        <f aca="false">IF($C559="","",IF(AND($C559=Consulta!$L$3,$G559&lt;&gt;"",$G559&gt;=Consulta!$L$4,$G559&lt;=Consulta!$L$5),COUNTIFS($C$6:$C559,Consulta!$L$3,$G$6:$G559,"&gt;="&amp;Consulta!$L$4,$G$6:$G559,"&lt;="&amp;Consulta!$L$5),""))</f>
        <v/>
      </c>
      <c r="L559" s="48" t="str">
        <f aca="false">IF($D559="","",IF($D559=Consulta!$S$3,COUNTIF($D$6:$D559,Consulta!$S$3),""))</f>
        <v/>
      </c>
      <c r="M559" s="48" t="str">
        <f aca="false">IF($N559="","",IF(AND($N559='Comprovante DEV'!$D$6,$G559='Comprovante DEV'!$D$7),COUNTIFS($N$6:$N559,'Comprovante DEV'!$D$6,$G$6:$G559,'Comprovante DEV'!$D$7),""))</f>
        <v/>
      </c>
      <c r="N559" s="48" t="str">
        <f aca="false">IF($F559="","",IFERROR(VLOOKUP($F559,Apelidos_Tecnico!$A:$B,2,0),$F559))</f>
        <v/>
      </c>
    </row>
    <row r="560" customFormat="false" ht="15" hidden="false" customHeight="false" outlineLevel="0" collapsed="false">
      <c r="A560" s="25"/>
      <c r="B560" s="25"/>
      <c r="C560" s="26"/>
      <c r="D560" s="25"/>
      <c r="E560" s="25"/>
      <c r="F560" s="25"/>
      <c r="G560" s="27"/>
      <c r="H560" s="25"/>
      <c r="I560" s="26"/>
      <c r="J560" s="48" t="str">
        <f aca="false">IF($N560="","",IF(AND($N560=Consulta!$C$3,$G560&lt;&gt;"",$G560&gt;=Consulta!$C$4,$G560&lt;=Consulta!$C$5),COUNTIFS($N$6:$N560,Consulta!$C$3,$G$6:$G560,"&gt;="&amp;Consulta!$C$4,$G$6:$G560,"&lt;="&amp;Consulta!$C$5),""))</f>
        <v/>
      </c>
      <c r="K560" s="48" t="str">
        <f aca="false">IF($C560="","",IF(AND($C560=Consulta!$L$3,$G560&lt;&gt;"",$G560&gt;=Consulta!$L$4,$G560&lt;=Consulta!$L$5),COUNTIFS($C$6:$C560,Consulta!$L$3,$G$6:$G560,"&gt;="&amp;Consulta!$L$4,$G$6:$G560,"&lt;="&amp;Consulta!$L$5),""))</f>
        <v/>
      </c>
      <c r="L560" s="48" t="str">
        <f aca="false">IF($D560="","",IF($D560=Consulta!$S$3,COUNTIF($D$6:$D560,Consulta!$S$3),""))</f>
        <v/>
      </c>
      <c r="M560" s="48" t="str">
        <f aca="false">IF($N560="","",IF(AND($N560='Comprovante DEV'!$D$6,$G560='Comprovante DEV'!$D$7),COUNTIFS($N$6:$N560,'Comprovante DEV'!$D$6,$G$6:$G560,'Comprovante DEV'!$D$7),""))</f>
        <v/>
      </c>
      <c r="N560" s="48" t="str">
        <f aca="false">IF($F560="","",IFERROR(VLOOKUP($F560,Apelidos_Tecnico!$A:$B,2,0),$F560))</f>
        <v/>
      </c>
    </row>
    <row r="561" customFormat="false" ht="15" hidden="false" customHeight="false" outlineLevel="0" collapsed="false">
      <c r="A561" s="25"/>
      <c r="B561" s="25"/>
      <c r="C561" s="26"/>
      <c r="D561" s="25"/>
      <c r="E561" s="25"/>
      <c r="F561" s="25"/>
      <c r="G561" s="27"/>
      <c r="H561" s="25"/>
      <c r="I561" s="26"/>
      <c r="J561" s="48" t="str">
        <f aca="false">IF($N561="","",IF(AND($N561=Consulta!$C$3,$G561&lt;&gt;"",$G561&gt;=Consulta!$C$4,$G561&lt;=Consulta!$C$5),COUNTIFS($N$6:$N561,Consulta!$C$3,$G$6:$G561,"&gt;="&amp;Consulta!$C$4,$G$6:$G561,"&lt;="&amp;Consulta!$C$5),""))</f>
        <v/>
      </c>
      <c r="K561" s="48" t="str">
        <f aca="false">IF($C561="","",IF(AND($C561=Consulta!$L$3,$G561&lt;&gt;"",$G561&gt;=Consulta!$L$4,$G561&lt;=Consulta!$L$5),COUNTIFS($C$6:$C561,Consulta!$L$3,$G$6:$G561,"&gt;="&amp;Consulta!$L$4,$G$6:$G561,"&lt;="&amp;Consulta!$L$5),""))</f>
        <v/>
      </c>
      <c r="L561" s="48" t="str">
        <f aca="false">IF($D561="","",IF($D561=Consulta!$S$3,COUNTIF($D$6:$D561,Consulta!$S$3),""))</f>
        <v/>
      </c>
      <c r="M561" s="48" t="str">
        <f aca="false">IF($N561="","",IF(AND($N561='Comprovante DEV'!$D$6,$G561='Comprovante DEV'!$D$7),COUNTIFS($N$6:$N561,'Comprovante DEV'!$D$6,$G$6:$G561,'Comprovante DEV'!$D$7),""))</f>
        <v/>
      </c>
      <c r="N561" s="48" t="str">
        <f aca="false">IF($F561="","",IFERROR(VLOOKUP($F561,Apelidos_Tecnico!$A:$B,2,0),$F561))</f>
        <v/>
      </c>
    </row>
    <row r="562" customFormat="false" ht="15" hidden="false" customHeight="false" outlineLevel="0" collapsed="false">
      <c r="A562" s="25"/>
      <c r="B562" s="25"/>
      <c r="C562" s="26"/>
      <c r="D562" s="25"/>
      <c r="E562" s="25"/>
      <c r="F562" s="25"/>
      <c r="G562" s="27"/>
      <c r="H562" s="25"/>
      <c r="I562" s="26"/>
      <c r="J562" s="48" t="str">
        <f aca="false">IF($N562="","",IF(AND($N562=Consulta!$C$3,$G562&lt;&gt;"",$G562&gt;=Consulta!$C$4,$G562&lt;=Consulta!$C$5),COUNTIFS($N$6:$N562,Consulta!$C$3,$G$6:$G562,"&gt;="&amp;Consulta!$C$4,$G$6:$G562,"&lt;="&amp;Consulta!$C$5),""))</f>
        <v/>
      </c>
      <c r="K562" s="48" t="str">
        <f aca="false">IF($C562="","",IF(AND($C562=Consulta!$L$3,$G562&lt;&gt;"",$G562&gt;=Consulta!$L$4,$G562&lt;=Consulta!$L$5),COUNTIFS($C$6:$C562,Consulta!$L$3,$G$6:$G562,"&gt;="&amp;Consulta!$L$4,$G$6:$G562,"&lt;="&amp;Consulta!$L$5),""))</f>
        <v/>
      </c>
      <c r="L562" s="48" t="str">
        <f aca="false">IF($D562="","",IF($D562=Consulta!$S$3,COUNTIF($D$6:$D562,Consulta!$S$3),""))</f>
        <v/>
      </c>
      <c r="M562" s="48" t="str">
        <f aca="false">IF($N562="","",IF(AND($N562='Comprovante DEV'!$D$6,$G562='Comprovante DEV'!$D$7),COUNTIFS($N$6:$N562,'Comprovante DEV'!$D$6,$G$6:$G562,'Comprovante DEV'!$D$7),""))</f>
        <v/>
      </c>
      <c r="N562" s="48" t="str">
        <f aca="false">IF($F562="","",IFERROR(VLOOKUP($F562,Apelidos_Tecnico!$A:$B,2,0),$F562))</f>
        <v/>
      </c>
    </row>
    <row r="563" customFormat="false" ht="15" hidden="false" customHeight="false" outlineLevel="0" collapsed="false">
      <c r="A563" s="25"/>
      <c r="B563" s="25"/>
      <c r="C563" s="26"/>
      <c r="D563" s="25"/>
      <c r="E563" s="25"/>
      <c r="F563" s="25"/>
      <c r="G563" s="27"/>
      <c r="H563" s="25"/>
      <c r="I563" s="26"/>
      <c r="J563" s="48" t="str">
        <f aca="false">IF($N563="","",IF(AND($N563=Consulta!$C$3,$G563&lt;&gt;"",$G563&gt;=Consulta!$C$4,$G563&lt;=Consulta!$C$5),COUNTIFS($N$6:$N563,Consulta!$C$3,$G$6:$G563,"&gt;="&amp;Consulta!$C$4,$G$6:$G563,"&lt;="&amp;Consulta!$C$5),""))</f>
        <v/>
      </c>
      <c r="K563" s="48" t="str">
        <f aca="false">IF($C563="","",IF(AND($C563=Consulta!$L$3,$G563&lt;&gt;"",$G563&gt;=Consulta!$L$4,$G563&lt;=Consulta!$L$5),COUNTIFS($C$6:$C563,Consulta!$L$3,$G$6:$G563,"&gt;="&amp;Consulta!$L$4,$G$6:$G563,"&lt;="&amp;Consulta!$L$5),""))</f>
        <v/>
      </c>
      <c r="L563" s="48" t="str">
        <f aca="false">IF($D563="","",IF($D563=Consulta!$S$3,COUNTIF($D$6:$D563,Consulta!$S$3),""))</f>
        <v/>
      </c>
      <c r="M563" s="48" t="str">
        <f aca="false">IF($N563="","",IF(AND($N563='Comprovante DEV'!$D$6,$G563='Comprovante DEV'!$D$7),COUNTIFS($N$6:$N563,'Comprovante DEV'!$D$6,$G$6:$G563,'Comprovante DEV'!$D$7),""))</f>
        <v/>
      </c>
      <c r="N563" s="48" t="str">
        <f aca="false">IF($F563="","",IFERROR(VLOOKUP($F563,Apelidos_Tecnico!$A:$B,2,0),$F563))</f>
        <v/>
      </c>
    </row>
    <row r="564" customFormat="false" ht="15" hidden="false" customHeight="false" outlineLevel="0" collapsed="false">
      <c r="A564" s="25"/>
      <c r="B564" s="25"/>
      <c r="C564" s="26"/>
      <c r="D564" s="25"/>
      <c r="E564" s="25"/>
      <c r="F564" s="25"/>
      <c r="G564" s="27"/>
      <c r="H564" s="25"/>
      <c r="I564" s="26"/>
      <c r="J564" s="48" t="str">
        <f aca="false">IF($N564="","",IF(AND($N564=Consulta!$C$3,$G564&lt;&gt;"",$G564&gt;=Consulta!$C$4,$G564&lt;=Consulta!$C$5),COUNTIFS($N$6:$N564,Consulta!$C$3,$G$6:$G564,"&gt;="&amp;Consulta!$C$4,$G$6:$G564,"&lt;="&amp;Consulta!$C$5),""))</f>
        <v/>
      </c>
      <c r="K564" s="48" t="str">
        <f aca="false">IF($C564="","",IF(AND($C564=Consulta!$L$3,$G564&lt;&gt;"",$G564&gt;=Consulta!$L$4,$G564&lt;=Consulta!$L$5),COUNTIFS($C$6:$C564,Consulta!$L$3,$G$6:$G564,"&gt;="&amp;Consulta!$L$4,$G$6:$G564,"&lt;="&amp;Consulta!$L$5),""))</f>
        <v/>
      </c>
      <c r="L564" s="48" t="str">
        <f aca="false">IF($D564="","",IF($D564=Consulta!$S$3,COUNTIF($D$6:$D564,Consulta!$S$3),""))</f>
        <v/>
      </c>
      <c r="M564" s="48" t="str">
        <f aca="false">IF($N564="","",IF(AND($N564='Comprovante DEV'!$D$6,$G564='Comprovante DEV'!$D$7),COUNTIFS($N$6:$N564,'Comprovante DEV'!$D$6,$G$6:$G564,'Comprovante DEV'!$D$7),""))</f>
        <v/>
      </c>
      <c r="N564" s="48" t="str">
        <f aca="false">IF($F564="","",IFERROR(VLOOKUP($F564,Apelidos_Tecnico!$A:$B,2,0),$F564))</f>
        <v/>
      </c>
    </row>
    <row r="565" customFormat="false" ht="15" hidden="false" customHeight="false" outlineLevel="0" collapsed="false">
      <c r="A565" s="25"/>
      <c r="B565" s="25"/>
      <c r="C565" s="26"/>
      <c r="D565" s="25"/>
      <c r="E565" s="25"/>
      <c r="F565" s="25"/>
      <c r="G565" s="27"/>
      <c r="H565" s="25"/>
      <c r="I565" s="26"/>
      <c r="J565" s="48" t="str">
        <f aca="false">IF($N565="","",IF(AND($N565=Consulta!$C$3,$G565&lt;&gt;"",$G565&gt;=Consulta!$C$4,$G565&lt;=Consulta!$C$5),COUNTIFS($N$6:$N565,Consulta!$C$3,$G$6:$G565,"&gt;="&amp;Consulta!$C$4,$G$6:$G565,"&lt;="&amp;Consulta!$C$5),""))</f>
        <v/>
      </c>
      <c r="K565" s="48" t="str">
        <f aca="false">IF($C565="","",IF(AND($C565=Consulta!$L$3,$G565&lt;&gt;"",$G565&gt;=Consulta!$L$4,$G565&lt;=Consulta!$L$5),COUNTIFS($C$6:$C565,Consulta!$L$3,$G$6:$G565,"&gt;="&amp;Consulta!$L$4,$G$6:$G565,"&lt;="&amp;Consulta!$L$5),""))</f>
        <v/>
      </c>
      <c r="L565" s="48" t="str">
        <f aca="false">IF($D565="","",IF($D565=Consulta!$S$3,COUNTIF($D$6:$D565,Consulta!$S$3),""))</f>
        <v/>
      </c>
      <c r="M565" s="48" t="str">
        <f aca="false">IF($N565="","",IF(AND($N565='Comprovante DEV'!$D$6,$G565='Comprovante DEV'!$D$7),COUNTIFS($N$6:$N565,'Comprovante DEV'!$D$6,$G$6:$G565,'Comprovante DEV'!$D$7),""))</f>
        <v/>
      </c>
      <c r="N565" s="48" t="str">
        <f aca="false">IF($F565="","",IFERROR(VLOOKUP($F565,Apelidos_Tecnico!$A:$B,2,0),$F565))</f>
        <v/>
      </c>
    </row>
    <row r="566" customFormat="false" ht="15" hidden="false" customHeight="false" outlineLevel="0" collapsed="false">
      <c r="A566" s="25"/>
      <c r="B566" s="25"/>
      <c r="C566" s="26"/>
      <c r="D566" s="25"/>
      <c r="E566" s="25"/>
      <c r="F566" s="25"/>
      <c r="G566" s="27"/>
      <c r="H566" s="25"/>
      <c r="I566" s="26"/>
      <c r="J566" s="48" t="str">
        <f aca="false">IF($N566="","",IF(AND($N566=Consulta!$C$3,$G566&lt;&gt;"",$G566&gt;=Consulta!$C$4,$G566&lt;=Consulta!$C$5),COUNTIFS($N$6:$N566,Consulta!$C$3,$G$6:$G566,"&gt;="&amp;Consulta!$C$4,$G$6:$G566,"&lt;="&amp;Consulta!$C$5),""))</f>
        <v/>
      </c>
      <c r="K566" s="48" t="str">
        <f aca="false">IF($C566="","",IF(AND($C566=Consulta!$L$3,$G566&lt;&gt;"",$G566&gt;=Consulta!$L$4,$G566&lt;=Consulta!$L$5),COUNTIFS($C$6:$C566,Consulta!$L$3,$G$6:$G566,"&gt;="&amp;Consulta!$L$4,$G$6:$G566,"&lt;="&amp;Consulta!$L$5),""))</f>
        <v/>
      </c>
      <c r="L566" s="48" t="str">
        <f aca="false">IF($D566="","",IF($D566=Consulta!$S$3,COUNTIF($D$6:$D566,Consulta!$S$3),""))</f>
        <v/>
      </c>
      <c r="M566" s="48" t="str">
        <f aca="false">IF($N566="","",IF(AND($N566='Comprovante DEV'!$D$6,$G566='Comprovante DEV'!$D$7),COUNTIFS($N$6:$N566,'Comprovante DEV'!$D$6,$G$6:$G566,'Comprovante DEV'!$D$7),""))</f>
        <v/>
      </c>
      <c r="N566" s="48" t="str">
        <f aca="false">IF($F566="","",IFERROR(VLOOKUP($F566,Apelidos_Tecnico!$A:$B,2,0),$F566))</f>
        <v/>
      </c>
    </row>
    <row r="567" customFormat="false" ht="15" hidden="false" customHeight="false" outlineLevel="0" collapsed="false">
      <c r="A567" s="25"/>
      <c r="B567" s="25"/>
      <c r="C567" s="26"/>
      <c r="D567" s="25"/>
      <c r="E567" s="25"/>
      <c r="F567" s="25"/>
      <c r="G567" s="27"/>
      <c r="H567" s="25"/>
      <c r="I567" s="26"/>
      <c r="J567" s="48" t="str">
        <f aca="false">IF($N567="","",IF(AND($N567=Consulta!$C$3,$G567&lt;&gt;"",$G567&gt;=Consulta!$C$4,$G567&lt;=Consulta!$C$5),COUNTIFS($N$6:$N567,Consulta!$C$3,$G$6:$G567,"&gt;="&amp;Consulta!$C$4,$G$6:$G567,"&lt;="&amp;Consulta!$C$5),""))</f>
        <v/>
      </c>
      <c r="K567" s="48" t="str">
        <f aca="false">IF($C567="","",IF(AND($C567=Consulta!$L$3,$G567&lt;&gt;"",$G567&gt;=Consulta!$L$4,$G567&lt;=Consulta!$L$5),COUNTIFS($C$6:$C567,Consulta!$L$3,$G$6:$G567,"&gt;="&amp;Consulta!$L$4,$G$6:$G567,"&lt;="&amp;Consulta!$L$5),""))</f>
        <v/>
      </c>
      <c r="L567" s="48" t="str">
        <f aca="false">IF($D567="","",IF($D567=Consulta!$S$3,COUNTIF($D$6:$D567,Consulta!$S$3),""))</f>
        <v/>
      </c>
      <c r="M567" s="48" t="str">
        <f aca="false">IF($N567="","",IF(AND($N567='Comprovante DEV'!$D$6,$G567='Comprovante DEV'!$D$7),COUNTIFS($N$6:$N567,'Comprovante DEV'!$D$6,$G$6:$G567,'Comprovante DEV'!$D$7),""))</f>
        <v/>
      </c>
      <c r="N567" s="48" t="str">
        <f aca="false">IF($F567="","",IFERROR(VLOOKUP($F567,Apelidos_Tecnico!$A:$B,2,0),$F567))</f>
        <v/>
      </c>
    </row>
    <row r="568" customFormat="false" ht="15" hidden="false" customHeight="false" outlineLevel="0" collapsed="false">
      <c r="A568" s="25"/>
      <c r="B568" s="25"/>
      <c r="C568" s="26"/>
      <c r="D568" s="25"/>
      <c r="E568" s="25"/>
      <c r="F568" s="25"/>
      <c r="G568" s="27"/>
      <c r="H568" s="25"/>
      <c r="I568" s="26"/>
      <c r="J568" s="48" t="str">
        <f aca="false">IF($N568="","",IF(AND($N568=Consulta!$C$3,$G568&lt;&gt;"",$G568&gt;=Consulta!$C$4,$G568&lt;=Consulta!$C$5),COUNTIFS($N$6:$N568,Consulta!$C$3,$G$6:$G568,"&gt;="&amp;Consulta!$C$4,$G$6:$G568,"&lt;="&amp;Consulta!$C$5),""))</f>
        <v/>
      </c>
      <c r="K568" s="48" t="str">
        <f aca="false">IF($C568="","",IF(AND($C568=Consulta!$L$3,$G568&lt;&gt;"",$G568&gt;=Consulta!$L$4,$G568&lt;=Consulta!$L$5),COUNTIFS($C$6:$C568,Consulta!$L$3,$G$6:$G568,"&gt;="&amp;Consulta!$L$4,$G$6:$G568,"&lt;="&amp;Consulta!$L$5),""))</f>
        <v/>
      </c>
      <c r="L568" s="48" t="str">
        <f aca="false">IF($D568="","",IF($D568=Consulta!$S$3,COUNTIF($D$6:$D568,Consulta!$S$3),""))</f>
        <v/>
      </c>
      <c r="M568" s="48" t="str">
        <f aca="false">IF($N568="","",IF(AND($N568='Comprovante DEV'!$D$6,$G568='Comprovante DEV'!$D$7),COUNTIFS($N$6:$N568,'Comprovante DEV'!$D$6,$G$6:$G568,'Comprovante DEV'!$D$7),""))</f>
        <v/>
      </c>
      <c r="N568" s="48" t="str">
        <f aca="false">IF($F568="","",IFERROR(VLOOKUP($F568,Apelidos_Tecnico!$A:$B,2,0),$F568))</f>
        <v/>
      </c>
    </row>
    <row r="569" customFormat="false" ht="15" hidden="false" customHeight="false" outlineLevel="0" collapsed="false">
      <c r="A569" s="25"/>
      <c r="B569" s="25"/>
      <c r="C569" s="26"/>
      <c r="D569" s="25"/>
      <c r="E569" s="25"/>
      <c r="F569" s="25"/>
      <c r="G569" s="27"/>
      <c r="H569" s="25"/>
      <c r="I569" s="26"/>
      <c r="J569" s="48" t="str">
        <f aca="false">IF($N569="","",IF(AND($N569=Consulta!$C$3,$G569&lt;&gt;"",$G569&gt;=Consulta!$C$4,$G569&lt;=Consulta!$C$5),COUNTIFS($N$6:$N569,Consulta!$C$3,$G$6:$G569,"&gt;="&amp;Consulta!$C$4,$G$6:$G569,"&lt;="&amp;Consulta!$C$5),""))</f>
        <v/>
      </c>
      <c r="K569" s="48" t="str">
        <f aca="false">IF($C569="","",IF(AND($C569=Consulta!$L$3,$G569&lt;&gt;"",$G569&gt;=Consulta!$L$4,$G569&lt;=Consulta!$L$5),COUNTIFS($C$6:$C569,Consulta!$L$3,$G$6:$G569,"&gt;="&amp;Consulta!$L$4,$G$6:$G569,"&lt;="&amp;Consulta!$L$5),""))</f>
        <v/>
      </c>
      <c r="L569" s="48" t="str">
        <f aca="false">IF($D569="","",IF($D569=Consulta!$S$3,COUNTIF($D$6:$D569,Consulta!$S$3),""))</f>
        <v/>
      </c>
      <c r="M569" s="48" t="str">
        <f aca="false">IF($N569="","",IF(AND($N569='Comprovante DEV'!$D$6,$G569='Comprovante DEV'!$D$7),COUNTIFS($N$6:$N569,'Comprovante DEV'!$D$6,$G$6:$G569,'Comprovante DEV'!$D$7),""))</f>
        <v/>
      </c>
      <c r="N569" s="48" t="str">
        <f aca="false">IF($F569="","",IFERROR(VLOOKUP($F569,Apelidos_Tecnico!$A:$B,2,0),$F569))</f>
        <v/>
      </c>
    </row>
    <row r="570" customFormat="false" ht="15" hidden="false" customHeight="false" outlineLevel="0" collapsed="false">
      <c r="A570" s="25"/>
      <c r="B570" s="25"/>
      <c r="C570" s="26"/>
      <c r="D570" s="25"/>
      <c r="E570" s="25"/>
      <c r="F570" s="25"/>
      <c r="G570" s="27"/>
      <c r="H570" s="25"/>
      <c r="I570" s="26"/>
      <c r="J570" s="48" t="str">
        <f aca="false">IF($N570="","",IF(AND($N570=Consulta!$C$3,$G570&lt;&gt;"",$G570&gt;=Consulta!$C$4,$G570&lt;=Consulta!$C$5),COUNTIFS($N$6:$N570,Consulta!$C$3,$G$6:$G570,"&gt;="&amp;Consulta!$C$4,$G$6:$G570,"&lt;="&amp;Consulta!$C$5),""))</f>
        <v/>
      </c>
      <c r="K570" s="48" t="str">
        <f aca="false">IF($C570="","",IF(AND($C570=Consulta!$L$3,$G570&lt;&gt;"",$G570&gt;=Consulta!$L$4,$G570&lt;=Consulta!$L$5),COUNTIFS($C$6:$C570,Consulta!$L$3,$G$6:$G570,"&gt;="&amp;Consulta!$L$4,$G$6:$G570,"&lt;="&amp;Consulta!$L$5),""))</f>
        <v/>
      </c>
      <c r="L570" s="48" t="str">
        <f aca="false">IF($D570="","",IF($D570=Consulta!$S$3,COUNTIF($D$6:$D570,Consulta!$S$3),""))</f>
        <v/>
      </c>
      <c r="M570" s="48" t="str">
        <f aca="false">IF($N570="","",IF(AND($N570='Comprovante DEV'!$D$6,$G570='Comprovante DEV'!$D$7),COUNTIFS($N$6:$N570,'Comprovante DEV'!$D$6,$G$6:$G570,'Comprovante DEV'!$D$7),""))</f>
        <v/>
      </c>
      <c r="N570" s="48" t="str">
        <f aca="false">IF($F570="","",IFERROR(VLOOKUP($F570,Apelidos_Tecnico!$A:$B,2,0),$F570))</f>
        <v/>
      </c>
    </row>
    <row r="571" customFormat="false" ht="15" hidden="false" customHeight="false" outlineLevel="0" collapsed="false">
      <c r="A571" s="25"/>
      <c r="B571" s="25"/>
      <c r="C571" s="26"/>
      <c r="D571" s="25"/>
      <c r="E571" s="25"/>
      <c r="F571" s="25"/>
      <c r="G571" s="27"/>
      <c r="H571" s="25"/>
      <c r="I571" s="26"/>
      <c r="J571" s="48" t="str">
        <f aca="false">IF($N571="","",IF(AND($N571=Consulta!$C$3,$G571&lt;&gt;"",$G571&gt;=Consulta!$C$4,$G571&lt;=Consulta!$C$5),COUNTIFS($N$6:$N571,Consulta!$C$3,$G$6:$G571,"&gt;="&amp;Consulta!$C$4,$G$6:$G571,"&lt;="&amp;Consulta!$C$5),""))</f>
        <v/>
      </c>
      <c r="K571" s="48" t="str">
        <f aca="false">IF($C571="","",IF(AND($C571=Consulta!$L$3,$G571&lt;&gt;"",$G571&gt;=Consulta!$L$4,$G571&lt;=Consulta!$L$5),COUNTIFS($C$6:$C571,Consulta!$L$3,$G$6:$G571,"&gt;="&amp;Consulta!$L$4,$G$6:$G571,"&lt;="&amp;Consulta!$L$5),""))</f>
        <v/>
      </c>
      <c r="L571" s="48" t="str">
        <f aca="false">IF($D571="","",IF($D571=Consulta!$S$3,COUNTIF($D$6:$D571,Consulta!$S$3),""))</f>
        <v/>
      </c>
      <c r="M571" s="48" t="str">
        <f aca="false">IF($N571="","",IF(AND($N571='Comprovante DEV'!$D$6,$G571='Comprovante DEV'!$D$7),COUNTIFS($N$6:$N571,'Comprovante DEV'!$D$6,$G$6:$G571,'Comprovante DEV'!$D$7),""))</f>
        <v/>
      </c>
      <c r="N571" s="48" t="str">
        <f aca="false">IF($F571="","",IFERROR(VLOOKUP($F571,Apelidos_Tecnico!$A:$B,2,0),$F571))</f>
        <v/>
      </c>
    </row>
    <row r="572" customFormat="false" ht="15" hidden="false" customHeight="false" outlineLevel="0" collapsed="false">
      <c r="A572" s="25"/>
      <c r="B572" s="25"/>
      <c r="C572" s="26"/>
      <c r="D572" s="25"/>
      <c r="E572" s="25"/>
      <c r="F572" s="25"/>
      <c r="G572" s="27"/>
      <c r="H572" s="25"/>
      <c r="I572" s="26"/>
      <c r="J572" s="48" t="str">
        <f aca="false">IF($N572="","",IF(AND($N572=Consulta!$C$3,$G572&lt;&gt;"",$G572&gt;=Consulta!$C$4,$G572&lt;=Consulta!$C$5),COUNTIFS($N$6:$N572,Consulta!$C$3,$G$6:$G572,"&gt;="&amp;Consulta!$C$4,$G$6:$G572,"&lt;="&amp;Consulta!$C$5),""))</f>
        <v/>
      </c>
      <c r="K572" s="48" t="str">
        <f aca="false">IF($C572="","",IF(AND($C572=Consulta!$L$3,$G572&lt;&gt;"",$G572&gt;=Consulta!$L$4,$G572&lt;=Consulta!$L$5),COUNTIFS($C$6:$C572,Consulta!$L$3,$G$6:$G572,"&gt;="&amp;Consulta!$L$4,$G$6:$G572,"&lt;="&amp;Consulta!$L$5),""))</f>
        <v/>
      </c>
      <c r="L572" s="48" t="str">
        <f aca="false">IF($D572="","",IF($D572=Consulta!$S$3,COUNTIF($D$6:$D572,Consulta!$S$3),""))</f>
        <v/>
      </c>
      <c r="M572" s="48" t="str">
        <f aca="false">IF($N572="","",IF(AND($N572='Comprovante DEV'!$D$6,$G572='Comprovante DEV'!$D$7),COUNTIFS($N$6:$N572,'Comprovante DEV'!$D$6,$G$6:$G572,'Comprovante DEV'!$D$7),""))</f>
        <v/>
      </c>
      <c r="N572" s="48" t="str">
        <f aca="false">IF($F572="","",IFERROR(VLOOKUP($F572,Apelidos_Tecnico!$A:$B,2,0),$F572))</f>
        <v/>
      </c>
    </row>
    <row r="573" customFormat="false" ht="15" hidden="false" customHeight="false" outlineLevel="0" collapsed="false">
      <c r="A573" s="25"/>
      <c r="B573" s="25"/>
      <c r="C573" s="26"/>
      <c r="D573" s="25"/>
      <c r="E573" s="25"/>
      <c r="F573" s="25"/>
      <c r="G573" s="27"/>
      <c r="H573" s="25"/>
      <c r="I573" s="26"/>
      <c r="J573" s="48" t="str">
        <f aca="false">IF($N573="","",IF(AND($N573=Consulta!$C$3,$G573&lt;&gt;"",$G573&gt;=Consulta!$C$4,$G573&lt;=Consulta!$C$5),COUNTIFS($N$6:$N573,Consulta!$C$3,$G$6:$G573,"&gt;="&amp;Consulta!$C$4,$G$6:$G573,"&lt;="&amp;Consulta!$C$5),""))</f>
        <v/>
      </c>
      <c r="K573" s="48" t="str">
        <f aca="false">IF($C573="","",IF(AND($C573=Consulta!$L$3,$G573&lt;&gt;"",$G573&gt;=Consulta!$L$4,$G573&lt;=Consulta!$L$5),COUNTIFS($C$6:$C573,Consulta!$L$3,$G$6:$G573,"&gt;="&amp;Consulta!$L$4,$G$6:$G573,"&lt;="&amp;Consulta!$L$5),""))</f>
        <v/>
      </c>
      <c r="L573" s="48" t="str">
        <f aca="false">IF($D573="","",IF($D573=Consulta!$S$3,COUNTIF($D$6:$D573,Consulta!$S$3),""))</f>
        <v/>
      </c>
      <c r="M573" s="48" t="str">
        <f aca="false">IF($N573="","",IF(AND($N573='Comprovante DEV'!$D$6,$G573='Comprovante DEV'!$D$7),COUNTIFS($N$6:$N573,'Comprovante DEV'!$D$6,$G$6:$G573,'Comprovante DEV'!$D$7),""))</f>
        <v/>
      </c>
      <c r="N573" s="48" t="str">
        <f aca="false">IF($F573="","",IFERROR(VLOOKUP($F573,Apelidos_Tecnico!$A:$B,2,0),$F573))</f>
        <v/>
      </c>
    </row>
    <row r="574" customFormat="false" ht="15" hidden="false" customHeight="false" outlineLevel="0" collapsed="false">
      <c r="A574" s="25"/>
      <c r="B574" s="25"/>
      <c r="C574" s="26"/>
      <c r="D574" s="25"/>
      <c r="E574" s="25"/>
      <c r="F574" s="25"/>
      <c r="G574" s="27"/>
      <c r="H574" s="25"/>
      <c r="I574" s="26"/>
      <c r="J574" s="48" t="str">
        <f aca="false">IF($N574="","",IF(AND($N574=Consulta!$C$3,$G574&lt;&gt;"",$G574&gt;=Consulta!$C$4,$G574&lt;=Consulta!$C$5),COUNTIFS($N$6:$N574,Consulta!$C$3,$G$6:$G574,"&gt;="&amp;Consulta!$C$4,$G$6:$G574,"&lt;="&amp;Consulta!$C$5),""))</f>
        <v/>
      </c>
      <c r="K574" s="48" t="str">
        <f aca="false">IF($C574="","",IF(AND($C574=Consulta!$L$3,$G574&lt;&gt;"",$G574&gt;=Consulta!$L$4,$G574&lt;=Consulta!$L$5),COUNTIFS($C$6:$C574,Consulta!$L$3,$G$6:$G574,"&gt;="&amp;Consulta!$L$4,$G$6:$G574,"&lt;="&amp;Consulta!$L$5),""))</f>
        <v/>
      </c>
      <c r="L574" s="48" t="str">
        <f aca="false">IF($D574="","",IF($D574=Consulta!$S$3,COUNTIF($D$6:$D574,Consulta!$S$3),""))</f>
        <v/>
      </c>
      <c r="M574" s="48" t="str">
        <f aca="false">IF($N574="","",IF(AND($N574='Comprovante DEV'!$D$6,$G574='Comprovante DEV'!$D$7),COUNTIFS($N$6:$N574,'Comprovante DEV'!$D$6,$G$6:$G574,'Comprovante DEV'!$D$7),""))</f>
        <v/>
      </c>
      <c r="N574" s="48" t="str">
        <f aca="false">IF($F574="","",IFERROR(VLOOKUP($F574,Apelidos_Tecnico!$A:$B,2,0),$F574))</f>
        <v/>
      </c>
    </row>
    <row r="575" customFormat="false" ht="15" hidden="false" customHeight="false" outlineLevel="0" collapsed="false">
      <c r="A575" s="25"/>
      <c r="B575" s="25"/>
      <c r="C575" s="26"/>
      <c r="D575" s="25"/>
      <c r="E575" s="25"/>
      <c r="F575" s="25"/>
      <c r="G575" s="27"/>
      <c r="H575" s="25"/>
      <c r="I575" s="26"/>
      <c r="J575" s="48" t="str">
        <f aca="false">IF($N575="","",IF(AND($N575=Consulta!$C$3,$G575&lt;&gt;"",$G575&gt;=Consulta!$C$4,$G575&lt;=Consulta!$C$5),COUNTIFS($N$6:$N575,Consulta!$C$3,$G$6:$G575,"&gt;="&amp;Consulta!$C$4,$G$6:$G575,"&lt;="&amp;Consulta!$C$5),""))</f>
        <v/>
      </c>
      <c r="K575" s="48" t="str">
        <f aca="false">IF($C575="","",IF(AND($C575=Consulta!$L$3,$G575&lt;&gt;"",$G575&gt;=Consulta!$L$4,$G575&lt;=Consulta!$L$5),COUNTIFS($C$6:$C575,Consulta!$L$3,$G$6:$G575,"&gt;="&amp;Consulta!$L$4,$G$6:$G575,"&lt;="&amp;Consulta!$L$5),""))</f>
        <v/>
      </c>
      <c r="L575" s="48" t="str">
        <f aca="false">IF($D575="","",IF($D575=Consulta!$S$3,COUNTIF($D$6:$D575,Consulta!$S$3),""))</f>
        <v/>
      </c>
      <c r="M575" s="48" t="str">
        <f aca="false">IF($N575="","",IF(AND($N575='Comprovante DEV'!$D$6,$G575='Comprovante DEV'!$D$7),COUNTIFS($N$6:$N575,'Comprovante DEV'!$D$6,$G$6:$G575,'Comprovante DEV'!$D$7),""))</f>
        <v/>
      </c>
      <c r="N575" s="48" t="str">
        <f aca="false">IF($F575="","",IFERROR(VLOOKUP($F575,Apelidos_Tecnico!$A:$B,2,0),$F575))</f>
        <v/>
      </c>
    </row>
    <row r="576" customFormat="false" ht="15" hidden="false" customHeight="false" outlineLevel="0" collapsed="false">
      <c r="A576" s="25"/>
      <c r="B576" s="25"/>
      <c r="C576" s="26"/>
      <c r="D576" s="25"/>
      <c r="E576" s="25"/>
      <c r="F576" s="25"/>
      <c r="G576" s="27"/>
      <c r="H576" s="25"/>
      <c r="I576" s="26"/>
      <c r="J576" s="48" t="str">
        <f aca="false">IF($N576="","",IF(AND($N576=Consulta!$C$3,$G576&lt;&gt;"",$G576&gt;=Consulta!$C$4,$G576&lt;=Consulta!$C$5),COUNTIFS($N$6:$N576,Consulta!$C$3,$G$6:$G576,"&gt;="&amp;Consulta!$C$4,$G$6:$G576,"&lt;="&amp;Consulta!$C$5),""))</f>
        <v/>
      </c>
      <c r="K576" s="48" t="str">
        <f aca="false">IF($C576="","",IF(AND($C576=Consulta!$L$3,$G576&lt;&gt;"",$G576&gt;=Consulta!$L$4,$G576&lt;=Consulta!$L$5),COUNTIFS($C$6:$C576,Consulta!$L$3,$G$6:$G576,"&gt;="&amp;Consulta!$L$4,$G$6:$G576,"&lt;="&amp;Consulta!$L$5),""))</f>
        <v/>
      </c>
      <c r="L576" s="48" t="str">
        <f aca="false">IF($D576="","",IF($D576=Consulta!$S$3,COUNTIF($D$6:$D576,Consulta!$S$3),""))</f>
        <v/>
      </c>
      <c r="M576" s="48" t="str">
        <f aca="false">IF($N576="","",IF(AND($N576='Comprovante DEV'!$D$6,$G576='Comprovante DEV'!$D$7),COUNTIFS($N$6:$N576,'Comprovante DEV'!$D$6,$G$6:$G576,'Comprovante DEV'!$D$7),""))</f>
        <v/>
      </c>
      <c r="N576" s="48" t="str">
        <f aca="false">IF($F576="","",IFERROR(VLOOKUP($F576,Apelidos_Tecnico!$A:$B,2,0),$F576))</f>
        <v/>
      </c>
    </row>
    <row r="577" customFormat="false" ht="15" hidden="false" customHeight="false" outlineLevel="0" collapsed="false">
      <c r="A577" s="25"/>
      <c r="B577" s="25"/>
      <c r="C577" s="26"/>
      <c r="D577" s="25"/>
      <c r="E577" s="25"/>
      <c r="F577" s="25"/>
      <c r="G577" s="27"/>
      <c r="H577" s="25"/>
      <c r="I577" s="26"/>
      <c r="J577" s="48" t="str">
        <f aca="false">IF($N577="","",IF(AND($N577=Consulta!$C$3,$G577&lt;&gt;"",$G577&gt;=Consulta!$C$4,$G577&lt;=Consulta!$C$5),COUNTIFS($N$6:$N577,Consulta!$C$3,$G$6:$G577,"&gt;="&amp;Consulta!$C$4,$G$6:$G577,"&lt;="&amp;Consulta!$C$5),""))</f>
        <v/>
      </c>
      <c r="K577" s="48" t="str">
        <f aca="false">IF($C577="","",IF(AND($C577=Consulta!$L$3,$G577&lt;&gt;"",$G577&gt;=Consulta!$L$4,$G577&lt;=Consulta!$L$5),COUNTIFS($C$6:$C577,Consulta!$L$3,$G$6:$G577,"&gt;="&amp;Consulta!$L$4,$G$6:$G577,"&lt;="&amp;Consulta!$L$5),""))</f>
        <v/>
      </c>
      <c r="L577" s="48" t="str">
        <f aca="false">IF($D577="","",IF($D577=Consulta!$S$3,COUNTIF($D$6:$D577,Consulta!$S$3),""))</f>
        <v/>
      </c>
      <c r="M577" s="48" t="str">
        <f aca="false">IF($N577="","",IF(AND($N577='Comprovante DEV'!$D$6,$G577='Comprovante DEV'!$D$7),COUNTIFS($N$6:$N577,'Comprovante DEV'!$D$6,$G$6:$G577,'Comprovante DEV'!$D$7),""))</f>
        <v/>
      </c>
      <c r="N577" s="48" t="str">
        <f aca="false">IF($F577="","",IFERROR(VLOOKUP($F577,Apelidos_Tecnico!$A:$B,2,0),$F577))</f>
        <v/>
      </c>
    </row>
    <row r="578" customFormat="false" ht="15" hidden="false" customHeight="false" outlineLevel="0" collapsed="false">
      <c r="A578" s="25"/>
      <c r="B578" s="25"/>
      <c r="C578" s="26"/>
      <c r="D578" s="25"/>
      <c r="E578" s="25"/>
      <c r="F578" s="25"/>
      <c r="G578" s="27"/>
      <c r="H578" s="25"/>
      <c r="I578" s="26"/>
      <c r="J578" s="48" t="str">
        <f aca="false">IF($N578="","",IF(AND($N578=Consulta!$C$3,$G578&lt;&gt;"",$G578&gt;=Consulta!$C$4,$G578&lt;=Consulta!$C$5),COUNTIFS($N$6:$N578,Consulta!$C$3,$G$6:$G578,"&gt;="&amp;Consulta!$C$4,$G$6:$G578,"&lt;="&amp;Consulta!$C$5),""))</f>
        <v/>
      </c>
      <c r="K578" s="48" t="str">
        <f aca="false">IF($C578="","",IF(AND($C578=Consulta!$L$3,$G578&lt;&gt;"",$G578&gt;=Consulta!$L$4,$G578&lt;=Consulta!$L$5),COUNTIFS($C$6:$C578,Consulta!$L$3,$G$6:$G578,"&gt;="&amp;Consulta!$L$4,$G$6:$G578,"&lt;="&amp;Consulta!$L$5),""))</f>
        <v/>
      </c>
      <c r="L578" s="48" t="str">
        <f aca="false">IF($D578="","",IF($D578=Consulta!$S$3,COUNTIF($D$6:$D578,Consulta!$S$3),""))</f>
        <v/>
      </c>
      <c r="M578" s="48" t="str">
        <f aca="false">IF($N578="","",IF(AND($N578='Comprovante DEV'!$D$6,$G578='Comprovante DEV'!$D$7),COUNTIFS($N$6:$N578,'Comprovante DEV'!$D$6,$G$6:$G578,'Comprovante DEV'!$D$7),""))</f>
        <v/>
      </c>
      <c r="N578" s="48" t="str">
        <f aca="false">IF($F578="","",IFERROR(VLOOKUP($F578,Apelidos_Tecnico!$A:$B,2,0),$F578))</f>
        <v/>
      </c>
    </row>
    <row r="579" customFormat="false" ht="15" hidden="false" customHeight="false" outlineLevel="0" collapsed="false">
      <c r="A579" s="25"/>
      <c r="B579" s="25"/>
      <c r="C579" s="26"/>
      <c r="D579" s="25"/>
      <c r="E579" s="25"/>
      <c r="F579" s="25"/>
      <c r="G579" s="27"/>
      <c r="H579" s="25"/>
      <c r="I579" s="26"/>
      <c r="J579" s="48" t="str">
        <f aca="false">IF($N579="","",IF(AND($N579=Consulta!$C$3,$G579&lt;&gt;"",$G579&gt;=Consulta!$C$4,$G579&lt;=Consulta!$C$5),COUNTIFS($N$6:$N579,Consulta!$C$3,$G$6:$G579,"&gt;="&amp;Consulta!$C$4,$G$6:$G579,"&lt;="&amp;Consulta!$C$5),""))</f>
        <v/>
      </c>
      <c r="K579" s="48" t="str">
        <f aca="false">IF($C579="","",IF(AND($C579=Consulta!$L$3,$G579&lt;&gt;"",$G579&gt;=Consulta!$L$4,$G579&lt;=Consulta!$L$5),COUNTIFS($C$6:$C579,Consulta!$L$3,$G$6:$G579,"&gt;="&amp;Consulta!$L$4,$G$6:$G579,"&lt;="&amp;Consulta!$L$5),""))</f>
        <v/>
      </c>
      <c r="L579" s="48" t="str">
        <f aca="false">IF($D579="","",IF($D579=Consulta!$S$3,COUNTIF($D$6:$D579,Consulta!$S$3),""))</f>
        <v/>
      </c>
      <c r="M579" s="48" t="str">
        <f aca="false">IF($N579="","",IF(AND($N579='Comprovante DEV'!$D$6,$G579='Comprovante DEV'!$D$7),COUNTIFS($N$6:$N579,'Comprovante DEV'!$D$6,$G$6:$G579,'Comprovante DEV'!$D$7),""))</f>
        <v/>
      </c>
      <c r="N579" s="48" t="str">
        <f aca="false">IF($F579="","",IFERROR(VLOOKUP($F579,Apelidos_Tecnico!$A:$B,2,0),$F579))</f>
        <v/>
      </c>
    </row>
    <row r="580" customFormat="false" ht="15" hidden="false" customHeight="false" outlineLevel="0" collapsed="false">
      <c r="A580" s="25"/>
      <c r="B580" s="25"/>
      <c r="C580" s="26"/>
      <c r="D580" s="25"/>
      <c r="E580" s="25"/>
      <c r="F580" s="25"/>
      <c r="G580" s="27"/>
      <c r="H580" s="25"/>
      <c r="I580" s="26"/>
      <c r="J580" s="48" t="str">
        <f aca="false">IF($N580="","",IF(AND($N580=Consulta!$C$3,$G580&lt;&gt;"",$G580&gt;=Consulta!$C$4,$G580&lt;=Consulta!$C$5),COUNTIFS($N$6:$N580,Consulta!$C$3,$G$6:$G580,"&gt;="&amp;Consulta!$C$4,$G$6:$G580,"&lt;="&amp;Consulta!$C$5),""))</f>
        <v/>
      </c>
      <c r="K580" s="48" t="str">
        <f aca="false">IF($C580="","",IF(AND($C580=Consulta!$L$3,$G580&lt;&gt;"",$G580&gt;=Consulta!$L$4,$G580&lt;=Consulta!$L$5),COUNTIFS($C$6:$C580,Consulta!$L$3,$G$6:$G580,"&gt;="&amp;Consulta!$L$4,$G$6:$G580,"&lt;="&amp;Consulta!$L$5),""))</f>
        <v/>
      </c>
      <c r="L580" s="48" t="str">
        <f aca="false">IF($D580="","",IF($D580=Consulta!$S$3,COUNTIF($D$6:$D580,Consulta!$S$3),""))</f>
        <v/>
      </c>
      <c r="M580" s="48" t="str">
        <f aca="false">IF($N580="","",IF(AND($N580='Comprovante DEV'!$D$6,$G580='Comprovante DEV'!$D$7),COUNTIFS($N$6:$N580,'Comprovante DEV'!$D$6,$G$6:$G580,'Comprovante DEV'!$D$7),""))</f>
        <v/>
      </c>
      <c r="N580" s="48" t="str">
        <f aca="false">IF($F580="","",IFERROR(VLOOKUP($F580,Apelidos_Tecnico!$A:$B,2,0),$F580))</f>
        <v/>
      </c>
    </row>
    <row r="581" customFormat="false" ht="15" hidden="false" customHeight="false" outlineLevel="0" collapsed="false">
      <c r="A581" s="25"/>
      <c r="B581" s="25"/>
      <c r="C581" s="26"/>
      <c r="D581" s="25"/>
      <c r="E581" s="25"/>
      <c r="F581" s="25"/>
      <c r="G581" s="27"/>
      <c r="H581" s="25"/>
      <c r="I581" s="26"/>
      <c r="J581" s="48" t="str">
        <f aca="false">IF($N581="","",IF(AND($N581=Consulta!$C$3,$G581&lt;&gt;"",$G581&gt;=Consulta!$C$4,$G581&lt;=Consulta!$C$5),COUNTIFS($N$6:$N581,Consulta!$C$3,$G$6:$G581,"&gt;="&amp;Consulta!$C$4,$G$6:$G581,"&lt;="&amp;Consulta!$C$5),""))</f>
        <v/>
      </c>
      <c r="K581" s="48" t="str">
        <f aca="false">IF($C581="","",IF(AND($C581=Consulta!$L$3,$G581&lt;&gt;"",$G581&gt;=Consulta!$L$4,$G581&lt;=Consulta!$L$5),COUNTIFS($C$6:$C581,Consulta!$L$3,$G$6:$G581,"&gt;="&amp;Consulta!$L$4,$G$6:$G581,"&lt;="&amp;Consulta!$L$5),""))</f>
        <v/>
      </c>
      <c r="L581" s="48" t="str">
        <f aca="false">IF($D581="","",IF($D581=Consulta!$S$3,COUNTIF($D$6:$D581,Consulta!$S$3),""))</f>
        <v/>
      </c>
      <c r="M581" s="48" t="str">
        <f aca="false">IF($N581="","",IF(AND($N581='Comprovante DEV'!$D$6,$G581='Comprovante DEV'!$D$7),COUNTIFS($N$6:$N581,'Comprovante DEV'!$D$6,$G$6:$G581,'Comprovante DEV'!$D$7),""))</f>
        <v/>
      </c>
      <c r="N581" s="48" t="str">
        <f aca="false">IF($F581="","",IFERROR(VLOOKUP($F581,Apelidos_Tecnico!$A:$B,2,0),$F581))</f>
        <v/>
      </c>
    </row>
    <row r="582" customFormat="false" ht="15" hidden="false" customHeight="false" outlineLevel="0" collapsed="false">
      <c r="A582" s="25"/>
      <c r="B582" s="25"/>
      <c r="C582" s="26"/>
      <c r="D582" s="25"/>
      <c r="E582" s="25"/>
      <c r="F582" s="25"/>
      <c r="G582" s="27"/>
      <c r="H582" s="25"/>
      <c r="I582" s="26"/>
      <c r="J582" s="48" t="str">
        <f aca="false">IF($N582="","",IF(AND($N582=Consulta!$C$3,$G582&lt;&gt;"",$G582&gt;=Consulta!$C$4,$G582&lt;=Consulta!$C$5),COUNTIFS($N$6:$N582,Consulta!$C$3,$G$6:$G582,"&gt;="&amp;Consulta!$C$4,$G$6:$G582,"&lt;="&amp;Consulta!$C$5),""))</f>
        <v/>
      </c>
      <c r="K582" s="48" t="str">
        <f aca="false">IF($C582="","",IF(AND($C582=Consulta!$L$3,$G582&lt;&gt;"",$G582&gt;=Consulta!$L$4,$G582&lt;=Consulta!$L$5),COUNTIFS($C$6:$C582,Consulta!$L$3,$G$6:$G582,"&gt;="&amp;Consulta!$L$4,$G$6:$G582,"&lt;="&amp;Consulta!$L$5),""))</f>
        <v/>
      </c>
      <c r="L582" s="48" t="str">
        <f aca="false">IF($D582="","",IF($D582=Consulta!$S$3,COUNTIF($D$6:$D582,Consulta!$S$3),""))</f>
        <v/>
      </c>
      <c r="M582" s="48" t="str">
        <f aca="false">IF($N582="","",IF(AND($N582='Comprovante DEV'!$D$6,$G582='Comprovante DEV'!$D$7),COUNTIFS($N$6:$N582,'Comprovante DEV'!$D$6,$G$6:$G582,'Comprovante DEV'!$D$7),""))</f>
        <v/>
      </c>
      <c r="N582" s="48" t="str">
        <f aca="false">IF($F582="","",IFERROR(VLOOKUP($F582,Apelidos_Tecnico!$A:$B,2,0),$F582))</f>
        <v/>
      </c>
    </row>
    <row r="583" customFormat="false" ht="15" hidden="false" customHeight="false" outlineLevel="0" collapsed="false">
      <c r="A583" s="25"/>
      <c r="B583" s="25"/>
      <c r="C583" s="26"/>
      <c r="D583" s="25"/>
      <c r="E583" s="25"/>
      <c r="F583" s="25"/>
      <c r="G583" s="27"/>
      <c r="H583" s="25"/>
      <c r="I583" s="26"/>
      <c r="J583" s="48" t="str">
        <f aca="false">IF($N583="","",IF(AND($N583=Consulta!$C$3,$G583&lt;&gt;"",$G583&gt;=Consulta!$C$4,$G583&lt;=Consulta!$C$5),COUNTIFS($N$6:$N583,Consulta!$C$3,$G$6:$G583,"&gt;="&amp;Consulta!$C$4,$G$6:$G583,"&lt;="&amp;Consulta!$C$5),""))</f>
        <v/>
      </c>
      <c r="K583" s="48" t="str">
        <f aca="false">IF($C583="","",IF(AND($C583=Consulta!$L$3,$G583&lt;&gt;"",$G583&gt;=Consulta!$L$4,$G583&lt;=Consulta!$L$5),COUNTIFS($C$6:$C583,Consulta!$L$3,$G$6:$G583,"&gt;="&amp;Consulta!$L$4,$G$6:$G583,"&lt;="&amp;Consulta!$L$5),""))</f>
        <v/>
      </c>
      <c r="L583" s="48" t="str">
        <f aca="false">IF($D583="","",IF($D583=Consulta!$S$3,COUNTIF($D$6:$D583,Consulta!$S$3),""))</f>
        <v/>
      </c>
      <c r="M583" s="48" t="str">
        <f aca="false">IF($N583="","",IF(AND($N583='Comprovante DEV'!$D$6,$G583='Comprovante DEV'!$D$7),COUNTIFS($N$6:$N583,'Comprovante DEV'!$D$6,$G$6:$G583,'Comprovante DEV'!$D$7),""))</f>
        <v/>
      </c>
      <c r="N583" s="48" t="str">
        <f aca="false">IF($F583="","",IFERROR(VLOOKUP($F583,Apelidos_Tecnico!$A:$B,2,0),$F583))</f>
        <v/>
      </c>
    </row>
    <row r="584" customFormat="false" ht="15" hidden="false" customHeight="false" outlineLevel="0" collapsed="false">
      <c r="A584" s="25"/>
      <c r="B584" s="25"/>
      <c r="C584" s="26"/>
      <c r="D584" s="25"/>
      <c r="E584" s="25"/>
      <c r="F584" s="25"/>
      <c r="G584" s="27"/>
      <c r="H584" s="25"/>
      <c r="I584" s="26"/>
      <c r="J584" s="48" t="str">
        <f aca="false">IF($N584="","",IF(AND($N584=Consulta!$C$3,$G584&lt;&gt;"",$G584&gt;=Consulta!$C$4,$G584&lt;=Consulta!$C$5),COUNTIFS($N$6:$N584,Consulta!$C$3,$G$6:$G584,"&gt;="&amp;Consulta!$C$4,$G$6:$G584,"&lt;="&amp;Consulta!$C$5),""))</f>
        <v/>
      </c>
      <c r="K584" s="48" t="str">
        <f aca="false">IF($C584="","",IF(AND($C584=Consulta!$L$3,$G584&lt;&gt;"",$G584&gt;=Consulta!$L$4,$G584&lt;=Consulta!$L$5),COUNTIFS($C$6:$C584,Consulta!$L$3,$G$6:$G584,"&gt;="&amp;Consulta!$L$4,$G$6:$G584,"&lt;="&amp;Consulta!$L$5),""))</f>
        <v/>
      </c>
      <c r="L584" s="48" t="str">
        <f aca="false">IF($D584="","",IF($D584=Consulta!$S$3,COUNTIF($D$6:$D584,Consulta!$S$3),""))</f>
        <v/>
      </c>
      <c r="M584" s="48" t="str">
        <f aca="false">IF($N584="","",IF(AND($N584='Comprovante DEV'!$D$6,$G584='Comprovante DEV'!$D$7),COUNTIFS($N$6:$N584,'Comprovante DEV'!$D$6,$G$6:$G584,'Comprovante DEV'!$D$7),""))</f>
        <v/>
      </c>
      <c r="N584" s="48" t="str">
        <f aca="false">IF($F584="","",IFERROR(VLOOKUP($F584,Apelidos_Tecnico!$A:$B,2,0),$F584))</f>
        <v/>
      </c>
    </row>
    <row r="585" customFormat="false" ht="15" hidden="false" customHeight="false" outlineLevel="0" collapsed="false">
      <c r="A585" s="25"/>
      <c r="B585" s="25"/>
      <c r="C585" s="26"/>
      <c r="D585" s="25"/>
      <c r="E585" s="25"/>
      <c r="F585" s="25"/>
      <c r="G585" s="27"/>
      <c r="H585" s="25"/>
      <c r="I585" s="26"/>
      <c r="J585" s="48" t="str">
        <f aca="false">IF($N585="","",IF(AND($N585=Consulta!$C$3,$G585&lt;&gt;"",$G585&gt;=Consulta!$C$4,$G585&lt;=Consulta!$C$5),COUNTIFS($N$6:$N585,Consulta!$C$3,$G$6:$G585,"&gt;="&amp;Consulta!$C$4,$G$6:$G585,"&lt;="&amp;Consulta!$C$5),""))</f>
        <v/>
      </c>
      <c r="K585" s="48" t="str">
        <f aca="false">IF($C585="","",IF(AND($C585=Consulta!$L$3,$G585&lt;&gt;"",$G585&gt;=Consulta!$L$4,$G585&lt;=Consulta!$L$5),COUNTIFS($C$6:$C585,Consulta!$L$3,$G$6:$G585,"&gt;="&amp;Consulta!$L$4,$G$6:$G585,"&lt;="&amp;Consulta!$L$5),""))</f>
        <v/>
      </c>
      <c r="L585" s="48" t="str">
        <f aca="false">IF($D585="","",IF($D585=Consulta!$S$3,COUNTIF($D$6:$D585,Consulta!$S$3),""))</f>
        <v/>
      </c>
      <c r="M585" s="48" t="str">
        <f aca="false">IF($N585="","",IF(AND($N585='Comprovante DEV'!$D$6,$G585='Comprovante DEV'!$D$7),COUNTIFS($N$6:$N585,'Comprovante DEV'!$D$6,$G$6:$G585,'Comprovante DEV'!$D$7),""))</f>
        <v/>
      </c>
      <c r="N585" s="48" t="str">
        <f aca="false">IF($F585="","",IFERROR(VLOOKUP($F585,Apelidos_Tecnico!$A:$B,2,0),$F585))</f>
        <v/>
      </c>
    </row>
    <row r="586" customFormat="false" ht="15" hidden="false" customHeight="false" outlineLevel="0" collapsed="false">
      <c r="A586" s="25"/>
      <c r="B586" s="25"/>
      <c r="C586" s="26"/>
      <c r="D586" s="25"/>
      <c r="E586" s="25"/>
      <c r="F586" s="25"/>
      <c r="G586" s="27"/>
      <c r="H586" s="25"/>
      <c r="I586" s="26"/>
      <c r="J586" s="48" t="str">
        <f aca="false">IF($N586="","",IF(AND($N586=Consulta!$C$3,$G586&lt;&gt;"",$G586&gt;=Consulta!$C$4,$G586&lt;=Consulta!$C$5),COUNTIFS($N$6:$N586,Consulta!$C$3,$G$6:$G586,"&gt;="&amp;Consulta!$C$4,$G$6:$G586,"&lt;="&amp;Consulta!$C$5),""))</f>
        <v/>
      </c>
      <c r="K586" s="48" t="str">
        <f aca="false">IF($C586="","",IF(AND($C586=Consulta!$L$3,$G586&lt;&gt;"",$G586&gt;=Consulta!$L$4,$G586&lt;=Consulta!$L$5),COUNTIFS($C$6:$C586,Consulta!$L$3,$G$6:$G586,"&gt;="&amp;Consulta!$L$4,$G$6:$G586,"&lt;="&amp;Consulta!$L$5),""))</f>
        <v/>
      </c>
      <c r="L586" s="48" t="str">
        <f aca="false">IF($D586="","",IF($D586=Consulta!$S$3,COUNTIF($D$6:$D586,Consulta!$S$3),""))</f>
        <v/>
      </c>
      <c r="M586" s="48" t="str">
        <f aca="false">IF($N586="","",IF(AND($N586='Comprovante DEV'!$D$6,$G586='Comprovante DEV'!$D$7),COUNTIFS($N$6:$N586,'Comprovante DEV'!$D$6,$G$6:$G586,'Comprovante DEV'!$D$7),""))</f>
        <v/>
      </c>
      <c r="N586" s="48" t="str">
        <f aca="false">IF($F586="","",IFERROR(VLOOKUP($F586,Apelidos_Tecnico!$A:$B,2,0),$F586))</f>
        <v/>
      </c>
    </row>
    <row r="587" customFormat="false" ht="15" hidden="false" customHeight="false" outlineLevel="0" collapsed="false">
      <c r="A587" s="25"/>
      <c r="B587" s="25"/>
      <c r="C587" s="26"/>
      <c r="D587" s="25"/>
      <c r="E587" s="25"/>
      <c r="F587" s="25"/>
      <c r="G587" s="27"/>
      <c r="H587" s="25"/>
      <c r="I587" s="26"/>
      <c r="J587" s="48" t="str">
        <f aca="false">IF($N587="","",IF(AND($N587=Consulta!$C$3,$G587&lt;&gt;"",$G587&gt;=Consulta!$C$4,$G587&lt;=Consulta!$C$5),COUNTIFS($N$6:$N587,Consulta!$C$3,$G$6:$G587,"&gt;="&amp;Consulta!$C$4,$G$6:$G587,"&lt;="&amp;Consulta!$C$5),""))</f>
        <v/>
      </c>
      <c r="K587" s="48" t="str">
        <f aca="false">IF($C587="","",IF(AND($C587=Consulta!$L$3,$G587&lt;&gt;"",$G587&gt;=Consulta!$L$4,$G587&lt;=Consulta!$L$5),COUNTIFS($C$6:$C587,Consulta!$L$3,$G$6:$G587,"&gt;="&amp;Consulta!$L$4,$G$6:$G587,"&lt;="&amp;Consulta!$L$5),""))</f>
        <v/>
      </c>
      <c r="L587" s="48" t="str">
        <f aca="false">IF($D587="","",IF($D587=Consulta!$S$3,COUNTIF($D$6:$D587,Consulta!$S$3),""))</f>
        <v/>
      </c>
      <c r="M587" s="48" t="str">
        <f aca="false">IF($N587="","",IF(AND($N587='Comprovante DEV'!$D$6,$G587='Comprovante DEV'!$D$7),COUNTIFS($N$6:$N587,'Comprovante DEV'!$D$6,$G$6:$G587,'Comprovante DEV'!$D$7),""))</f>
        <v/>
      </c>
      <c r="N587" s="48" t="str">
        <f aca="false">IF($F587="","",IFERROR(VLOOKUP($F587,Apelidos_Tecnico!$A:$B,2,0),$F587))</f>
        <v/>
      </c>
    </row>
    <row r="588" customFormat="false" ht="15" hidden="false" customHeight="false" outlineLevel="0" collapsed="false">
      <c r="A588" s="25"/>
      <c r="B588" s="25"/>
      <c r="C588" s="26"/>
      <c r="D588" s="25"/>
      <c r="E588" s="25"/>
      <c r="F588" s="25"/>
      <c r="G588" s="27"/>
      <c r="H588" s="25"/>
      <c r="I588" s="26"/>
      <c r="J588" s="48" t="str">
        <f aca="false">IF($N588="","",IF(AND($N588=Consulta!$C$3,$G588&lt;&gt;"",$G588&gt;=Consulta!$C$4,$G588&lt;=Consulta!$C$5),COUNTIFS($N$6:$N588,Consulta!$C$3,$G$6:$G588,"&gt;="&amp;Consulta!$C$4,$G$6:$G588,"&lt;="&amp;Consulta!$C$5),""))</f>
        <v/>
      </c>
      <c r="K588" s="48" t="str">
        <f aca="false">IF($C588="","",IF(AND($C588=Consulta!$L$3,$G588&lt;&gt;"",$G588&gt;=Consulta!$L$4,$G588&lt;=Consulta!$L$5),COUNTIFS($C$6:$C588,Consulta!$L$3,$G$6:$G588,"&gt;="&amp;Consulta!$L$4,$G$6:$G588,"&lt;="&amp;Consulta!$L$5),""))</f>
        <v/>
      </c>
      <c r="L588" s="48" t="str">
        <f aca="false">IF($D588="","",IF($D588=Consulta!$S$3,COUNTIF($D$6:$D588,Consulta!$S$3),""))</f>
        <v/>
      </c>
      <c r="M588" s="48" t="str">
        <f aca="false">IF($N588="","",IF(AND($N588='Comprovante DEV'!$D$6,$G588='Comprovante DEV'!$D$7),COUNTIFS($N$6:$N588,'Comprovante DEV'!$D$6,$G$6:$G588,'Comprovante DEV'!$D$7),""))</f>
        <v/>
      </c>
      <c r="N588" s="48" t="str">
        <f aca="false">IF($F588="","",IFERROR(VLOOKUP($F588,Apelidos_Tecnico!$A:$B,2,0),$F588))</f>
        <v/>
      </c>
    </row>
    <row r="589" customFormat="false" ht="15" hidden="false" customHeight="false" outlineLevel="0" collapsed="false">
      <c r="A589" s="25"/>
      <c r="B589" s="25"/>
      <c r="C589" s="26"/>
      <c r="D589" s="25"/>
      <c r="E589" s="25"/>
      <c r="F589" s="25"/>
      <c r="G589" s="27"/>
      <c r="H589" s="25"/>
      <c r="I589" s="26"/>
      <c r="J589" s="48" t="str">
        <f aca="false">IF($N589="","",IF(AND($N589=Consulta!$C$3,$G589&lt;&gt;"",$G589&gt;=Consulta!$C$4,$G589&lt;=Consulta!$C$5),COUNTIFS($N$6:$N589,Consulta!$C$3,$G$6:$G589,"&gt;="&amp;Consulta!$C$4,$G$6:$G589,"&lt;="&amp;Consulta!$C$5),""))</f>
        <v/>
      </c>
      <c r="K589" s="48" t="str">
        <f aca="false">IF($C589="","",IF(AND($C589=Consulta!$L$3,$G589&lt;&gt;"",$G589&gt;=Consulta!$L$4,$G589&lt;=Consulta!$L$5),COUNTIFS($C$6:$C589,Consulta!$L$3,$G$6:$G589,"&gt;="&amp;Consulta!$L$4,$G$6:$G589,"&lt;="&amp;Consulta!$L$5),""))</f>
        <v/>
      </c>
      <c r="L589" s="48" t="str">
        <f aca="false">IF($D589="","",IF($D589=Consulta!$S$3,COUNTIF($D$6:$D589,Consulta!$S$3),""))</f>
        <v/>
      </c>
      <c r="M589" s="48" t="str">
        <f aca="false">IF($N589="","",IF(AND($N589='Comprovante DEV'!$D$6,$G589='Comprovante DEV'!$D$7),COUNTIFS($N$6:$N589,'Comprovante DEV'!$D$6,$G$6:$G589,'Comprovante DEV'!$D$7),""))</f>
        <v/>
      </c>
      <c r="N589" s="48" t="str">
        <f aca="false">IF($F589="","",IFERROR(VLOOKUP($F589,Apelidos_Tecnico!$A:$B,2,0),$F589))</f>
        <v/>
      </c>
    </row>
    <row r="590" customFormat="false" ht="15" hidden="false" customHeight="false" outlineLevel="0" collapsed="false">
      <c r="A590" s="25"/>
      <c r="B590" s="25"/>
      <c r="C590" s="26"/>
      <c r="D590" s="25"/>
      <c r="E590" s="25"/>
      <c r="F590" s="25"/>
      <c r="G590" s="27"/>
      <c r="H590" s="25"/>
      <c r="I590" s="26"/>
      <c r="J590" s="48" t="str">
        <f aca="false">IF($N590="","",IF(AND($N590=Consulta!$C$3,$G590&lt;&gt;"",$G590&gt;=Consulta!$C$4,$G590&lt;=Consulta!$C$5),COUNTIFS($N$6:$N590,Consulta!$C$3,$G$6:$G590,"&gt;="&amp;Consulta!$C$4,$G$6:$G590,"&lt;="&amp;Consulta!$C$5),""))</f>
        <v/>
      </c>
      <c r="K590" s="48" t="str">
        <f aca="false">IF($C590="","",IF(AND($C590=Consulta!$L$3,$G590&lt;&gt;"",$G590&gt;=Consulta!$L$4,$G590&lt;=Consulta!$L$5),COUNTIFS($C$6:$C590,Consulta!$L$3,$G$6:$G590,"&gt;="&amp;Consulta!$L$4,$G$6:$G590,"&lt;="&amp;Consulta!$L$5),""))</f>
        <v/>
      </c>
      <c r="L590" s="48" t="str">
        <f aca="false">IF($D590="","",IF($D590=Consulta!$S$3,COUNTIF($D$6:$D590,Consulta!$S$3),""))</f>
        <v/>
      </c>
      <c r="M590" s="48" t="str">
        <f aca="false">IF($N590="","",IF(AND($N590='Comprovante DEV'!$D$6,$G590='Comprovante DEV'!$D$7),COUNTIFS($N$6:$N590,'Comprovante DEV'!$D$6,$G$6:$G590,'Comprovante DEV'!$D$7),""))</f>
        <v/>
      </c>
      <c r="N590" s="48" t="str">
        <f aca="false">IF($F590="","",IFERROR(VLOOKUP($F590,Apelidos_Tecnico!$A:$B,2,0),$F590))</f>
        <v/>
      </c>
    </row>
    <row r="591" customFormat="false" ht="15" hidden="false" customHeight="false" outlineLevel="0" collapsed="false">
      <c r="A591" s="25"/>
      <c r="B591" s="25"/>
      <c r="C591" s="26"/>
      <c r="D591" s="25"/>
      <c r="E591" s="25"/>
      <c r="F591" s="25"/>
      <c r="G591" s="27"/>
      <c r="H591" s="25"/>
      <c r="I591" s="26"/>
      <c r="J591" s="48" t="str">
        <f aca="false">IF($N591="","",IF(AND($N591=Consulta!$C$3,$G591&lt;&gt;"",$G591&gt;=Consulta!$C$4,$G591&lt;=Consulta!$C$5),COUNTIFS($N$6:$N591,Consulta!$C$3,$G$6:$G591,"&gt;="&amp;Consulta!$C$4,$G$6:$G591,"&lt;="&amp;Consulta!$C$5),""))</f>
        <v/>
      </c>
      <c r="K591" s="48" t="str">
        <f aca="false">IF($C591="","",IF(AND($C591=Consulta!$L$3,$G591&lt;&gt;"",$G591&gt;=Consulta!$L$4,$G591&lt;=Consulta!$L$5),COUNTIFS($C$6:$C591,Consulta!$L$3,$G$6:$G591,"&gt;="&amp;Consulta!$L$4,$G$6:$G591,"&lt;="&amp;Consulta!$L$5),""))</f>
        <v/>
      </c>
      <c r="L591" s="48" t="str">
        <f aca="false">IF($D591="","",IF($D591=Consulta!$S$3,COUNTIF($D$6:$D591,Consulta!$S$3),""))</f>
        <v/>
      </c>
      <c r="M591" s="48" t="str">
        <f aca="false">IF($N591="","",IF(AND($N591='Comprovante DEV'!$D$6,$G591='Comprovante DEV'!$D$7),COUNTIFS($N$6:$N591,'Comprovante DEV'!$D$6,$G$6:$G591,'Comprovante DEV'!$D$7),""))</f>
        <v/>
      </c>
      <c r="N591" s="48" t="str">
        <f aca="false">IF($F591="","",IFERROR(VLOOKUP($F591,Apelidos_Tecnico!$A:$B,2,0),$F591))</f>
        <v/>
      </c>
    </row>
    <row r="592" customFormat="false" ht="15" hidden="false" customHeight="false" outlineLevel="0" collapsed="false">
      <c r="A592" s="25"/>
      <c r="B592" s="25"/>
      <c r="C592" s="26"/>
      <c r="D592" s="25"/>
      <c r="E592" s="25"/>
      <c r="F592" s="25"/>
      <c r="G592" s="27"/>
      <c r="H592" s="25"/>
      <c r="I592" s="26"/>
      <c r="J592" s="48" t="str">
        <f aca="false">IF($N592="","",IF(AND($N592=Consulta!$C$3,$G592&lt;&gt;"",$G592&gt;=Consulta!$C$4,$G592&lt;=Consulta!$C$5),COUNTIFS($N$6:$N592,Consulta!$C$3,$G$6:$G592,"&gt;="&amp;Consulta!$C$4,$G$6:$G592,"&lt;="&amp;Consulta!$C$5),""))</f>
        <v/>
      </c>
      <c r="K592" s="48" t="str">
        <f aca="false">IF($C592="","",IF(AND($C592=Consulta!$L$3,$G592&lt;&gt;"",$G592&gt;=Consulta!$L$4,$G592&lt;=Consulta!$L$5),COUNTIFS($C$6:$C592,Consulta!$L$3,$G$6:$G592,"&gt;="&amp;Consulta!$L$4,$G$6:$G592,"&lt;="&amp;Consulta!$L$5),""))</f>
        <v/>
      </c>
      <c r="L592" s="48" t="str">
        <f aca="false">IF($D592="","",IF($D592=Consulta!$S$3,COUNTIF($D$6:$D592,Consulta!$S$3),""))</f>
        <v/>
      </c>
      <c r="M592" s="48" t="str">
        <f aca="false">IF($N592="","",IF(AND($N592='Comprovante DEV'!$D$6,$G592='Comprovante DEV'!$D$7),COUNTIFS($N$6:$N592,'Comprovante DEV'!$D$6,$G$6:$G592,'Comprovante DEV'!$D$7),""))</f>
        <v/>
      </c>
      <c r="N592" s="48" t="str">
        <f aca="false">IF($F592="","",IFERROR(VLOOKUP($F592,Apelidos_Tecnico!$A:$B,2,0),$F592))</f>
        <v/>
      </c>
    </row>
    <row r="593" customFormat="false" ht="15" hidden="false" customHeight="false" outlineLevel="0" collapsed="false">
      <c r="A593" s="25"/>
      <c r="B593" s="25"/>
      <c r="C593" s="26"/>
      <c r="D593" s="25"/>
      <c r="E593" s="25"/>
      <c r="F593" s="25"/>
      <c r="G593" s="27"/>
      <c r="H593" s="25"/>
      <c r="I593" s="26"/>
      <c r="J593" s="48" t="str">
        <f aca="false">IF($N593="","",IF(AND($N593=Consulta!$C$3,$G593&lt;&gt;"",$G593&gt;=Consulta!$C$4,$G593&lt;=Consulta!$C$5),COUNTIFS($N$6:$N593,Consulta!$C$3,$G$6:$G593,"&gt;="&amp;Consulta!$C$4,$G$6:$G593,"&lt;="&amp;Consulta!$C$5),""))</f>
        <v/>
      </c>
      <c r="K593" s="48" t="str">
        <f aca="false">IF($C593="","",IF(AND($C593=Consulta!$L$3,$G593&lt;&gt;"",$G593&gt;=Consulta!$L$4,$G593&lt;=Consulta!$L$5),COUNTIFS($C$6:$C593,Consulta!$L$3,$G$6:$G593,"&gt;="&amp;Consulta!$L$4,$G$6:$G593,"&lt;="&amp;Consulta!$L$5),""))</f>
        <v/>
      </c>
      <c r="L593" s="48" t="str">
        <f aca="false">IF($D593="","",IF($D593=Consulta!$S$3,COUNTIF($D$6:$D593,Consulta!$S$3),""))</f>
        <v/>
      </c>
      <c r="M593" s="48" t="str">
        <f aca="false">IF($N593="","",IF(AND($N593='Comprovante DEV'!$D$6,$G593='Comprovante DEV'!$D$7),COUNTIFS($N$6:$N593,'Comprovante DEV'!$D$6,$G$6:$G593,'Comprovante DEV'!$D$7),""))</f>
        <v/>
      </c>
      <c r="N593" s="48" t="str">
        <f aca="false">IF($F593="","",IFERROR(VLOOKUP($F593,Apelidos_Tecnico!$A:$B,2,0),$F593))</f>
        <v/>
      </c>
    </row>
    <row r="594" customFormat="false" ht="15" hidden="false" customHeight="false" outlineLevel="0" collapsed="false">
      <c r="A594" s="25"/>
      <c r="B594" s="25"/>
      <c r="C594" s="26"/>
      <c r="D594" s="25"/>
      <c r="E594" s="25"/>
      <c r="F594" s="25"/>
      <c r="G594" s="27"/>
      <c r="H594" s="25"/>
      <c r="I594" s="26"/>
      <c r="J594" s="48" t="str">
        <f aca="false">IF($N594="","",IF(AND($N594=Consulta!$C$3,$G594&lt;&gt;"",$G594&gt;=Consulta!$C$4,$G594&lt;=Consulta!$C$5),COUNTIFS($N$6:$N594,Consulta!$C$3,$G$6:$G594,"&gt;="&amp;Consulta!$C$4,$G$6:$G594,"&lt;="&amp;Consulta!$C$5),""))</f>
        <v/>
      </c>
      <c r="K594" s="48" t="str">
        <f aca="false">IF($C594="","",IF(AND($C594=Consulta!$L$3,$G594&lt;&gt;"",$G594&gt;=Consulta!$L$4,$G594&lt;=Consulta!$L$5),COUNTIFS($C$6:$C594,Consulta!$L$3,$G$6:$G594,"&gt;="&amp;Consulta!$L$4,$G$6:$G594,"&lt;="&amp;Consulta!$L$5),""))</f>
        <v/>
      </c>
      <c r="L594" s="48" t="str">
        <f aca="false">IF($D594="","",IF($D594=Consulta!$S$3,COUNTIF($D$6:$D594,Consulta!$S$3),""))</f>
        <v/>
      </c>
      <c r="M594" s="48" t="str">
        <f aca="false">IF($N594="","",IF(AND($N594='Comprovante DEV'!$D$6,$G594='Comprovante DEV'!$D$7),COUNTIFS($N$6:$N594,'Comprovante DEV'!$D$6,$G$6:$G594,'Comprovante DEV'!$D$7),""))</f>
        <v/>
      </c>
      <c r="N594" s="48" t="str">
        <f aca="false">IF($F594="","",IFERROR(VLOOKUP($F594,Apelidos_Tecnico!$A:$B,2,0),$F594))</f>
        <v/>
      </c>
    </row>
    <row r="595" customFormat="false" ht="15" hidden="false" customHeight="false" outlineLevel="0" collapsed="false">
      <c r="A595" s="25"/>
      <c r="B595" s="25"/>
      <c r="C595" s="26"/>
      <c r="D595" s="25"/>
      <c r="E595" s="25"/>
      <c r="F595" s="25"/>
      <c r="G595" s="27"/>
      <c r="H595" s="25"/>
      <c r="I595" s="26"/>
      <c r="J595" s="48" t="str">
        <f aca="false">IF($N595="","",IF(AND($N595=Consulta!$C$3,$G595&lt;&gt;"",$G595&gt;=Consulta!$C$4,$G595&lt;=Consulta!$C$5),COUNTIFS($N$6:$N595,Consulta!$C$3,$G$6:$G595,"&gt;="&amp;Consulta!$C$4,$G$6:$G595,"&lt;="&amp;Consulta!$C$5),""))</f>
        <v/>
      </c>
      <c r="K595" s="48" t="str">
        <f aca="false">IF($C595="","",IF(AND($C595=Consulta!$L$3,$G595&lt;&gt;"",$G595&gt;=Consulta!$L$4,$G595&lt;=Consulta!$L$5),COUNTIFS($C$6:$C595,Consulta!$L$3,$G$6:$G595,"&gt;="&amp;Consulta!$L$4,$G$6:$G595,"&lt;="&amp;Consulta!$L$5),""))</f>
        <v/>
      </c>
      <c r="L595" s="48" t="str">
        <f aca="false">IF($D595="","",IF($D595=Consulta!$S$3,COUNTIF($D$6:$D595,Consulta!$S$3),""))</f>
        <v/>
      </c>
      <c r="M595" s="48" t="str">
        <f aca="false">IF($N595="","",IF(AND($N595='Comprovante DEV'!$D$6,$G595='Comprovante DEV'!$D$7),COUNTIFS($N$6:$N595,'Comprovante DEV'!$D$6,$G$6:$G595,'Comprovante DEV'!$D$7),""))</f>
        <v/>
      </c>
      <c r="N595" s="48" t="str">
        <f aca="false">IF($F595="","",IFERROR(VLOOKUP($F595,Apelidos_Tecnico!$A:$B,2,0),$F595))</f>
        <v/>
      </c>
    </row>
    <row r="596" customFormat="false" ht="15" hidden="false" customHeight="false" outlineLevel="0" collapsed="false">
      <c r="A596" s="25"/>
      <c r="B596" s="25"/>
      <c r="C596" s="26"/>
      <c r="D596" s="25"/>
      <c r="E596" s="25"/>
      <c r="F596" s="25"/>
      <c r="G596" s="27"/>
      <c r="H596" s="25"/>
      <c r="I596" s="26"/>
      <c r="J596" s="48" t="str">
        <f aca="false">IF($N596="","",IF(AND($N596=Consulta!$C$3,$G596&lt;&gt;"",$G596&gt;=Consulta!$C$4,$G596&lt;=Consulta!$C$5),COUNTIFS($N$6:$N596,Consulta!$C$3,$G$6:$G596,"&gt;="&amp;Consulta!$C$4,$G$6:$G596,"&lt;="&amp;Consulta!$C$5),""))</f>
        <v/>
      </c>
      <c r="K596" s="48" t="str">
        <f aca="false">IF($C596="","",IF(AND($C596=Consulta!$L$3,$G596&lt;&gt;"",$G596&gt;=Consulta!$L$4,$G596&lt;=Consulta!$L$5),COUNTIFS($C$6:$C596,Consulta!$L$3,$G$6:$G596,"&gt;="&amp;Consulta!$L$4,$G$6:$G596,"&lt;="&amp;Consulta!$L$5),""))</f>
        <v/>
      </c>
      <c r="L596" s="48" t="str">
        <f aca="false">IF($D596="","",IF($D596=Consulta!$S$3,COUNTIF($D$6:$D596,Consulta!$S$3),""))</f>
        <v/>
      </c>
      <c r="M596" s="48" t="str">
        <f aca="false">IF($N596="","",IF(AND($N596='Comprovante DEV'!$D$6,$G596='Comprovante DEV'!$D$7),COUNTIFS($N$6:$N596,'Comprovante DEV'!$D$6,$G$6:$G596,'Comprovante DEV'!$D$7),""))</f>
        <v/>
      </c>
      <c r="N596" s="48" t="str">
        <f aca="false">IF($F596="","",IFERROR(VLOOKUP($F596,Apelidos_Tecnico!$A:$B,2,0),$F596))</f>
        <v/>
      </c>
    </row>
    <row r="597" customFormat="false" ht="15" hidden="false" customHeight="false" outlineLevel="0" collapsed="false">
      <c r="A597" s="25"/>
      <c r="B597" s="25"/>
      <c r="C597" s="26"/>
      <c r="D597" s="25"/>
      <c r="E597" s="25"/>
      <c r="F597" s="25"/>
      <c r="G597" s="27"/>
      <c r="H597" s="25"/>
      <c r="I597" s="26"/>
      <c r="J597" s="48" t="str">
        <f aca="false">IF($N597="","",IF(AND($N597=Consulta!$C$3,$G597&lt;&gt;"",$G597&gt;=Consulta!$C$4,$G597&lt;=Consulta!$C$5),COUNTIFS($N$6:$N597,Consulta!$C$3,$G$6:$G597,"&gt;="&amp;Consulta!$C$4,$G$6:$G597,"&lt;="&amp;Consulta!$C$5),""))</f>
        <v/>
      </c>
      <c r="K597" s="48" t="str">
        <f aca="false">IF($C597="","",IF(AND($C597=Consulta!$L$3,$G597&lt;&gt;"",$G597&gt;=Consulta!$L$4,$G597&lt;=Consulta!$L$5),COUNTIFS($C$6:$C597,Consulta!$L$3,$G$6:$G597,"&gt;="&amp;Consulta!$L$4,$G$6:$G597,"&lt;="&amp;Consulta!$L$5),""))</f>
        <v/>
      </c>
      <c r="L597" s="48" t="str">
        <f aca="false">IF($D597="","",IF($D597=Consulta!$S$3,COUNTIF($D$6:$D597,Consulta!$S$3),""))</f>
        <v/>
      </c>
      <c r="M597" s="48" t="str">
        <f aca="false">IF($N597="","",IF(AND($N597='Comprovante DEV'!$D$6,$G597='Comprovante DEV'!$D$7),COUNTIFS($N$6:$N597,'Comprovante DEV'!$D$6,$G$6:$G597,'Comprovante DEV'!$D$7),""))</f>
        <v/>
      </c>
      <c r="N597" s="48" t="str">
        <f aca="false">IF($F597="","",IFERROR(VLOOKUP($F597,Apelidos_Tecnico!$A:$B,2,0),$F597))</f>
        <v/>
      </c>
    </row>
    <row r="598" customFormat="false" ht="15" hidden="false" customHeight="false" outlineLevel="0" collapsed="false">
      <c r="A598" s="25"/>
      <c r="B598" s="25"/>
      <c r="C598" s="26"/>
      <c r="D598" s="25"/>
      <c r="E598" s="25"/>
      <c r="F598" s="25"/>
      <c r="G598" s="27"/>
      <c r="H598" s="25"/>
      <c r="I598" s="26"/>
      <c r="J598" s="48" t="str">
        <f aca="false">IF($N598="","",IF(AND($N598=Consulta!$C$3,$G598&lt;&gt;"",$G598&gt;=Consulta!$C$4,$G598&lt;=Consulta!$C$5),COUNTIFS($N$6:$N598,Consulta!$C$3,$G$6:$G598,"&gt;="&amp;Consulta!$C$4,$G$6:$G598,"&lt;="&amp;Consulta!$C$5),""))</f>
        <v/>
      </c>
      <c r="K598" s="48" t="str">
        <f aca="false">IF($C598="","",IF(AND($C598=Consulta!$L$3,$G598&lt;&gt;"",$G598&gt;=Consulta!$L$4,$G598&lt;=Consulta!$L$5),COUNTIFS($C$6:$C598,Consulta!$L$3,$G$6:$G598,"&gt;="&amp;Consulta!$L$4,$G$6:$G598,"&lt;="&amp;Consulta!$L$5),""))</f>
        <v/>
      </c>
      <c r="L598" s="48" t="str">
        <f aca="false">IF($D598="","",IF($D598=Consulta!$S$3,COUNTIF($D$6:$D598,Consulta!$S$3),""))</f>
        <v/>
      </c>
      <c r="M598" s="48" t="str">
        <f aca="false">IF($N598="","",IF(AND($N598='Comprovante DEV'!$D$6,$G598='Comprovante DEV'!$D$7),COUNTIFS($N$6:$N598,'Comprovante DEV'!$D$6,$G$6:$G598,'Comprovante DEV'!$D$7),""))</f>
        <v/>
      </c>
      <c r="N598" s="48" t="str">
        <f aca="false">IF($F598="","",IFERROR(VLOOKUP($F598,Apelidos_Tecnico!$A:$B,2,0),$F598))</f>
        <v/>
      </c>
    </row>
    <row r="599" customFormat="false" ht="15" hidden="false" customHeight="false" outlineLevel="0" collapsed="false">
      <c r="A599" s="25"/>
      <c r="B599" s="25"/>
      <c r="C599" s="26"/>
      <c r="D599" s="25"/>
      <c r="E599" s="25"/>
      <c r="F599" s="25"/>
      <c r="G599" s="27"/>
      <c r="H599" s="25"/>
      <c r="I599" s="26"/>
      <c r="J599" s="48" t="str">
        <f aca="false">IF($N599="","",IF(AND($N599=Consulta!$C$3,$G599&lt;&gt;"",$G599&gt;=Consulta!$C$4,$G599&lt;=Consulta!$C$5),COUNTIFS($N$6:$N599,Consulta!$C$3,$G$6:$G599,"&gt;="&amp;Consulta!$C$4,$G$6:$G599,"&lt;="&amp;Consulta!$C$5),""))</f>
        <v/>
      </c>
      <c r="K599" s="48" t="str">
        <f aca="false">IF($C599="","",IF(AND($C599=Consulta!$L$3,$G599&lt;&gt;"",$G599&gt;=Consulta!$L$4,$G599&lt;=Consulta!$L$5),COUNTIFS($C$6:$C599,Consulta!$L$3,$G$6:$G599,"&gt;="&amp;Consulta!$L$4,$G$6:$G599,"&lt;="&amp;Consulta!$L$5),""))</f>
        <v/>
      </c>
      <c r="L599" s="48" t="str">
        <f aca="false">IF($D599="","",IF($D599=Consulta!$S$3,COUNTIF($D$6:$D599,Consulta!$S$3),""))</f>
        <v/>
      </c>
      <c r="M599" s="48" t="str">
        <f aca="false">IF($N599="","",IF(AND($N599='Comprovante DEV'!$D$6,$G599='Comprovante DEV'!$D$7),COUNTIFS($N$6:$N599,'Comprovante DEV'!$D$6,$G$6:$G599,'Comprovante DEV'!$D$7),""))</f>
        <v/>
      </c>
      <c r="N599" s="48" t="str">
        <f aca="false">IF($F599="","",IFERROR(VLOOKUP($F599,Apelidos_Tecnico!$A:$B,2,0),$F599))</f>
        <v/>
      </c>
    </row>
    <row r="600" customFormat="false" ht="15" hidden="false" customHeight="false" outlineLevel="0" collapsed="false">
      <c r="A600" s="25"/>
      <c r="B600" s="25"/>
      <c r="C600" s="26"/>
      <c r="D600" s="25"/>
      <c r="E600" s="25"/>
      <c r="F600" s="25"/>
      <c r="G600" s="27"/>
      <c r="H600" s="25"/>
      <c r="I600" s="26"/>
      <c r="J600" s="48" t="str">
        <f aca="false">IF($N600="","",IF(AND($N600=Consulta!$C$3,$G600&lt;&gt;"",$G600&gt;=Consulta!$C$4,$G600&lt;=Consulta!$C$5),COUNTIFS($N$6:$N600,Consulta!$C$3,$G$6:$G600,"&gt;="&amp;Consulta!$C$4,$G$6:$G600,"&lt;="&amp;Consulta!$C$5),""))</f>
        <v/>
      </c>
      <c r="K600" s="48" t="str">
        <f aca="false">IF($C600="","",IF(AND($C600=Consulta!$L$3,$G600&lt;&gt;"",$G600&gt;=Consulta!$L$4,$G600&lt;=Consulta!$L$5),COUNTIFS($C$6:$C600,Consulta!$L$3,$G$6:$G600,"&gt;="&amp;Consulta!$L$4,$G$6:$G600,"&lt;="&amp;Consulta!$L$5),""))</f>
        <v/>
      </c>
      <c r="L600" s="48" t="str">
        <f aca="false">IF($D600="","",IF($D600=Consulta!$S$3,COUNTIF($D$6:$D600,Consulta!$S$3),""))</f>
        <v/>
      </c>
      <c r="M600" s="48" t="str">
        <f aca="false">IF($N600="","",IF(AND($N600='Comprovante DEV'!$D$6,$G600='Comprovante DEV'!$D$7),COUNTIFS($N$6:$N600,'Comprovante DEV'!$D$6,$G$6:$G600,'Comprovante DEV'!$D$7),""))</f>
        <v/>
      </c>
      <c r="N600" s="48" t="str">
        <f aca="false">IF($F600="","",IFERROR(VLOOKUP($F600,Apelidos_Tecnico!$A:$B,2,0),$F600))</f>
        <v/>
      </c>
    </row>
    <row r="601" customFormat="false" ht="15" hidden="false" customHeight="false" outlineLevel="0" collapsed="false">
      <c r="A601" s="25"/>
      <c r="B601" s="25"/>
      <c r="C601" s="26"/>
      <c r="D601" s="25"/>
      <c r="E601" s="25"/>
      <c r="F601" s="25"/>
      <c r="G601" s="27"/>
      <c r="H601" s="25"/>
      <c r="I601" s="26"/>
      <c r="J601" s="48" t="str">
        <f aca="false">IF($N601="","",IF(AND($N601=Consulta!$C$3,$G601&lt;&gt;"",$G601&gt;=Consulta!$C$4,$G601&lt;=Consulta!$C$5),COUNTIFS($N$6:$N601,Consulta!$C$3,$G$6:$G601,"&gt;="&amp;Consulta!$C$4,$G$6:$G601,"&lt;="&amp;Consulta!$C$5),""))</f>
        <v/>
      </c>
      <c r="K601" s="48" t="str">
        <f aca="false">IF($C601="","",IF(AND($C601=Consulta!$L$3,$G601&lt;&gt;"",$G601&gt;=Consulta!$L$4,$G601&lt;=Consulta!$L$5),COUNTIFS($C$6:$C601,Consulta!$L$3,$G$6:$G601,"&gt;="&amp;Consulta!$L$4,$G$6:$G601,"&lt;="&amp;Consulta!$L$5),""))</f>
        <v/>
      </c>
      <c r="L601" s="48" t="str">
        <f aca="false">IF($D601="","",IF($D601=Consulta!$S$3,COUNTIF($D$6:$D601,Consulta!$S$3),""))</f>
        <v/>
      </c>
      <c r="M601" s="48" t="str">
        <f aca="false">IF($N601="","",IF(AND($N601='Comprovante DEV'!$D$6,$G601='Comprovante DEV'!$D$7),COUNTIFS($N$6:$N601,'Comprovante DEV'!$D$6,$G$6:$G601,'Comprovante DEV'!$D$7),""))</f>
        <v/>
      </c>
      <c r="N601" s="48" t="str">
        <f aca="false">IF($F601="","",IFERROR(VLOOKUP($F601,Apelidos_Tecnico!$A:$B,2,0),$F601))</f>
        <v/>
      </c>
    </row>
    <row r="602" customFormat="false" ht="15" hidden="false" customHeight="false" outlineLevel="0" collapsed="false">
      <c r="A602" s="25"/>
      <c r="B602" s="25"/>
      <c r="C602" s="26"/>
      <c r="D602" s="25"/>
      <c r="E602" s="25"/>
      <c r="F602" s="25"/>
      <c r="G602" s="27"/>
      <c r="H602" s="25"/>
      <c r="I602" s="26"/>
      <c r="J602" s="48" t="str">
        <f aca="false">IF($N602="","",IF(AND($N602=Consulta!$C$3,$G602&lt;&gt;"",$G602&gt;=Consulta!$C$4,$G602&lt;=Consulta!$C$5),COUNTIFS($N$6:$N602,Consulta!$C$3,$G$6:$G602,"&gt;="&amp;Consulta!$C$4,$G$6:$G602,"&lt;="&amp;Consulta!$C$5),""))</f>
        <v/>
      </c>
      <c r="K602" s="48" t="str">
        <f aca="false">IF($C602="","",IF(AND($C602=Consulta!$L$3,$G602&lt;&gt;"",$G602&gt;=Consulta!$L$4,$G602&lt;=Consulta!$L$5),COUNTIFS($C$6:$C602,Consulta!$L$3,$G$6:$G602,"&gt;="&amp;Consulta!$L$4,$G$6:$G602,"&lt;="&amp;Consulta!$L$5),""))</f>
        <v/>
      </c>
      <c r="L602" s="48" t="str">
        <f aca="false">IF($D602="","",IF($D602=Consulta!$S$3,COUNTIF($D$6:$D602,Consulta!$S$3),""))</f>
        <v/>
      </c>
      <c r="M602" s="48" t="str">
        <f aca="false">IF($N602="","",IF(AND($N602='Comprovante DEV'!$D$6,$G602='Comprovante DEV'!$D$7),COUNTIFS($N$6:$N602,'Comprovante DEV'!$D$6,$G$6:$G602,'Comprovante DEV'!$D$7),""))</f>
        <v/>
      </c>
      <c r="N602" s="48" t="str">
        <f aca="false">IF($F602="","",IFERROR(VLOOKUP($F602,Apelidos_Tecnico!$A:$B,2,0),$F602))</f>
        <v/>
      </c>
    </row>
    <row r="603" customFormat="false" ht="15" hidden="false" customHeight="false" outlineLevel="0" collapsed="false">
      <c r="A603" s="25"/>
      <c r="B603" s="25"/>
      <c r="C603" s="26"/>
      <c r="D603" s="25"/>
      <c r="E603" s="25"/>
      <c r="F603" s="25"/>
      <c r="G603" s="27"/>
      <c r="H603" s="25"/>
      <c r="I603" s="26"/>
      <c r="J603" s="48" t="str">
        <f aca="false">IF($N603="","",IF(AND($N603=Consulta!$C$3,$G603&lt;&gt;"",$G603&gt;=Consulta!$C$4,$G603&lt;=Consulta!$C$5),COUNTIFS($N$6:$N603,Consulta!$C$3,$G$6:$G603,"&gt;="&amp;Consulta!$C$4,$G$6:$G603,"&lt;="&amp;Consulta!$C$5),""))</f>
        <v/>
      </c>
      <c r="K603" s="48" t="str">
        <f aca="false">IF($C603="","",IF(AND($C603=Consulta!$L$3,$G603&lt;&gt;"",$G603&gt;=Consulta!$L$4,$G603&lt;=Consulta!$L$5),COUNTIFS($C$6:$C603,Consulta!$L$3,$G$6:$G603,"&gt;="&amp;Consulta!$L$4,$G$6:$G603,"&lt;="&amp;Consulta!$L$5),""))</f>
        <v/>
      </c>
      <c r="L603" s="48" t="str">
        <f aca="false">IF($D603="","",IF($D603=Consulta!$S$3,COUNTIF($D$6:$D603,Consulta!$S$3),""))</f>
        <v/>
      </c>
      <c r="M603" s="48" t="str">
        <f aca="false">IF($N603="","",IF(AND($N603='Comprovante DEV'!$D$6,$G603='Comprovante DEV'!$D$7),COUNTIFS($N$6:$N603,'Comprovante DEV'!$D$6,$G$6:$G603,'Comprovante DEV'!$D$7),""))</f>
        <v/>
      </c>
      <c r="N603" s="48" t="str">
        <f aca="false">IF($F603="","",IFERROR(VLOOKUP($F603,Apelidos_Tecnico!$A:$B,2,0),$F603))</f>
        <v/>
      </c>
    </row>
    <row r="604" customFormat="false" ht="15" hidden="false" customHeight="false" outlineLevel="0" collapsed="false">
      <c r="A604" s="25"/>
      <c r="B604" s="25"/>
      <c r="C604" s="26"/>
      <c r="D604" s="25"/>
      <c r="E604" s="25"/>
      <c r="F604" s="25"/>
      <c r="G604" s="27"/>
      <c r="H604" s="25"/>
      <c r="I604" s="26"/>
      <c r="J604" s="48" t="str">
        <f aca="false">IF($N604="","",IF(AND($N604=Consulta!$C$3,$G604&lt;&gt;"",$G604&gt;=Consulta!$C$4,$G604&lt;=Consulta!$C$5),COUNTIFS($N$6:$N604,Consulta!$C$3,$G$6:$G604,"&gt;="&amp;Consulta!$C$4,$G$6:$G604,"&lt;="&amp;Consulta!$C$5),""))</f>
        <v/>
      </c>
      <c r="K604" s="48" t="str">
        <f aca="false">IF($C604="","",IF(AND($C604=Consulta!$L$3,$G604&lt;&gt;"",$G604&gt;=Consulta!$L$4,$G604&lt;=Consulta!$L$5),COUNTIFS($C$6:$C604,Consulta!$L$3,$G$6:$G604,"&gt;="&amp;Consulta!$L$4,$G$6:$G604,"&lt;="&amp;Consulta!$L$5),""))</f>
        <v/>
      </c>
      <c r="L604" s="48" t="str">
        <f aca="false">IF($D604="","",IF($D604=Consulta!$S$3,COUNTIF($D$6:$D604,Consulta!$S$3),""))</f>
        <v/>
      </c>
      <c r="M604" s="48" t="str">
        <f aca="false">IF($N604="","",IF(AND($N604='Comprovante DEV'!$D$6,$G604='Comprovante DEV'!$D$7),COUNTIFS($N$6:$N604,'Comprovante DEV'!$D$6,$G$6:$G604,'Comprovante DEV'!$D$7),""))</f>
        <v/>
      </c>
      <c r="N604" s="48" t="str">
        <f aca="false">IF($F604="","",IFERROR(VLOOKUP($F604,Apelidos_Tecnico!$A:$B,2,0),$F604))</f>
        <v/>
      </c>
    </row>
    <row r="605" customFormat="false" ht="15" hidden="false" customHeight="false" outlineLevel="0" collapsed="false">
      <c r="A605" s="25"/>
      <c r="B605" s="25"/>
      <c r="C605" s="26"/>
      <c r="D605" s="25"/>
      <c r="E605" s="25"/>
      <c r="F605" s="25"/>
      <c r="G605" s="27"/>
      <c r="H605" s="25"/>
      <c r="I605" s="26"/>
      <c r="J605" s="48" t="str">
        <f aca="false">IF($N605="","",IF(AND($N605=Consulta!$C$3,$G605&lt;&gt;"",$G605&gt;=Consulta!$C$4,$G605&lt;=Consulta!$C$5),COUNTIFS($N$6:$N605,Consulta!$C$3,$G$6:$G605,"&gt;="&amp;Consulta!$C$4,$G$6:$G605,"&lt;="&amp;Consulta!$C$5),""))</f>
        <v/>
      </c>
      <c r="K605" s="48" t="str">
        <f aca="false">IF($C605="","",IF(AND($C605=Consulta!$L$3,$G605&lt;&gt;"",$G605&gt;=Consulta!$L$4,$G605&lt;=Consulta!$L$5),COUNTIFS($C$6:$C605,Consulta!$L$3,$G$6:$G605,"&gt;="&amp;Consulta!$L$4,$G$6:$G605,"&lt;="&amp;Consulta!$L$5),""))</f>
        <v/>
      </c>
      <c r="L605" s="48" t="str">
        <f aca="false">IF($D605="","",IF($D605=Consulta!$S$3,COUNTIF($D$6:$D605,Consulta!$S$3),""))</f>
        <v/>
      </c>
      <c r="M605" s="48" t="str">
        <f aca="false">IF($N605="","",IF(AND($N605='Comprovante DEV'!$D$6,$G605='Comprovante DEV'!$D$7),COUNTIFS($N$6:$N605,'Comprovante DEV'!$D$6,$G$6:$G605,'Comprovante DEV'!$D$7),""))</f>
        <v/>
      </c>
      <c r="N605" s="48" t="str">
        <f aca="false">IF($F605="","",IFERROR(VLOOKUP($F605,Apelidos_Tecnico!$A:$B,2,0),$F605))</f>
        <v/>
      </c>
    </row>
    <row r="606" customFormat="false" ht="15" hidden="false" customHeight="false" outlineLevel="0" collapsed="false">
      <c r="A606" s="25"/>
      <c r="B606" s="25"/>
      <c r="C606" s="26"/>
      <c r="D606" s="25"/>
      <c r="E606" s="25"/>
      <c r="F606" s="25"/>
      <c r="G606" s="27"/>
      <c r="H606" s="25"/>
      <c r="I606" s="26"/>
      <c r="J606" s="48" t="str">
        <f aca="false">IF($N606="","",IF(AND($N606=Consulta!$C$3,$G606&lt;&gt;"",$G606&gt;=Consulta!$C$4,$G606&lt;=Consulta!$C$5),COUNTIFS($N$6:$N606,Consulta!$C$3,$G$6:$G606,"&gt;="&amp;Consulta!$C$4,$G$6:$G606,"&lt;="&amp;Consulta!$C$5),""))</f>
        <v/>
      </c>
      <c r="K606" s="48" t="str">
        <f aca="false">IF($C606="","",IF(AND($C606=Consulta!$L$3,$G606&lt;&gt;"",$G606&gt;=Consulta!$L$4,$G606&lt;=Consulta!$L$5),COUNTIFS($C$6:$C606,Consulta!$L$3,$G$6:$G606,"&gt;="&amp;Consulta!$L$4,$G$6:$G606,"&lt;="&amp;Consulta!$L$5),""))</f>
        <v/>
      </c>
      <c r="L606" s="48" t="str">
        <f aca="false">IF($D606="","",IF($D606=Consulta!$S$3,COUNTIF($D$6:$D606,Consulta!$S$3),""))</f>
        <v/>
      </c>
      <c r="M606" s="48" t="str">
        <f aca="false">IF($N606="","",IF(AND($N606='Comprovante DEV'!$D$6,$G606='Comprovante DEV'!$D$7),COUNTIFS($N$6:$N606,'Comprovante DEV'!$D$6,$G$6:$G606,'Comprovante DEV'!$D$7),""))</f>
        <v/>
      </c>
      <c r="N606" s="48" t="str">
        <f aca="false">IF($F606="","",IFERROR(VLOOKUP($F606,Apelidos_Tecnico!$A:$B,2,0),$F606))</f>
        <v/>
      </c>
    </row>
    <row r="607" customFormat="false" ht="15" hidden="false" customHeight="false" outlineLevel="0" collapsed="false">
      <c r="A607" s="25"/>
      <c r="B607" s="25"/>
      <c r="C607" s="26"/>
      <c r="D607" s="25"/>
      <c r="E607" s="25"/>
      <c r="F607" s="25"/>
      <c r="G607" s="27"/>
      <c r="H607" s="25"/>
      <c r="I607" s="26"/>
      <c r="J607" s="48" t="str">
        <f aca="false">IF($N607="","",IF(AND($N607=Consulta!$C$3,$G607&lt;&gt;"",$G607&gt;=Consulta!$C$4,$G607&lt;=Consulta!$C$5),COUNTIFS($N$6:$N607,Consulta!$C$3,$G$6:$G607,"&gt;="&amp;Consulta!$C$4,$G$6:$G607,"&lt;="&amp;Consulta!$C$5),""))</f>
        <v/>
      </c>
      <c r="K607" s="48" t="str">
        <f aca="false">IF($C607="","",IF(AND($C607=Consulta!$L$3,$G607&lt;&gt;"",$G607&gt;=Consulta!$L$4,$G607&lt;=Consulta!$L$5),COUNTIFS($C$6:$C607,Consulta!$L$3,$G$6:$G607,"&gt;="&amp;Consulta!$L$4,$G$6:$G607,"&lt;="&amp;Consulta!$L$5),""))</f>
        <v/>
      </c>
      <c r="L607" s="48" t="str">
        <f aca="false">IF($D607="","",IF($D607=Consulta!$S$3,COUNTIF($D$6:$D607,Consulta!$S$3),""))</f>
        <v/>
      </c>
      <c r="M607" s="48" t="str">
        <f aca="false">IF($N607="","",IF(AND($N607='Comprovante DEV'!$D$6,$G607='Comprovante DEV'!$D$7),COUNTIFS($N$6:$N607,'Comprovante DEV'!$D$6,$G$6:$G607,'Comprovante DEV'!$D$7),""))</f>
        <v/>
      </c>
      <c r="N607" s="48" t="str">
        <f aca="false">IF($F607="","",IFERROR(VLOOKUP($F607,Apelidos_Tecnico!$A:$B,2,0),$F607))</f>
        <v/>
      </c>
    </row>
    <row r="608" customFormat="false" ht="15" hidden="false" customHeight="false" outlineLevel="0" collapsed="false">
      <c r="A608" s="25"/>
      <c r="B608" s="25"/>
      <c r="C608" s="26"/>
      <c r="D608" s="25"/>
      <c r="E608" s="25"/>
      <c r="F608" s="25"/>
      <c r="G608" s="27"/>
      <c r="H608" s="25"/>
      <c r="I608" s="26"/>
      <c r="J608" s="48" t="str">
        <f aca="false">IF($N608="","",IF(AND($N608=Consulta!$C$3,$G608&lt;&gt;"",$G608&gt;=Consulta!$C$4,$G608&lt;=Consulta!$C$5),COUNTIFS($N$6:$N608,Consulta!$C$3,$G$6:$G608,"&gt;="&amp;Consulta!$C$4,$G$6:$G608,"&lt;="&amp;Consulta!$C$5),""))</f>
        <v/>
      </c>
      <c r="K608" s="48" t="str">
        <f aca="false">IF($C608="","",IF(AND($C608=Consulta!$L$3,$G608&lt;&gt;"",$G608&gt;=Consulta!$L$4,$G608&lt;=Consulta!$L$5),COUNTIFS($C$6:$C608,Consulta!$L$3,$G$6:$G608,"&gt;="&amp;Consulta!$L$4,$G$6:$G608,"&lt;="&amp;Consulta!$L$5),""))</f>
        <v/>
      </c>
      <c r="L608" s="48" t="str">
        <f aca="false">IF($D608="","",IF($D608=Consulta!$S$3,COUNTIF($D$6:$D608,Consulta!$S$3),""))</f>
        <v/>
      </c>
      <c r="M608" s="48" t="str">
        <f aca="false">IF($N608="","",IF(AND($N608='Comprovante DEV'!$D$6,$G608='Comprovante DEV'!$D$7),COUNTIFS($N$6:$N608,'Comprovante DEV'!$D$6,$G$6:$G608,'Comprovante DEV'!$D$7),""))</f>
        <v/>
      </c>
      <c r="N608" s="48" t="str">
        <f aca="false">IF($F608="","",IFERROR(VLOOKUP($F608,Apelidos_Tecnico!$A:$B,2,0),$F608))</f>
        <v/>
      </c>
    </row>
    <row r="609" customFormat="false" ht="15" hidden="false" customHeight="false" outlineLevel="0" collapsed="false">
      <c r="A609" s="25"/>
      <c r="B609" s="25"/>
      <c r="C609" s="26"/>
      <c r="D609" s="25"/>
      <c r="E609" s="25"/>
      <c r="F609" s="25"/>
      <c r="G609" s="27"/>
      <c r="H609" s="25"/>
      <c r="I609" s="26"/>
      <c r="J609" s="48" t="str">
        <f aca="false">IF($N609="","",IF(AND($N609=Consulta!$C$3,$G609&lt;&gt;"",$G609&gt;=Consulta!$C$4,$G609&lt;=Consulta!$C$5),COUNTIFS($N$6:$N609,Consulta!$C$3,$G$6:$G609,"&gt;="&amp;Consulta!$C$4,$G$6:$G609,"&lt;="&amp;Consulta!$C$5),""))</f>
        <v/>
      </c>
      <c r="K609" s="48" t="str">
        <f aca="false">IF($C609="","",IF(AND($C609=Consulta!$L$3,$G609&lt;&gt;"",$G609&gt;=Consulta!$L$4,$G609&lt;=Consulta!$L$5),COUNTIFS($C$6:$C609,Consulta!$L$3,$G$6:$G609,"&gt;="&amp;Consulta!$L$4,$G$6:$G609,"&lt;="&amp;Consulta!$L$5),""))</f>
        <v/>
      </c>
      <c r="L609" s="48" t="str">
        <f aca="false">IF($D609="","",IF($D609=Consulta!$S$3,COUNTIF($D$6:$D609,Consulta!$S$3),""))</f>
        <v/>
      </c>
      <c r="M609" s="48" t="str">
        <f aca="false">IF($N609="","",IF(AND($N609='Comprovante DEV'!$D$6,$G609='Comprovante DEV'!$D$7),COUNTIFS($N$6:$N609,'Comprovante DEV'!$D$6,$G$6:$G609,'Comprovante DEV'!$D$7),""))</f>
        <v/>
      </c>
      <c r="N609" s="48" t="str">
        <f aca="false">IF($F609="","",IFERROR(VLOOKUP($F609,Apelidos_Tecnico!$A:$B,2,0),$F609))</f>
        <v/>
      </c>
    </row>
    <row r="610" customFormat="false" ht="15" hidden="false" customHeight="false" outlineLevel="0" collapsed="false">
      <c r="A610" s="25"/>
      <c r="B610" s="25"/>
      <c r="C610" s="26"/>
      <c r="D610" s="25"/>
      <c r="E610" s="25"/>
      <c r="F610" s="25"/>
      <c r="G610" s="27"/>
      <c r="H610" s="25"/>
      <c r="I610" s="26"/>
      <c r="J610" s="48" t="str">
        <f aca="false">IF($N610="","",IF(AND($N610=Consulta!$C$3,$G610&lt;&gt;"",$G610&gt;=Consulta!$C$4,$G610&lt;=Consulta!$C$5),COUNTIFS($N$6:$N610,Consulta!$C$3,$G$6:$G610,"&gt;="&amp;Consulta!$C$4,$G$6:$G610,"&lt;="&amp;Consulta!$C$5),""))</f>
        <v/>
      </c>
      <c r="K610" s="48" t="str">
        <f aca="false">IF($C610="","",IF(AND($C610=Consulta!$L$3,$G610&lt;&gt;"",$G610&gt;=Consulta!$L$4,$G610&lt;=Consulta!$L$5),COUNTIFS($C$6:$C610,Consulta!$L$3,$G$6:$G610,"&gt;="&amp;Consulta!$L$4,$G$6:$G610,"&lt;="&amp;Consulta!$L$5),""))</f>
        <v/>
      </c>
      <c r="L610" s="48" t="str">
        <f aca="false">IF($D610="","",IF($D610=Consulta!$S$3,COUNTIF($D$6:$D610,Consulta!$S$3),""))</f>
        <v/>
      </c>
      <c r="M610" s="48" t="str">
        <f aca="false">IF($N610="","",IF(AND($N610='Comprovante DEV'!$D$6,$G610='Comprovante DEV'!$D$7),COUNTIFS($N$6:$N610,'Comprovante DEV'!$D$6,$G$6:$G610,'Comprovante DEV'!$D$7),""))</f>
        <v/>
      </c>
      <c r="N610" s="48" t="str">
        <f aca="false">IF($F610="","",IFERROR(VLOOKUP($F610,Apelidos_Tecnico!$A:$B,2,0),$F610))</f>
        <v/>
      </c>
    </row>
    <row r="611" customFormat="false" ht="15" hidden="false" customHeight="false" outlineLevel="0" collapsed="false">
      <c r="A611" s="25"/>
      <c r="B611" s="25"/>
      <c r="C611" s="26"/>
      <c r="D611" s="25"/>
      <c r="E611" s="25"/>
      <c r="F611" s="25"/>
      <c r="G611" s="27"/>
      <c r="H611" s="25"/>
      <c r="I611" s="26"/>
      <c r="J611" s="48" t="str">
        <f aca="false">IF($N611="","",IF(AND($N611=Consulta!$C$3,$G611&lt;&gt;"",$G611&gt;=Consulta!$C$4,$G611&lt;=Consulta!$C$5),COUNTIFS($N$6:$N611,Consulta!$C$3,$G$6:$G611,"&gt;="&amp;Consulta!$C$4,$G$6:$G611,"&lt;="&amp;Consulta!$C$5),""))</f>
        <v/>
      </c>
      <c r="K611" s="48" t="str">
        <f aca="false">IF($C611="","",IF(AND($C611=Consulta!$L$3,$G611&lt;&gt;"",$G611&gt;=Consulta!$L$4,$G611&lt;=Consulta!$L$5),COUNTIFS($C$6:$C611,Consulta!$L$3,$G$6:$G611,"&gt;="&amp;Consulta!$L$4,$G$6:$G611,"&lt;="&amp;Consulta!$L$5),""))</f>
        <v/>
      </c>
      <c r="L611" s="48" t="str">
        <f aca="false">IF($D611="","",IF($D611=Consulta!$S$3,COUNTIF($D$6:$D611,Consulta!$S$3),""))</f>
        <v/>
      </c>
      <c r="M611" s="48" t="str">
        <f aca="false">IF($N611="","",IF(AND($N611='Comprovante DEV'!$D$6,$G611='Comprovante DEV'!$D$7),COUNTIFS($N$6:$N611,'Comprovante DEV'!$D$6,$G$6:$G611,'Comprovante DEV'!$D$7),""))</f>
        <v/>
      </c>
      <c r="N611" s="48" t="str">
        <f aca="false">IF($F611="","",IFERROR(VLOOKUP($F611,Apelidos_Tecnico!$A:$B,2,0),$F611))</f>
        <v/>
      </c>
    </row>
    <row r="612" customFormat="false" ht="15" hidden="false" customHeight="false" outlineLevel="0" collapsed="false">
      <c r="A612" s="25"/>
      <c r="B612" s="25"/>
      <c r="C612" s="26"/>
      <c r="D612" s="25"/>
      <c r="E612" s="25"/>
      <c r="F612" s="25"/>
      <c r="G612" s="27"/>
      <c r="H612" s="25"/>
      <c r="I612" s="26"/>
      <c r="J612" s="48" t="str">
        <f aca="false">IF($N612="","",IF(AND($N612=Consulta!$C$3,$G612&lt;&gt;"",$G612&gt;=Consulta!$C$4,$G612&lt;=Consulta!$C$5),COUNTIFS($N$6:$N612,Consulta!$C$3,$G$6:$G612,"&gt;="&amp;Consulta!$C$4,$G$6:$G612,"&lt;="&amp;Consulta!$C$5),""))</f>
        <v/>
      </c>
      <c r="K612" s="48" t="str">
        <f aca="false">IF($C612="","",IF(AND($C612=Consulta!$L$3,$G612&lt;&gt;"",$G612&gt;=Consulta!$L$4,$G612&lt;=Consulta!$L$5),COUNTIFS($C$6:$C612,Consulta!$L$3,$G$6:$G612,"&gt;="&amp;Consulta!$L$4,$G$6:$G612,"&lt;="&amp;Consulta!$L$5),""))</f>
        <v/>
      </c>
      <c r="L612" s="48" t="str">
        <f aca="false">IF($D612="","",IF($D612=Consulta!$S$3,COUNTIF($D$6:$D612,Consulta!$S$3),""))</f>
        <v/>
      </c>
      <c r="M612" s="48" t="str">
        <f aca="false">IF($N612="","",IF(AND($N612='Comprovante DEV'!$D$6,$G612='Comprovante DEV'!$D$7),COUNTIFS($N$6:$N612,'Comprovante DEV'!$D$6,$G$6:$G612,'Comprovante DEV'!$D$7),""))</f>
        <v/>
      </c>
      <c r="N612" s="48" t="str">
        <f aca="false">IF($F612="","",IFERROR(VLOOKUP($F612,Apelidos_Tecnico!$A:$B,2,0),$F612))</f>
        <v/>
      </c>
    </row>
    <row r="613" customFormat="false" ht="15" hidden="false" customHeight="false" outlineLevel="0" collapsed="false">
      <c r="A613" s="25"/>
      <c r="B613" s="25"/>
      <c r="C613" s="26"/>
      <c r="D613" s="25"/>
      <c r="E613" s="25"/>
      <c r="F613" s="25"/>
      <c r="G613" s="27"/>
      <c r="H613" s="25"/>
      <c r="I613" s="26"/>
      <c r="J613" s="48" t="str">
        <f aca="false">IF($N613="","",IF(AND($N613=Consulta!$C$3,$G613&lt;&gt;"",$G613&gt;=Consulta!$C$4,$G613&lt;=Consulta!$C$5),COUNTIFS($N$6:$N613,Consulta!$C$3,$G$6:$G613,"&gt;="&amp;Consulta!$C$4,$G$6:$G613,"&lt;="&amp;Consulta!$C$5),""))</f>
        <v/>
      </c>
      <c r="K613" s="48" t="str">
        <f aca="false">IF($C613="","",IF(AND($C613=Consulta!$L$3,$G613&lt;&gt;"",$G613&gt;=Consulta!$L$4,$G613&lt;=Consulta!$L$5),COUNTIFS($C$6:$C613,Consulta!$L$3,$G$6:$G613,"&gt;="&amp;Consulta!$L$4,$G$6:$G613,"&lt;="&amp;Consulta!$L$5),""))</f>
        <v/>
      </c>
      <c r="L613" s="48" t="str">
        <f aca="false">IF($D613="","",IF($D613=Consulta!$S$3,COUNTIF($D$6:$D613,Consulta!$S$3),""))</f>
        <v/>
      </c>
      <c r="M613" s="48" t="str">
        <f aca="false">IF($N613="","",IF(AND($N613='Comprovante DEV'!$D$6,$G613='Comprovante DEV'!$D$7),COUNTIFS($N$6:$N613,'Comprovante DEV'!$D$6,$G$6:$G613,'Comprovante DEV'!$D$7),""))</f>
        <v/>
      </c>
      <c r="N613" s="48" t="str">
        <f aca="false">IF($F613="","",IFERROR(VLOOKUP($F613,Apelidos_Tecnico!$A:$B,2,0),$F613))</f>
        <v/>
      </c>
    </row>
    <row r="614" customFormat="false" ht="15" hidden="false" customHeight="false" outlineLevel="0" collapsed="false">
      <c r="A614" s="25"/>
      <c r="B614" s="25"/>
      <c r="C614" s="26"/>
      <c r="D614" s="25"/>
      <c r="E614" s="25"/>
      <c r="F614" s="25"/>
      <c r="G614" s="27"/>
      <c r="H614" s="25"/>
      <c r="I614" s="26"/>
      <c r="J614" s="48" t="str">
        <f aca="false">IF($N614="","",IF(AND($N614=Consulta!$C$3,$G614&lt;&gt;"",$G614&gt;=Consulta!$C$4,$G614&lt;=Consulta!$C$5),COUNTIFS($N$6:$N614,Consulta!$C$3,$G$6:$G614,"&gt;="&amp;Consulta!$C$4,$G$6:$G614,"&lt;="&amp;Consulta!$C$5),""))</f>
        <v/>
      </c>
      <c r="K614" s="48" t="str">
        <f aca="false">IF($C614="","",IF(AND($C614=Consulta!$L$3,$G614&lt;&gt;"",$G614&gt;=Consulta!$L$4,$G614&lt;=Consulta!$L$5),COUNTIFS($C$6:$C614,Consulta!$L$3,$G$6:$G614,"&gt;="&amp;Consulta!$L$4,$G$6:$G614,"&lt;="&amp;Consulta!$L$5),""))</f>
        <v/>
      </c>
      <c r="L614" s="48" t="str">
        <f aca="false">IF($D614="","",IF($D614=Consulta!$S$3,COUNTIF($D$6:$D614,Consulta!$S$3),""))</f>
        <v/>
      </c>
      <c r="M614" s="48" t="str">
        <f aca="false">IF($N614="","",IF(AND($N614='Comprovante DEV'!$D$6,$G614='Comprovante DEV'!$D$7),COUNTIFS($N$6:$N614,'Comprovante DEV'!$D$6,$G$6:$G614,'Comprovante DEV'!$D$7),""))</f>
        <v/>
      </c>
      <c r="N614" s="48" t="str">
        <f aca="false">IF($F614="","",IFERROR(VLOOKUP($F614,Apelidos_Tecnico!$A:$B,2,0),$F614))</f>
        <v/>
      </c>
    </row>
    <row r="615" customFormat="false" ht="15" hidden="false" customHeight="false" outlineLevel="0" collapsed="false">
      <c r="A615" s="25"/>
      <c r="B615" s="25"/>
      <c r="C615" s="26"/>
      <c r="D615" s="25"/>
      <c r="E615" s="25"/>
      <c r="F615" s="25"/>
      <c r="G615" s="27"/>
      <c r="H615" s="25"/>
      <c r="I615" s="26"/>
      <c r="J615" s="48" t="str">
        <f aca="false">IF($N615="","",IF(AND($N615=Consulta!$C$3,$G615&lt;&gt;"",$G615&gt;=Consulta!$C$4,$G615&lt;=Consulta!$C$5),COUNTIFS($N$6:$N615,Consulta!$C$3,$G$6:$G615,"&gt;="&amp;Consulta!$C$4,$G$6:$G615,"&lt;="&amp;Consulta!$C$5),""))</f>
        <v/>
      </c>
      <c r="K615" s="48" t="str">
        <f aca="false">IF($C615="","",IF(AND($C615=Consulta!$L$3,$G615&lt;&gt;"",$G615&gt;=Consulta!$L$4,$G615&lt;=Consulta!$L$5),COUNTIFS($C$6:$C615,Consulta!$L$3,$G$6:$G615,"&gt;="&amp;Consulta!$L$4,$G$6:$G615,"&lt;="&amp;Consulta!$L$5),""))</f>
        <v/>
      </c>
      <c r="L615" s="48" t="str">
        <f aca="false">IF($D615="","",IF($D615=Consulta!$S$3,COUNTIF($D$6:$D615,Consulta!$S$3),""))</f>
        <v/>
      </c>
      <c r="M615" s="48" t="str">
        <f aca="false">IF($N615="","",IF(AND($N615='Comprovante DEV'!$D$6,$G615='Comprovante DEV'!$D$7),COUNTIFS($N$6:$N615,'Comprovante DEV'!$D$6,$G$6:$G615,'Comprovante DEV'!$D$7),""))</f>
        <v/>
      </c>
      <c r="N615" s="48" t="str">
        <f aca="false">IF($F615="","",IFERROR(VLOOKUP($F615,Apelidos_Tecnico!$A:$B,2,0),$F615))</f>
        <v/>
      </c>
    </row>
    <row r="616" customFormat="false" ht="15" hidden="false" customHeight="false" outlineLevel="0" collapsed="false">
      <c r="A616" s="25"/>
      <c r="B616" s="25"/>
      <c r="C616" s="26"/>
      <c r="D616" s="25"/>
      <c r="E616" s="25"/>
      <c r="F616" s="25"/>
      <c r="G616" s="27"/>
      <c r="H616" s="25"/>
      <c r="I616" s="26"/>
      <c r="J616" s="48" t="str">
        <f aca="false">IF($N616="","",IF(AND($N616=Consulta!$C$3,$G616&lt;&gt;"",$G616&gt;=Consulta!$C$4,$G616&lt;=Consulta!$C$5),COUNTIFS($N$6:$N616,Consulta!$C$3,$G$6:$G616,"&gt;="&amp;Consulta!$C$4,$G$6:$G616,"&lt;="&amp;Consulta!$C$5),""))</f>
        <v/>
      </c>
      <c r="K616" s="48" t="str">
        <f aca="false">IF($C616="","",IF(AND($C616=Consulta!$L$3,$G616&lt;&gt;"",$G616&gt;=Consulta!$L$4,$G616&lt;=Consulta!$L$5),COUNTIFS($C$6:$C616,Consulta!$L$3,$G$6:$G616,"&gt;="&amp;Consulta!$L$4,$G$6:$G616,"&lt;="&amp;Consulta!$L$5),""))</f>
        <v/>
      </c>
      <c r="L616" s="48" t="str">
        <f aca="false">IF($D616="","",IF($D616=Consulta!$S$3,COUNTIF($D$6:$D616,Consulta!$S$3),""))</f>
        <v/>
      </c>
      <c r="M616" s="48" t="str">
        <f aca="false">IF($N616="","",IF(AND($N616='Comprovante DEV'!$D$6,$G616='Comprovante DEV'!$D$7),COUNTIFS($N$6:$N616,'Comprovante DEV'!$D$6,$G$6:$G616,'Comprovante DEV'!$D$7),""))</f>
        <v/>
      </c>
      <c r="N616" s="48" t="str">
        <f aca="false">IF($F616="","",IFERROR(VLOOKUP($F616,Apelidos_Tecnico!$A:$B,2,0),$F616))</f>
        <v/>
      </c>
    </row>
    <row r="617" customFormat="false" ht="15" hidden="false" customHeight="false" outlineLevel="0" collapsed="false">
      <c r="A617" s="25"/>
      <c r="B617" s="25"/>
      <c r="C617" s="26"/>
      <c r="D617" s="25"/>
      <c r="E617" s="25"/>
      <c r="F617" s="25"/>
      <c r="G617" s="27"/>
      <c r="H617" s="25"/>
      <c r="I617" s="26"/>
      <c r="J617" s="48" t="str">
        <f aca="false">IF($N617="","",IF(AND($N617=Consulta!$C$3,$G617&lt;&gt;"",$G617&gt;=Consulta!$C$4,$G617&lt;=Consulta!$C$5),COUNTIFS($N$6:$N617,Consulta!$C$3,$G$6:$G617,"&gt;="&amp;Consulta!$C$4,$G$6:$G617,"&lt;="&amp;Consulta!$C$5),""))</f>
        <v/>
      </c>
      <c r="K617" s="48" t="str">
        <f aca="false">IF($C617="","",IF(AND($C617=Consulta!$L$3,$G617&lt;&gt;"",$G617&gt;=Consulta!$L$4,$G617&lt;=Consulta!$L$5),COUNTIFS($C$6:$C617,Consulta!$L$3,$G$6:$G617,"&gt;="&amp;Consulta!$L$4,$G$6:$G617,"&lt;="&amp;Consulta!$L$5),""))</f>
        <v/>
      </c>
      <c r="L617" s="48" t="str">
        <f aca="false">IF($D617="","",IF($D617=Consulta!$S$3,COUNTIF($D$6:$D617,Consulta!$S$3),""))</f>
        <v/>
      </c>
      <c r="M617" s="48" t="str">
        <f aca="false">IF($N617="","",IF(AND($N617='Comprovante DEV'!$D$6,$G617='Comprovante DEV'!$D$7),COUNTIFS($N$6:$N617,'Comprovante DEV'!$D$6,$G$6:$G617,'Comprovante DEV'!$D$7),""))</f>
        <v/>
      </c>
      <c r="N617" s="48" t="str">
        <f aca="false">IF($F617="","",IFERROR(VLOOKUP($F617,Apelidos_Tecnico!$A:$B,2,0),$F617))</f>
        <v/>
      </c>
    </row>
    <row r="618" customFormat="false" ht="15" hidden="false" customHeight="false" outlineLevel="0" collapsed="false">
      <c r="A618" s="25"/>
      <c r="B618" s="25"/>
      <c r="C618" s="26"/>
      <c r="D618" s="25"/>
      <c r="E618" s="25"/>
      <c r="F618" s="25"/>
      <c r="G618" s="27"/>
      <c r="H618" s="25"/>
      <c r="I618" s="26"/>
      <c r="J618" s="48" t="str">
        <f aca="false">IF($N618="","",IF(AND($N618=Consulta!$C$3,$G618&lt;&gt;"",$G618&gt;=Consulta!$C$4,$G618&lt;=Consulta!$C$5),COUNTIFS($N$6:$N618,Consulta!$C$3,$G$6:$G618,"&gt;="&amp;Consulta!$C$4,$G$6:$G618,"&lt;="&amp;Consulta!$C$5),""))</f>
        <v/>
      </c>
      <c r="K618" s="48" t="str">
        <f aca="false">IF($C618="","",IF(AND($C618=Consulta!$L$3,$G618&lt;&gt;"",$G618&gt;=Consulta!$L$4,$G618&lt;=Consulta!$L$5),COUNTIFS($C$6:$C618,Consulta!$L$3,$G$6:$G618,"&gt;="&amp;Consulta!$L$4,$G$6:$G618,"&lt;="&amp;Consulta!$L$5),""))</f>
        <v/>
      </c>
      <c r="L618" s="48" t="str">
        <f aca="false">IF($D618="","",IF($D618=Consulta!$S$3,COUNTIF($D$6:$D618,Consulta!$S$3),""))</f>
        <v/>
      </c>
      <c r="M618" s="48" t="str">
        <f aca="false">IF($N618="","",IF(AND($N618='Comprovante DEV'!$D$6,$G618='Comprovante DEV'!$D$7),COUNTIFS($N$6:$N618,'Comprovante DEV'!$D$6,$G$6:$G618,'Comprovante DEV'!$D$7),""))</f>
        <v/>
      </c>
      <c r="N618" s="48" t="str">
        <f aca="false">IF($F618="","",IFERROR(VLOOKUP($F618,Apelidos_Tecnico!$A:$B,2,0),$F618))</f>
        <v/>
      </c>
    </row>
    <row r="619" customFormat="false" ht="15" hidden="false" customHeight="false" outlineLevel="0" collapsed="false">
      <c r="A619" s="25"/>
      <c r="B619" s="25"/>
      <c r="C619" s="26"/>
      <c r="D619" s="25"/>
      <c r="E619" s="25"/>
      <c r="F619" s="25"/>
      <c r="G619" s="27"/>
      <c r="H619" s="25"/>
      <c r="I619" s="26"/>
      <c r="J619" s="48" t="str">
        <f aca="false">IF($N619="","",IF(AND($N619=Consulta!$C$3,$G619&lt;&gt;"",$G619&gt;=Consulta!$C$4,$G619&lt;=Consulta!$C$5),COUNTIFS($N$6:$N619,Consulta!$C$3,$G$6:$G619,"&gt;="&amp;Consulta!$C$4,$G$6:$G619,"&lt;="&amp;Consulta!$C$5),""))</f>
        <v/>
      </c>
      <c r="K619" s="48" t="str">
        <f aca="false">IF($C619="","",IF(AND($C619=Consulta!$L$3,$G619&lt;&gt;"",$G619&gt;=Consulta!$L$4,$G619&lt;=Consulta!$L$5),COUNTIFS($C$6:$C619,Consulta!$L$3,$G$6:$G619,"&gt;="&amp;Consulta!$L$4,$G$6:$G619,"&lt;="&amp;Consulta!$L$5),""))</f>
        <v/>
      </c>
      <c r="L619" s="48" t="str">
        <f aca="false">IF($D619="","",IF($D619=Consulta!$S$3,COUNTIF($D$6:$D619,Consulta!$S$3),""))</f>
        <v/>
      </c>
      <c r="M619" s="48" t="str">
        <f aca="false">IF($N619="","",IF(AND($N619='Comprovante DEV'!$D$6,$G619='Comprovante DEV'!$D$7),COUNTIFS($N$6:$N619,'Comprovante DEV'!$D$6,$G$6:$G619,'Comprovante DEV'!$D$7),""))</f>
        <v/>
      </c>
      <c r="N619" s="48" t="str">
        <f aca="false">IF($F619="","",IFERROR(VLOOKUP($F619,Apelidos_Tecnico!$A:$B,2,0),$F619))</f>
        <v/>
      </c>
    </row>
    <row r="620" customFormat="false" ht="15" hidden="false" customHeight="false" outlineLevel="0" collapsed="false">
      <c r="A620" s="25"/>
      <c r="B620" s="25"/>
      <c r="C620" s="26"/>
      <c r="D620" s="25"/>
      <c r="E620" s="25"/>
      <c r="F620" s="25"/>
      <c r="G620" s="27"/>
      <c r="H620" s="25"/>
      <c r="I620" s="26"/>
      <c r="J620" s="48" t="str">
        <f aca="false">IF($N620="","",IF(AND($N620=Consulta!$C$3,$G620&lt;&gt;"",$G620&gt;=Consulta!$C$4,$G620&lt;=Consulta!$C$5),COUNTIFS($N$6:$N620,Consulta!$C$3,$G$6:$G620,"&gt;="&amp;Consulta!$C$4,$G$6:$G620,"&lt;="&amp;Consulta!$C$5),""))</f>
        <v/>
      </c>
      <c r="K620" s="48" t="str">
        <f aca="false">IF($C620="","",IF(AND($C620=Consulta!$L$3,$G620&lt;&gt;"",$G620&gt;=Consulta!$L$4,$G620&lt;=Consulta!$L$5),COUNTIFS($C$6:$C620,Consulta!$L$3,$G$6:$G620,"&gt;="&amp;Consulta!$L$4,$G$6:$G620,"&lt;="&amp;Consulta!$L$5),""))</f>
        <v/>
      </c>
      <c r="L620" s="48" t="str">
        <f aca="false">IF($D620="","",IF($D620=Consulta!$S$3,COUNTIF($D$6:$D620,Consulta!$S$3),""))</f>
        <v/>
      </c>
      <c r="M620" s="48" t="str">
        <f aca="false">IF($N620="","",IF(AND($N620='Comprovante DEV'!$D$6,$G620='Comprovante DEV'!$D$7),COUNTIFS($N$6:$N620,'Comprovante DEV'!$D$6,$G$6:$G620,'Comprovante DEV'!$D$7),""))</f>
        <v/>
      </c>
      <c r="N620" s="48" t="str">
        <f aca="false">IF($F620="","",IFERROR(VLOOKUP($F620,Apelidos_Tecnico!$A:$B,2,0),$F620))</f>
        <v/>
      </c>
    </row>
    <row r="621" customFormat="false" ht="15" hidden="false" customHeight="false" outlineLevel="0" collapsed="false">
      <c r="A621" s="25"/>
      <c r="B621" s="25"/>
      <c r="C621" s="26"/>
      <c r="D621" s="25"/>
      <c r="E621" s="25"/>
      <c r="F621" s="25"/>
      <c r="G621" s="27"/>
      <c r="H621" s="25"/>
      <c r="I621" s="26"/>
      <c r="J621" s="48" t="str">
        <f aca="false">IF($N621="","",IF(AND($N621=Consulta!$C$3,$G621&lt;&gt;"",$G621&gt;=Consulta!$C$4,$G621&lt;=Consulta!$C$5),COUNTIFS($N$6:$N621,Consulta!$C$3,$G$6:$G621,"&gt;="&amp;Consulta!$C$4,$G$6:$G621,"&lt;="&amp;Consulta!$C$5),""))</f>
        <v/>
      </c>
      <c r="K621" s="48" t="str">
        <f aca="false">IF($C621="","",IF(AND($C621=Consulta!$L$3,$G621&lt;&gt;"",$G621&gt;=Consulta!$L$4,$G621&lt;=Consulta!$L$5),COUNTIFS($C$6:$C621,Consulta!$L$3,$G$6:$G621,"&gt;="&amp;Consulta!$L$4,$G$6:$G621,"&lt;="&amp;Consulta!$L$5),""))</f>
        <v/>
      </c>
      <c r="L621" s="48" t="str">
        <f aca="false">IF($D621="","",IF($D621=Consulta!$S$3,COUNTIF($D$6:$D621,Consulta!$S$3),""))</f>
        <v/>
      </c>
      <c r="M621" s="48" t="str">
        <f aca="false">IF($N621="","",IF(AND($N621='Comprovante DEV'!$D$6,$G621='Comprovante DEV'!$D$7),COUNTIFS($N$6:$N621,'Comprovante DEV'!$D$6,$G$6:$G621,'Comprovante DEV'!$D$7),""))</f>
        <v/>
      </c>
      <c r="N621" s="48" t="str">
        <f aca="false">IF($F621="","",IFERROR(VLOOKUP($F621,Apelidos_Tecnico!$A:$B,2,0),$F621))</f>
        <v/>
      </c>
    </row>
    <row r="622" customFormat="false" ht="15" hidden="false" customHeight="false" outlineLevel="0" collapsed="false">
      <c r="A622" s="25"/>
      <c r="B622" s="25"/>
      <c r="C622" s="26"/>
      <c r="D622" s="25"/>
      <c r="E622" s="25"/>
      <c r="F622" s="25"/>
      <c r="G622" s="27"/>
      <c r="H622" s="25"/>
      <c r="I622" s="26"/>
      <c r="J622" s="48" t="str">
        <f aca="false">IF($N622="","",IF(AND($N622=Consulta!$C$3,$G622&lt;&gt;"",$G622&gt;=Consulta!$C$4,$G622&lt;=Consulta!$C$5),COUNTIFS($N$6:$N622,Consulta!$C$3,$G$6:$G622,"&gt;="&amp;Consulta!$C$4,$G$6:$G622,"&lt;="&amp;Consulta!$C$5),""))</f>
        <v/>
      </c>
      <c r="K622" s="48" t="str">
        <f aca="false">IF($C622="","",IF(AND($C622=Consulta!$L$3,$G622&lt;&gt;"",$G622&gt;=Consulta!$L$4,$G622&lt;=Consulta!$L$5),COUNTIFS($C$6:$C622,Consulta!$L$3,$G$6:$G622,"&gt;="&amp;Consulta!$L$4,$G$6:$G622,"&lt;="&amp;Consulta!$L$5),""))</f>
        <v/>
      </c>
      <c r="L622" s="48" t="str">
        <f aca="false">IF($D622="","",IF($D622=Consulta!$S$3,COUNTIF($D$6:$D622,Consulta!$S$3),""))</f>
        <v/>
      </c>
      <c r="M622" s="48" t="str">
        <f aca="false">IF($N622="","",IF(AND($N622='Comprovante DEV'!$D$6,$G622='Comprovante DEV'!$D$7),COUNTIFS($N$6:$N622,'Comprovante DEV'!$D$6,$G$6:$G622,'Comprovante DEV'!$D$7),""))</f>
        <v/>
      </c>
      <c r="N622" s="48" t="str">
        <f aca="false">IF($F622="","",IFERROR(VLOOKUP($F622,Apelidos_Tecnico!$A:$B,2,0),$F622))</f>
        <v/>
      </c>
    </row>
    <row r="623" customFormat="false" ht="15" hidden="false" customHeight="false" outlineLevel="0" collapsed="false">
      <c r="A623" s="25"/>
      <c r="B623" s="25"/>
      <c r="C623" s="26"/>
      <c r="D623" s="25"/>
      <c r="E623" s="25"/>
      <c r="F623" s="25"/>
      <c r="G623" s="27"/>
      <c r="H623" s="25"/>
      <c r="I623" s="26"/>
      <c r="J623" s="48" t="str">
        <f aca="false">IF($N623="","",IF(AND($N623=Consulta!$C$3,$G623&lt;&gt;"",$G623&gt;=Consulta!$C$4,$G623&lt;=Consulta!$C$5),COUNTIFS($N$6:$N623,Consulta!$C$3,$G$6:$G623,"&gt;="&amp;Consulta!$C$4,$G$6:$G623,"&lt;="&amp;Consulta!$C$5),""))</f>
        <v/>
      </c>
      <c r="K623" s="48" t="str">
        <f aca="false">IF($C623="","",IF(AND($C623=Consulta!$L$3,$G623&lt;&gt;"",$G623&gt;=Consulta!$L$4,$G623&lt;=Consulta!$L$5),COUNTIFS($C$6:$C623,Consulta!$L$3,$G$6:$G623,"&gt;="&amp;Consulta!$L$4,$G$6:$G623,"&lt;="&amp;Consulta!$L$5),""))</f>
        <v/>
      </c>
      <c r="L623" s="48" t="str">
        <f aca="false">IF($D623="","",IF($D623=Consulta!$S$3,COUNTIF($D$6:$D623,Consulta!$S$3),""))</f>
        <v/>
      </c>
      <c r="M623" s="48" t="str">
        <f aca="false">IF($N623="","",IF(AND($N623='Comprovante DEV'!$D$6,$G623='Comprovante DEV'!$D$7),COUNTIFS($N$6:$N623,'Comprovante DEV'!$D$6,$G$6:$G623,'Comprovante DEV'!$D$7),""))</f>
        <v/>
      </c>
      <c r="N623" s="48" t="str">
        <f aca="false">IF($F623="","",IFERROR(VLOOKUP($F623,Apelidos_Tecnico!$A:$B,2,0),$F623))</f>
        <v/>
      </c>
    </row>
    <row r="624" customFormat="false" ht="15" hidden="false" customHeight="false" outlineLevel="0" collapsed="false">
      <c r="A624" s="25"/>
      <c r="B624" s="25"/>
      <c r="C624" s="26"/>
      <c r="D624" s="25"/>
      <c r="E624" s="25"/>
      <c r="F624" s="25"/>
      <c r="G624" s="27"/>
      <c r="H624" s="25"/>
      <c r="I624" s="26"/>
      <c r="J624" s="48" t="str">
        <f aca="false">IF($N624="","",IF(AND($N624=Consulta!$C$3,$G624&lt;&gt;"",$G624&gt;=Consulta!$C$4,$G624&lt;=Consulta!$C$5),COUNTIFS($N$6:$N624,Consulta!$C$3,$G$6:$G624,"&gt;="&amp;Consulta!$C$4,$G$6:$G624,"&lt;="&amp;Consulta!$C$5),""))</f>
        <v/>
      </c>
      <c r="K624" s="48" t="str">
        <f aca="false">IF($C624="","",IF(AND($C624=Consulta!$L$3,$G624&lt;&gt;"",$G624&gt;=Consulta!$L$4,$G624&lt;=Consulta!$L$5),COUNTIFS($C$6:$C624,Consulta!$L$3,$G$6:$G624,"&gt;="&amp;Consulta!$L$4,$G$6:$G624,"&lt;="&amp;Consulta!$L$5),""))</f>
        <v/>
      </c>
      <c r="L624" s="48" t="str">
        <f aca="false">IF($D624="","",IF($D624=Consulta!$S$3,COUNTIF($D$6:$D624,Consulta!$S$3),""))</f>
        <v/>
      </c>
      <c r="M624" s="48" t="str">
        <f aca="false">IF($N624="","",IF(AND($N624='Comprovante DEV'!$D$6,$G624='Comprovante DEV'!$D$7),COUNTIFS($N$6:$N624,'Comprovante DEV'!$D$6,$G$6:$G624,'Comprovante DEV'!$D$7),""))</f>
        <v/>
      </c>
      <c r="N624" s="48" t="str">
        <f aca="false">IF($F624="","",IFERROR(VLOOKUP($F624,Apelidos_Tecnico!$A:$B,2,0),$F624))</f>
        <v/>
      </c>
    </row>
    <row r="625" customFormat="false" ht="15" hidden="false" customHeight="false" outlineLevel="0" collapsed="false">
      <c r="A625" s="25"/>
      <c r="B625" s="25"/>
      <c r="C625" s="26"/>
      <c r="D625" s="25"/>
      <c r="E625" s="25"/>
      <c r="F625" s="25"/>
      <c r="G625" s="27"/>
      <c r="H625" s="25"/>
      <c r="I625" s="26"/>
      <c r="J625" s="48" t="str">
        <f aca="false">IF($N625="","",IF(AND($N625=Consulta!$C$3,$G625&lt;&gt;"",$G625&gt;=Consulta!$C$4,$G625&lt;=Consulta!$C$5),COUNTIFS($N$6:$N625,Consulta!$C$3,$G$6:$G625,"&gt;="&amp;Consulta!$C$4,$G$6:$G625,"&lt;="&amp;Consulta!$C$5),""))</f>
        <v/>
      </c>
      <c r="K625" s="48" t="str">
        <f aca="false">IF($C625="","",IF(AND($C625=Consulta!$L$3,$G625&lt;&gt;"",$G625&gt;=Consulta!$L$4,$G625&lt;=Consulta!$L$5),COUNTIFS($C$6:$C625,Consulta!$L$3,$G$6:$G625,"&gt;="&amp;Consulta!$L$4,$G$6:$G625,"&lt;="&amp;Consulta!$L$5),""))</f>
        <v/>
      </c>
      <c r="L625" s="48" t="str">
        <f aca="false">IF($D625="","",IF($D625=Consulta!$S$3,COUNTIF($D$6:$D625,Consulta!$S$3),""))</f>
        <v/>
      </c>
      <c r="M625" s="48" t="str">
        <f aca="false">IF($N625="","",IF(AND($N625='Comprovante DEV'!$D$6,$G625='Comprovante DEV'!$D$7),COUNTIFS($N$6:$N625,'Comprovante DEV'!$D$6,$G$6:$G625,'Comprovante DEV'!$D$7),""))</f>
        <v/>
      </c>
      <c r="N625" s="48" t="str">
        <f aca="false">IF($F625="","",IFERROR(VLOOKUP($F625,Apelidos_Tecnico!$A:$B,2,0),$F625))</f>
        <v/>
      </c>
    </row>
    <row r="626" customFormat="false" ht="15" hidden="false" customHeight="false" outlineLevel="0" collapsed="false">
      <c r="A626" s="25"/>
      <c r="B626" s="25"/>
      <c r="C626" s="26"/>
      <c r="D626" s="25"/>
      <c r="E626" s="25"/>
      <c r="F626" s="25"/>
      <c r="G626" s="27"/>
      <c r="H626" s="25"/>
      <c r="I626" s="26"/>
      <c r="J626" s="48" t="str">
        <f aca="false">IF($N626="","",IF(AND($N626=Consulta!$C$3,$G626&lt;&gt;"",$G626&gt;=Consulta!$C$4,$G626&lt;=Consulta!$C$5),COUNTIFS($N$6:$N626,Consulta!$C$3,$G$6:$G626,"&gt;="&amp;Consulta!$C$4,$G$6:$G626,"&lt;="&amp;Consulta!$C$5),""))</f>
        <v/>
      </c>
      <c r="K626" s="48" t="str">
        <f aca="false">IF($C626="","",IF(AND($C626=Consulta!$L$3,$G626&lt;&gt;"",$G626&gt;=Consulta!$L$4,$G626&lt;=Consulta!$L$5),COUNTIFS($C$6:$C626,Consulta!$L$3,$G$6:$G626,"&gt;="&amp;Consulta!$L$4,$G$6:$G626,"&lt;="&amp;Consulta!$L$5),""))</f>
        <v/>
      </c>
      <c r="L626" s="48" t="str">
        <f aca="false">IF($D626="","",IF($D626=Consulta!$S$3,COUNTIF($D$6:$D626,Consulta!$S$3),""))</f>
        <v/>
      </c>
      <c r="M626" s="48" t="str">
        <f aca="false">IF($N626="","",IF(AND($N626='Comprovante DEV'!$D$6,$G626='Comprovante DEV'!$D$7),COUNTIFS($N$6:$N626,'Comprovante DEV'!$D$6,$G$6:$G626,'Comprovante DEV'!$D$7),""))</f>
        <v/>
      </c>
      <c r="N626" s="48" t="str">
        <f aca="false">IF($F626="","",IFERROR(VLOOKUP($F626,Apelidos_Tecnico!$A:$B,2,0),$F626))</f>
        <v/>
      </c>
    </row>
    <row r="627" customFormat="false" ht="15" hidden="false" customHeight="false" outlineLevel="0" collapsed="false">
      <c r="A627" s="25"/>
      <c r="B627" s="25"/>
      <c r="C627" s="26"/>
      <c r="D627" s="25"/>
      <c r="E627" s="25"/>
      <c r="F627" s="25"/>
      <c r="G627" s="27"/>
      <c r="H627" s="25"/>
      <c r="I627" s="26"/>
      <c r="J627" s="48" t="str">
        <f aca="false">IF($N627="","",IF(AND($N627=Consulta!$C$3,$G627&lt;&gt;"",$G627&gt;=Consulta!$C$4,$G627&lt;=Consulta!$C$5),COUNTIFS($N$6:$N627,Consulta!$C$3,$G$6:$G627,"&gt;="&amp;Consulta!$C$4,$G$6:$G627,"&lt;="&amp;Consulta!$C$5),""))</f>
        <v/>
      </c>
      <c r="K627" s="48" t="str">
        <f aca="false">IF($C627="","",IF(AND($C627=Consulta!$L$3,$G627&lt;&gt;"",$G627&gt;=Consulta!$L$4,$G627&lt;=Consulta!$L$5),COUNTIFS($C$6:$C627,Consulta!$L$3,$G$6:$G627,"&gt;="&amp;Consulta!$L$4,$G$6:$G627,"&lt;="&amp;Consulta!$L$5),""))</f>
        <v/>
      </c>
      <c r="L627" s="48" t="str">
        <f aca="false">IF($D627="","",IF($D627=Consulta!$S$3,COUNTIF($D$6:$D627,Consulta!$S$3),""))</f>
        <v/>
      </c>
      <c r="M627" s="48" t="str">
        <f aca="false">IF($N627="","",IF(AND($N627='Comprovante DEV'!$D$6,$G627='Comprovante DEV'!$D$7),COUNTIFS($N$6:$N627,'Comprovante DEV'!$D$6,$G$6:$G627,'Comprovante DEV'!$D$7),""))</f>
        <v/>
      </c>
      <c r="N627" s="48" t="str">
        <f aca="false">IF($F627="","",IFERROR(VLOOKUP($F627,Apelidos_Tecnico!$A:$B,2,0),$F627))</f>
        <v/>
      </c>
    </row>
    <row r="628" customFormat="false" ht="15" hidden="false" customHeight="false" outlineLevel="0" collapsed="false">
      <c r="A628" s="25"/>
      <c r="B628" s="25"/>
      <c r="C628" s="26"/>
      <c r="D628" s="25"/>
      <c r="E628" s="25"/>
      <c r="F628" s="25"/>
      <c r="G628" s="27"/>
      <c r="H628" s="25"/>
      <c r="I628" s="26"/>
      <c r="J628" s="48" t="str">
        <f aca="false">IF($N628="","",IF(AND($N628=Consulta!$C$3,$G628&lt;&gt;"",$G628&gt;=Consulta!$C$4,$G628&lt;=Consulta!$C$5),COUNTIFS($N$6:$N628,Consulta!$C$3,$G$6:$G628,"&gt;="&amp;Consulta!$C$4,$G$6:$G628,"&lt;="&amp;Consulta!$C$5),""))</f>
        <v/>
      </c>
      <c r="K628" s="48" t="str">
        <f aca="false">IF($C628="","",IF(AND($C628=Consulta!$L$3,$G628&lt;&gt;"",$G628&gt;=Consulta!$L$4,$G628&lt;=Consulta!$L$5),COUNTIFS($C$6:$C628,Consulta!$L$3,$G$6:$G628,"&gt;="&amp;Consulta!$L$4,$G$6:$G628,"&lt;="&amp;Consulta!$L$5),""))</f>
        <v/>
      </c>
      <c r="L628" s="48" t="str">
        <f aca="false">IF($D628="","",IF($D628=Consulta!$S$3,COUNTIF($D$6:$D628,Consulta!$S$3),""))</f>
        <v/>
      </c>
      <c r="M628" s="48" t="str">
        <f aca="false">IF($N628="","",IF(AND($N628='Comprovante DEV'!$D$6,$G628='Comprovante DEV'!$D$7),COUNTIFS($N$6:$N628,'Comprovante DEV'!$D$6,$G$6:$G628,'Comprovante DEV'!$D$7),""))</f>
        <v/>
      </c>
      <c r="N628" s="48" t="str">
        <f aca="false">IF($F628="","",IFERROR(VLOOKUP($F628,Apelidos_Tecnico!$A:$B,2,0),$F628))</f>
        <v/>
      </c>
    </row>
    <row r="629" customFormat="false" ht="15" hidden="false" customHeight="false" outlineLevel="0" collapsed="false">
      <c r="A629" s="25"/>
      <c r="B629" s="25"/>
      <c r="C629" s="26"/>
      <c r="D629" s="25"/>
      <c r="E629" s="25"/>
      <c r="F629" s="25"/>
      <c r="G629" s="27"/>
      <c r="H629" s="25"/>
      <c r="I629" s="26"/>
      <c r="J629" s="48" t="str">
        <f aca="false">IF($N629="","",IF(AND($N629=Consulta!$C$3,$G629&lt;&gt;"",$G629&gt;=Consulta!$C$4,$G629&lt;=Consulta!$C$5),COUNTIFS($N$6:$N629,Consulta!$C$3,$G$6:$G629,"&gt;="&amp;Consulta!$C$4,$G$6:$G629,"&lt;="&amp;Consulta!$C$5),""))</f>
        <v/>
      </c>
      <c r="K629" s="48" t="str">
        <f aca="false">IF($C629="","",IF(AND($C629=Consulta!$L$3,$G629&lt;&gt;"",$G629&gt;=Consulta!$L$4,$G629&lt;=Consulta!$L$5),COUNTIFS($C$6:$C629,Consulta!$L$3,$G$6:$G629,"&gt;="&amp;Consulta!$L$4,$G$6:$G629,"&lt;="&amp;Consulta!$L$5),""))</f>
        <v/>
      </c>
      <c r="L629" s="48" t="str">
        <f aca="false">IF($D629="","",IF($D629=Consulta!$S$3,COUNTIF($D$6:$D629,Consulta!$S$3),""))</f>
        <v/>
      </c>
      <c r="M629" s="48" t="str">
        <f aca="false">IF($N629="","",IF(AND($N629='Comprovante DEV'!$D$6,$G629='Comprovante DEV'!$D$7),COUNTIFS($N$6:$N629,'Comprovante DEV'!$D$6,$G$6:$G629,'Comprovante DEV'!$D$7),""))</f>
        <v/>
      </c>
      <c r="N629" s="48" t="str">
        <f aca="false">IF($F629="","",IFERROR(VLOOKUP($F629,Apelidos_Tecnico!$A:$B,2,0),$F629))</f>
        <v/>
      </c>
    </row>
    <row r="630" customFormat="false" ht="15" hidden="false" customHeight="false" outlineLevel="0" collapsed="false">
      <c r="A630" s="25"/>
      <c r="B630" s="25"/>
      <c r="C630" s="26"/>
      <c r="D630" s="25"/>
      <c r="E630" s="25"/>
      <c r="F630" s="25"/>
      <c r="G630" s="27"/>
      <c r="H630" s="25"/>
      <c r="I630" s="26"/>
      <c r="J630" s="48" t="str">
        <f aca="false">IF($N630="","",IF(AND($N630=Consulta!$C$3,$G630&lt;&gt;"",$G630&gt;=Consulta!$C$4,$G630&lt;=Consulta!$C$5),COUNTIFS($N$6:$N630,Consulta!$C$3,$G$6:$G630,"&gt;="&amp;Consulta!$C$4,$G$6:$G630,"&lt;="&amp;Consulta!$C$5),""))</f>
        <v/>
      </c>
      <c r="K630" s="48" t="str">
        <f aca="false">IF($C630="","",IF(AND($C630=Consulta!$L$3,$G630&lt;&gt;"",$G630&gt;=Consulta!$L$4,$G630&lt;=Consulta!$L$5),COUNTIFS($C$6:$C630,Consulta!$L$3,$G$6:$G630,"&gt;="&amp;Consulta!$L$4,$G$6:$G630,"&lt;="&amp;Consulta!$L$5),""))</f>
        <v/>
      </c>
      <c r="L630" s="48" t="str">
        <f aca="false">IF($D630="","",IF($D630=Consulta!$S$3,COUNTIF($D$6:$D630,Consulta!$S$3),""))</f>
        <v/>
      </c>
      <c r="M630" s="48" t="str">
        <f aca="false">IF($N630="","",IF(AND($N630='Comprovante DEV'!$D$6,$G630='Comprovante DEV'!$D$7),COUNTIFS($N$6:$N630,'Comprovante DEV'!$D$6,$G$6:$G630,'Comprovante DEV'!$D$7),""))</f>
        <v/>
      </c>
      <c r="N630" s="48" t="str">
        <f aca="false">IF($F630="","",IFERROR(VLOOKUP($F630,Apelidos_Tecnico!$A:$B,2,0),$F630))</f>
        <v/>
      </c>
    </row>
    <row r="631" customFormat="false" ht="15" hidden="false" customHeight="false" outlineLevel="0" collapsed="false">
      <c r="A631" s="25"/>
      <c r="B631" s="25"/>
      <c r="C631" s="26"/>
      <c r="D631" s="25"/>
      <c r="E631" s="25"/>
      <c r="F631" s="25"/>
      <c r="G631" s="27"/>
      <c r="H631" s="25"/>
      <c r="I631" s="26"/>
      <c r="J631" s="48" t="str">
        <f aca="false">IF($N631="","",IF(AND($N631=Consulta!$C$3,$G631&lt;&gt;"",$G631&gt;=Consulta!$C$4,$G631&lt;=Consulta!$C$5),COUNTIFS($N$6:$N631,Consulta!$C$3,$G$6:$G631,"&gt;="&amp;Consulta!$C$4,$G$6:$G631,"&lt;="&amp;Consulta!$C$5),""))</f>
        <v/>
      </c>
      <c r="K631" s="48" t="str">
        <f aca="false">IF($C631="","",IF(AND($C631=Consulta!$L$3,$G631&lt;&gt;"",$G631&gt;=Consulta!$L$4,$G631&lt;=Consulta!$L$5),COUNTIFS($C$6:$C631,Consulta!$L$3,$G$6:$G631,"&gt;="&amp;Consulta!$L$4,$G$6:$G631,"&lt;="&amp;Consulta!$L$5),""))</f>
        <v/>
      </c>
      <c r="L631" s="48" t="str">
        <f aca="false">IF($D631="","",IF($D631=Consulta!$S$3,COUNTIF($D$6:$D631,Consulta!$S$3),""))</f>
        <v/>
      </c>
      <c r="M631" s="48" t="str">
        <f aca="false">IF($N631="","",IF(AND($N631='Comprovante DEV'!$D$6,$G631='Comprovante DEV'!$D$7),COUNTIFS($N$6:$N631,'Comprovante DEV'!$D$6,$G$6:$G631,'Comprovante DEV'!$D$7),""))</f>
        <v/>
      </c>
      <c r="N631" s="48" t="str">
        <f aca="false">IF($F631="","",IFERROR(VLOOKUP($F631,Apelidos_Tecnico!$A:$B,2,0),$F631))</f>
        <v/>
      </c>
    </row>
    <row r="632" customFormat="false" ht="15" hidden="false" customHeight="false" outlineLevel="0" collapsed="false">
      <c r="A632" s="25"/>
      <c r="B632" s="25"/>
      <c r="C632" s="26"/>
      <c r="D632" s="25"/>
      <c r="E632" s="25"/>
      <c r="F632" s="25"/>
      <c r="G632" s="27"/>
      <c r="H632" s="25"/>
      <c r="I632" s="26"/>
      <c r="J632" s="48" t="str">
        <f aca="false">IF($N632="","",IF(AND($N632=Consulta!$C$3,$G632&lt;&gt;"",$G632&gt;=Consulta!$C$4,$G632&lt;=Consulta!$C$5),COUNTIFS($N$6:$N632,Consulta!$C$3,$G$6:$G632,"&gt;="&amp;Consulta!$C$4,$G$6:$G632,"&lt;="&amp;Consulta!$C$5),""))</f>
        <v/>
      </c>
      <c r="K632" s="48" t="str">
        <f aca="false">IF($C632="","",IF(AND($C632=Consulta!$L$3,$G632&lt;&gt;"",$G632&gt;=Consulta!$L$4,$G632&lt;=Consulta!$L$5),COUNTIFS($C$6:$C632,Consulta!$L$3,$G$6:$G632,"&gt;="&amp;Consulta!$L$4,$G$6:$G632,"&lt;="&amp;Consulta!$L$5),""))</f>
        <v/>
      </c>
      <c r="L632" s="48" t="str">
        <f aca="false">IF($D632="","",IF($D632=Consulta!$S$3,COUNTIF($D$6:$D632,Consulta!$S$3),""))</f>
        <v/>
      </c>
      <c r="M632" s="48" t="str">
        <f aca="false">IF($N632="","",IF(AND($N632='Comprovante DEV'!$D$6,$G632='Comprovante DEV'!$D$7),COUNTIFS($N$6:$N632,'Comprovante DEV'!$D$6,$G$6:$G632,'Comprovante DEV'!$D$7),""))</f>
        <v/>
      </c>
      <c r="N632" s="48" t="str">
        <f aca="false">IF($F632="","",IFERROR(VLOOKUP($F632,Apelidos_Tecnico!$A:$B,2,0),$F632))</f>
        <v/>
      </c>
    </row>
    <row r="633" customFormat="false" ht="15" hidden="false" customHeight="false" outlineLevel="0" collapsed="false">
      <c r="A633" s="25"/>
      <c r="B633" s="25"/>
      <c r="C633" s="26"/>
      <c r="D633" s="25"/>
      <c r="E633" s="25"/>
      <c r="F633" s="25"/>
      <c r="G633" s="27"/>
      <c r="H633" s="25"/>
      <c r="I633" s="26"/>
      <c r="J633" s="48" t="str">
        <f aca="false">IF($N633="","",IF(AND($N633=Consulta!$C$3,$G633&lt;&gt;"",$G633&gt;=Consulta!$C$4,$G633&lt;=Consulta!$C$5),COUNTIFS($N$6:$N633,Consulta!$C$3,$G$6:$G633,"&gt;="&amp;Consulta!$C$4,$G$6:$G633,"&lt;="&amp;Consulta!$C$5),""))</f>
        <v/>
      </c>
      <c r="K633" s="48" t="str">
        <f aca="false">IF($C633="","",IF(AND($C633=Consulta!$L$3,$G633&lt;&gt;"",$G633&gt;=Consulta!$L$4,$G633&lt;=Consulta!$L$5),COUNTIFS($C$6:$C633,Consulta!$L$3,$G$6:$G633,"&gt;="&amp;Consulta!$L$4,$G$6:$G633,"&lt;="&amp;Consulta!$L$5),""))</f>
        <v/>
      </c>
      <c r="L633" s="48" t="str">
        <f aca="false">IF($D633="","",IF($D633=Consulta!$S$3,COUNTIF($D$6:$D633,Consulta!$S$3),""))</f>
        <v/>
      </c>
      <c r="M633" s="48" t="str">
        <f aca="false">IF($N633="","",IF(AND($N633='Comprovante DEV'!$D$6,$G633='Comprovante DEV'!$D$7),COUNTIFS($N$6:$N633,'Comprovante DEV'!$D$6,$G$6:$G633,'Comprovante DEV'!$D$7),""))</f>
        <v/>
      </c>
      <c r="N633" s="48" t="str">
        <f aca="false">IF($F633="","",IFERROR(VLOOKUP($F633,Apelidos_Tecnico!$A:$B,2,0),$F633))</f>
        <v/>
      </c>
    </row>
    <row r="634" customFormat="false" ht="15" hidden="false" customHeight="false" outlineLevel="0" collapsed="false">
      <c r="A634" s="25"/>
      <c r="B634" s="25"/>
      <c r="C634" s="26"/>
      <c r="D634" s="25"/>
      <c r="E634" s="25"/>
      <c r="F634" s="25"/>
      <c r="G634" s="27"/>
      <c r="H634" s="25"/>
      <c r="I634" s="26"/>
      <c r="J634" s="48" t="str">
        <f aca="false">IF($N634="","",IF(AND($N634=Consulta!$C$3,$G634&lt;&gt;"",$G634&gt;=Consulta!$C$4,$G634&lt;=Consulta!$C$5),COUNTIFS($N$6:$N634,Consulta!$C$3,$G$6:$G634,"&gt;="&amp;Consulta!$C$4,$G$6:$G634,"&lt;="&amp;Consulta!$C$5),""))</f>
        <v/>
      </c>
      <c r="K634" s="48" t="str">
        <f aca="false">IF($C634="","",IF(AND($C634=Consulta!$L$3,$G634&lt;&gt;"",$G634&gt;=Consulta!$L$4,$G634&lt;=Consulta!$L$5),COUNTIFS($C$6:$C634,Consulta!$L$3,$G$6:$G634,"&gt;="&amp;Consulta!$L$4,$G$6:$G634,"&lt;="&amp;Consulta!$L$5),""))</f>
        <v/>
      </c>
      <c r="L634" s="48" t="str">
        <f aca="false">IF($D634="","",IF($D634=Consulta!$S$3,COUNTIF($D$6:$D634,Consulta!$S$3),""))</f>
        <v/>
      </c>
      <c r="M634" s="48" t="str">
        <f aca="false">IF($N634="","",IF(AND($N634='Comprovante DEV'!$D$6,$G634='Comprovante DEV'!$D$7),COUNTIFS($N$6:$N634,'Comprovante DEV'!$D$6,$G$6:$G634,'Comprovante DEV'!$D$7),""))</f>
        <v/>
      </c>
      <c r="N634" s="48" t="str">
        <f aca="false">IF($F634="","",IFERROR(VLOOKUP($F634,Apelidos_Tecnico!$A:$B,2,0),$F634))</f>
        <v/>
      </c>
    </row>
    <row r="635" customFormat="false" ht="15" hidden="false" customHeight="false" outlineLevel="0" collapsed="false">
      <c r="A635" s="25"/>
      <c r="B635" s="25"/>
      <c r="C635" s="26"/>
      <c r="D635" s="25"/>
      <c r="E635" s="25"/>
      <c r="F635" s="25"/>
      <c r="G635" s="27"/>
      <c r="H635" s="25"/>
      <c r="I635" s="26"/>
      <c r="J635" s="48" t="str">
        <f aca="false">IF($N635="","",IF(AND($N635=Consulta!$C$3,$G635&lt;&gt;"",$G635&gt;=Consulta!$C$4,$G635&lt;=Consulta!$C$5),COUNTIFS($N$6:$N635,Consulta!$C$3,$G$6:$G635,"&gt;="&amp;Consulta!$C$4,$G$6:$G635,"&lt;="&amp;Consulta!$C$5),""))</f>
        <v/>
      </c>
      <c r="K635" s="48" t="str">
        <f aca="false">IF($C635="","",IF(AND($C635=Consulta!$L$3,$G635&lt;&gt;"",$G635&gt;=Consulta!$L$4,$G635&lt;=Consulta!$L$5),COUNTIFS($C$6:$C635,Consulta!$L$3,$G$6:$G635,"&gt;="&amp;Consulta!$L$4,$G$6:$G635,"&lt;="&amp;Consulta!$L$5),""))</f>
        <v/>
      </c>
      <c r="L635" s="48" t="str">
        <f aca="false">IF($D635="","",IF($D635=Consulta!$S$3,COUNTIF($D$6:$D635,Consulta!$S$3),""))</f>
        <v/>
      </c>
      <c r="M635" s="48" t="str">
        <f aca="false">IF($N635="","",IF(AND($N635='Comprovante DEV'!$D$6,$G635='Comprovante DEV'!$D$7),COUNTIFS($N$6:$N635,'Comprovante DEV'!$D$6,$G$6:$G635,'Comprovante DEV'!$D$7),""))</f>
        <v/>
      </c>
      <c r="N635" s="48" t="str">
        <f aca="false">IF($F635="","",IFERROR(VLOOKUP($F635,Apelidos_Tecnico!$A:$B,2,0),$F635))</f>
        <v/>
      </c>
    </row>
    <row r="636" customFormat="false" ht="15" hidden="false" customHeight="false" outlineLevel="0" collapsed="false">
      <c r="A636" s="25"/>
      <c r="B636" s="25"/>
      <c r="C636" s="26"/>
      <c r="D636" s="25"/>
      <c r="E636" s="25"/>
      <c r="F636" s="25"/>
      <c r="G636" s="27"/>
      <c r="H636" s="25"/>
      <c r="I636" s="26"/>
      <c r="J636" s="48" t="str">
        <f aca="false">IF($N636="","",IF(AND($N636=Consulta!$C$3,$G636&lt;&gt;"",$G636&gt;=Consulta!$C$4,$G636&lt;=Consulta!$C$5),COUNTIFS($N$6:$N636,Consulta!$C$3,$G$6:$G636,"&gt;="&amp;Consulta!$C$4,$G$6:$G636,"&lt;="&amp;Consulta!$C$5),""))</f>
        <v/>
      </c>
      <c r="K636" s="48" t="str">
        <f aca="false">IF($C636="","",IF(AND($C636=Consulta!$L$3,$G636&lt;&gt;"",$G636&gt;=Consulta!$L$4,$G636&lt;=Consulta!$L$5),COUNTIFS($C$6:$C636,Consulta!$L$3,$G$6:$G636,"&gt;="&amp;Consulta!$L$4,$G$6:$G636,"&lt;="&amp;Consulta!$L$5),""))</f>
        <v/>
      </c>
      <c r="L636" s="48" t="str">
        <f aca="false">IF($D636="","",IF($D636=Consulta!$S$3,COUNTIF($D$6:$D636,Consulta!$S$3),""))</f>
        <v/>
      </c>
      <c r="M636" s="48" t="str">
        <f aca="false">IF($N636="","",IF(AND($N636='Comprovante DEV'!$D$6,$G636='Comprovante DEV'!$D$7),COUNTIFS($N$6:$N636,'Comprovante DEV'!$D$6,$G$6:$G636,'Comprovante DEV'!$D$7),""))</f>
        <v/>
      </c>
      <c r="N636" s="48" t="str">
        <f aca="false">IF($F636="","",IFERROR(VLOOKUP($F636,Apelidos_Tecnico!$A:$B,2,0),$F636))</f>
        <v/>
      </c>
    </row>
    <row r="637" customFormat="false" ht="15" hidden="false" customHeight="false" outlineLevel="0" collapsed="false">
      <c r="A637" s="25"/>
      <c r="B637" s="25"/>
      <c r="C637" s="26"/>
      <c r="D637" s="25"/>
      <c r="E637" s="25"/>
      <c r="F637" s="25"/>
      <c r="G637" s="27"/>
      <c r="H637" s="25"/>
      <c r="I637" s="26"/>
      <c r="J637" s="48" t="str">
        <f aca="false">IF($N637="","",IF(AND($N637=Consulta!$C$3,$G637&lt;&gt;"",$G637&gt;=Consulta!$C$4,$G637&lt;=Consulta!$C$5),COUNTIFS($N$6:$N637,Consulta!$C$3,$G$6:$G637,"&gt;="&amp;Consulta!$C$4,$G$6:$G637,"&lt;="&amp;Consulta!$C$5),""))</f>
        <v/>
      </c>
      <c r="K637" s="48" t="str">
        <f aca="false">IF($C637="","",IF(AND($C637=Consulta!$L$3,$G637&lt;&gt;"",$G637&gt;=Consulta!$L$4,$G637&lt;=Consulta!$L$5),COUNTIFS($C$6:$C637,Consulta!$L$3,$G$6:$G637,"&gt;="&amp;Consulta!$L$4,$G$6:$G637,"&lt;="&amp;Consulta!$L$5),""))</f>
        <v/>
      </c>
      <c r="L637" s="48" t="str">
        <f aca="false">IF($D637="","",IF($D637=Consulta!$S$3,COUNTIF($D$6:$D637,Consulta!$S$3),""))</f>
        <v/>
      </c>
      <c r="M637" s="48" t="str">
        <f aca="false">IF($N637="","",IF(AND($N637='Comprovante DEV'!$D$6,$G637='Comprovante DEV'!$D$7),COUNTIFS($N$6:$N637,'Comprovante DEV'!$D$6,$G$6:$G637,'Comprovante DEV'!$D$7),""))</f>
        <v/>
      </c>
      <c r="N637" s="48" t="str">
        <f aca="false">IF($F637="","",IFERROR(VLOOKUP($F637,Apelidos_Tecnico!$A:$B,2,0),$F637))</f>
        <v/>
      </c>
    </row>
    <row r="638" customFormat="false" ht="15" hidden="false" customHeight="false" outlineLevel="0" collapsed="false">
      <c r="A638" s="25"/>
      <c r="B638" s="25"/>
      <c r="C638" s="26"/>
      <c r="D638" s="25"/>
      <c r="E638" s="25"/>
      <c r="F638" s="25"/>
      <c r="G638" s="27"/>
      <c r="H638" s="25"/>
      <c r="I638" s="26"/>
      <c r="J638" s="48" t="str">
        <f aca="false">IF($N638="","",IF(AND($N638=Consulta!$C$3,$G638&lt;&gt;"",$G638&gt;=Consulta!$C$4,$G638&lt;=Consulta!$C$5),COUNTIFS($N$6:$N638,Consulta!$C$3,$G$6:$G638,"&gt;="&amp;Consulta!$C$4,$G$6:$G638,"&lt;="&amp;Consulta!$C$5),""))</f>
        <v/>
      </c>
      <c r="K638" s="48" t="str">
        <f aca="false">IF($C638="","",IF(AND($C638=Consulta!$L$3,$G638&lt;&gt;"",$G638&gt;=Consulta!$L$4,$G638&lt;=Consulta!$L$5),COUNTIFS($C$6:$C638,Consulta!$L$3,$G$6:$G638,"&gt;="&amp;Consulta!$L$4,$G$6:$G638,"&lt;="&amp;Consulta!$L$5),""))</f>
        <v/>
      </c>
      <c r="L638" s="48" t="str">
        <f aca="false">IF($D638="","",IF($D638=Consulta!$S$3,COUNTIF($D$6:$D638,Consulta!$S$3),""))</f>
        <v/>
      </c>
      <c r="M638" s="48" t="str">
        <f aca="false">IF($N638="","",IF(AND($N638='Comprovante DEV'!$D$6,$G638='Comprovante DEV'!$D$7),COUNTIFS($N$6:$N638,'Comprovante DEV'!$D$6,$G$6:$G638,'Comprovante DEV'!$D$7),""))</f>
        <v/>
      </c>
      <c r="N638" s="48" t="str">
        <f aca="false">IF($F638="","",IFERROR(VLOOKUP($F638,Apelidos_Tecnico!$A:$B,2,0),$F638))</f>
        <v/>
      </c>
    </row>
    <row r="639" customFormat="false" ht="15" hidden="false" customHeight="false" outlineLevel="0" collapsed="false">
      <c r="A639" s="25"/>
      <c r="B639" s="25"/>
      <c r="C639" s="26"/>
      <c r="D639" s="25"/>
      <c r="E639" s="25"/>
      <c r="F639" s="25"/>
      <c r="G639" s="27"/>
      <c r="H639" s="25"/>
      <c r="I639" s="26"/>
      <c r="J639" s="48" t="str">
        <f aca="false">IF($N639="","",IF(AND($N639=Consulta!$C$3,$G639&lt;&gt;"",$G639&gt;=Consulta!$C$4,$G639&lt;=Consulta!$C$5),COUNTIFS($N$6:$N639,Consulta!$C$3,$G$6:$G639,"&gt;="&amp;Consulta!$C$4,$G$6:$G639,"&lt;="&amp;Consulta!$C$5),""))</f>
        <v/>
      </c>
      <c r="K639" s="48" t="str">
        <f aca="false">IF($C639="","",IF(AND($C639=Consulta!$L$3,$G639&lt;&gt;"",$G639&gt;=Consulta!$L$4,$G639&lt;=Consulta!$L$5),COUNTIFS($C$6:$C639,Consulta!$L$3,$G$6:$G639,"&gt;="&amp;Consulta!$L$4,$G$6:$G639,"&lt;="&amp;Consulta!$L$5),""))</f>
        <v/>
      </c>
      <c r="L639" s="48" t="str">
        <f aca="false">IF($D639="","",IF($D639=Consulta!$S$3,COUNTIF($D$6:$D639,Consulta!$S$3),""))</f>
        <v/>
      </c>
      <c r="M639" s="48" t="str">
        <f aca="false">IF($N639="","",IF(AND($N639='Comprovante DEV'!$D$6,$G639='Comprovante DEV'!$D$7),COUNTIFS($N$6:$N639,'Comprovante DEV'!$D$6,$G$6:$G639,'Comprovante DEV'!$D$7),""))</f>
        <v/>
      </c>
      <c r="N639" s="48" t="str">
        <f aca="false">IF($F639="","",IFERROR(VLOOKUP($F639,Apelidos_Tecnico!$A:$B,2,0),$F639))</f>
        <v/>
      </c>
    </row>
    <row r="640" customFormat="false" ht="15" hidden="false" customHeight="false" outlineLevel="0" collapsed="false">
      <c r="A640" s="25"/>
      <c r="B640" s="25"/>
      <c r="C640" s="26"/>
      <c r="D640" s="25"/>
      <c r="E640" s="25"/>
      <c r="F640" s="25"/>
      <c r="G640" s="27"/>
      <c r="H640" s="25"/>
      <c r="I640" s="26"/>
      <c r="J640" s="48" t="str">
        <f aca="false">IF($N640="","",IF(AND($N640=Consulta!$C$3,$G640&lt;&gt;"",$G640&gt;=Consulta!$C$4,$G640&lt;=Consulta!$C$5),COUNTIFS($N$6:$N640,Consulta!$C$3,$G$6:$G640,"&gt;="&amp;Consulta!$C$4,$G$6:$G640,"&lt;="&amp;Consulta!$C$5),""))</f>
        <v/>
      </c>
      <c r="K640" s="48" t="str">
        <f aca="false">IF($C640="","",IF(AND($C640=Consulta!$L$3,$G640&lt;&gt;"",$G640&gt;=Consulta!$L$4,$G640&lt;=Consulta!$L$5),COUNTIFS($C$6:$C640,Consulta!$L$3,$G$6:$G640,"&gt;="&amp;Consulta!$L$4,$G$6:$G640,"&lt;="&amp;Consulta!$L$5),""))</f>
        <v/>
      </c>
      <c r="L640" s="48" t="str">
        <f aca="false">IF($D640="","",IF($D640=Consulta!$S$3,COUNTIF($D$6:$D640,Consulta!$S$3),""))</f>
        <v/>
      </c>
      <c r="M640" s="48" t="str">
        <f aca="false">IF($N640="","",IF(AND($N640='Comprovante DEV'!$D$6,$G640='Comprovante DEV'!$D$7),COUNTIFS($N$6:$N640,'Comprovante DEV'!$D$6,$G$6:$G640,'Comprovante DEV'!$D$7),""))</f>
        <v/>
      </c>
      <c r="N640" s="48" t="str">
        <f aca="false">IF($F640="","",IFERROR(VLOOKUP($F640,Apelidos_Tecnico!$A:$B,2,0),$F640))</f>
        <v/>
      </c>
    </row>
    <row r="641" customFormat="false" ht="15" hidden="false" customHeight="false" outlineLevel="0" collapsed="false">
      <c r="A641" s="25"/>
      <c r="B641" s="25"/>
      <c r="C641" s="26"/>
      <c r="D641" s="25"/>
      <c r="E641" s="25"/>
      <c r="F641" s="25"/>
      <c r="G641" s="27"/>
      <c r="H641" s="25"/>
      <c r="I641" s="26"/>
      <c r="J641" s="48" t="str">
        <f aca="false">IF($N641="","",IF(AND($N641=Consulta!$C$3,$G641&lt;&gt;"",$G641&gt;=Consulta!$C$4,$G641&lt;=Consulta!$C$5),COUNTIFS($N$6:$N641,Consulta!$C$3,$G$6:$G641,"&gt;="&amp;Consulta!$C$4,$G$6:$G641,"&lt;="&amp;Consulta!$C$5),""))</f>
        <v/>
      </c>
      <c r="K641" s="48" t="str">
        <f aca="false">IF($C641="","",IF(AND($C641=Consulta!$L$3,$G641&lt;&gt;"",$G641&gt;=Consulta!$L$4,$G641&lt;=Consulta!$L$5),COUNTIFS($C$6:$C641,Consulta!$L$3,$G$6:$G641,"&gt;="&amp;Consulta!$L$4,$G$6:$G641,"&lt;="&amp;Consulta!$L$5),""))</f>
        <v/>
      </c>
      <c r="L641" s="48" t="str">
        <f aca="false">IF($D641="","",IF($D641=Consulta!$S$3,COUNTIF($D$6:$D641,Consulta!$S$3),""))</f>
        <v/>
      </c>
      <c r="M641" s="48" t="str">
        <f aca="false">IF($N641="","",IF(AND($N641='Comprovante DEV'!$D$6,$G641='Comprovante DEV'!$D$7),COUNTIFS($N$6:$N641,'Comprovante DEV'!$D$6,$G$6:$G641,'Comprovante DEV'!$D$7),""))</f>
        <v/>
      </c>
      <c r="N641" s="48" t="str">
        <f aca="false">IF($F641="","",IFERROR(VLOOKUP($F641,Apelidos_Tecnico!$A:$B,2,0),$F641))</f>
        <v/>
      </c>
    </row>
    <row r="642" customFormat="false" ht="15" hidden="false" customHeight="false" outlineLevel="0" collapsed="false">
      <c r="A642" s="25"/>
      <c r="B642" s="25"/>
      <c r="C642" s="26"/>
      <c r="D642" s="25"/>
      <c r="E642" s="25"/>
      <c r="F642" s="25"/>
      <c r="G642" s="27"/>
      <c r="H642" s="25"/>
      <c r="I642" s="26"/>
      <c r="J642" s="48" t="str">
        <f aca="false">IF($N642="","",IF(AND($N642=Consulta!$C$3,$G642&lt;&gt;"",$G642&gt;=Consulta!$C$4,$G642&lt;=Consulta!$C$5),COUNTIFS($N$6:$N642,Consulta!$C$3,$G$6:$G642,"&gt;="&amp;Consulta!$C$4,$G$6:$G642,"&lt;="&amp;Consulta!$C$5),""))</f>
        <v/>
      </c>
      <c r="K642" s="48" t="str">
        <f aca="false">IF($C642="","",IF(AND($C642=Consulta!$L$3,$G642&lt;&gt;"",$G642&gt;=Consulta!$L$4,$G642&lt;=Consulta!$L$5),COUNTIFS($C$6:$C642,Consulta!$L$3,$G$6:$G642,"&gt;="&amp;Consulta!$L$4,$G$6:$G642,"&lt;="&amp;Consulta!$L$5),""))</f>
        <v/>
      </c>
      <c r="L642" s="48" t="str">
        <f aca="false">IF($D642="","",IF($D642=Consulta!$S$3,COUNTIF($D$6:$D642,Consulta!$S$3),""))</f>
        <v/>
      </c>
      <c r="M642" s="48" t="str">
        <f aca="false">IF($N642="","",IF(AND($N642='Comprovante DEV'!$D$6,$G642='Comprovante DEV'!$D$7),COUNTIFS($N$6:$N642,'Comprovante DEV'!$D$6,$G$6:$G642,'Comprovante DEV'!$D$7),""))</f>
        <v/>
      </c>
      <c r="N642" s="48" t="str">
        <f aca="false">IF($F642="","",IFERROR(VLOOKUP($F642,Apelidos_Tecnico!$A:$B,2,0),$F642))</f>
        <v/>
      </c>
    </row>
    <row r="643" customFormat="false" ht="15" hidden="false" customHeight="false" outlineLevel="0" collapsed="false">
      <c r="A643" s="25"/>
      <c r="B643" s="25"/>
      <c r="C643" s="26"/>
      <c r="D643" s="25"/>
      <c r="E643" s="25"/>
      <c r="F643" s="25"/>
      <c r="G643" s="27"/>
      <c r="H643" s="25"/>
      <c r="I643" s="26"/>
      <c r="J643" s="48" t="str">
        <f aca="false">IF($N643="","",IF(AND($N643=Consulta!$C$3,$G643&lt;&gt;"",$G643&gt;=Consulta!$C$4,$G643&lt;=Consulta!$C$5),COUNTIFS($N$6:$N643,Consulta!$C$3,$G$6:$G643,"&gt;="&amp;Consulta!$C$4,$G$6:$G643,"&lt;="&amp;Consulta!$C$5),""))</f>
        <v/>
      </c>
      <c r="K643" s="48" t="str">
        <f aca="false">IF($C643="","",IF(AND($C643=Consulta!$L$3,$G643&lt;&gt;"",$G643&gt;=Consulta!$L$4,$G643&lt;=Consulta!$L$5),COUNTIFS($C$6:$C643,Consulta!$L$3,$G$6:$G643,"&gt;="&amp;Consulta!$L$4,$G$6:$G643,"&lt;="&amp;Consulta!$L$5),""))</f>
        <v/>
      </c>
      <c r="L643" s="48" t="str">
        <f aca="false">IF($D643="","",IF($D643=Consulta!$S$3,COUNTIF($D$6:$D643,Consulta!$S$3),""))</f>
        <v/>
      </c>
      <c r="M643" s="48" t="str">
        <f aca="false">IF($N643="","",IF(AND($N643='Comprovante DEV'!$D$6,$G643='Comprovante DEV'!$D$7),COUNTIFS($N$6:$N643,'Comprovante DEV'!$D$6,$G$6:$G643,'Comprovante DEV'!$D$7),""))</f>
        <v/>
      </c>
      <c r="N643" s="48" t="str">
        <f aca="false">IF($F643="","",IFERROR(VLOOKUP($F643,Apelidos_Tecnico!$A:$B,2,0),$F643))</f>
        <v/>
      </c>
    </row>
    <row r="644" customFormat="false" ht="15" hidden="false" customHeight="false" outlineLevel="0" collapsed="false">
      <c r="A644" s="25"/>
      <c r="B644" s="25"/>
      <c r="C644" s="26"/>
      <c r="D644" s="25"/>
      <c r="E644" s="25"/>
      <c r="F644" s="25"/>
      <c r="G644" s="27"/>
      <c r="H644" s="25"/>
      <c r="I644" s="26"/>
      <c r="J644" s="48" t="str">
        <f aca="false">IF($N644="","",IF(AND($N644=Consulta!$C$3,$G644&lt;&gt;"",$G644&gt;=Consulta!$C$4,$G644&lt;=Consulta!$C$5),COUNTIFS($N$6:$N644,Consulta!$C$3,$G$6:$G644,"&gt;="&amp;Consulta!$C$4,$G$6:$G644,"&lt;="&amp;Consulta!$C$5),""))</f>
        <v/>
      </c>
      <c r="K644" s="48" t="str">
        <f aca="false">IF($C644="","",IF(AND($C644=Consulta!$L$3,$G644&lt;&gt;"",$G644&gt;=Consulta!$L$4,$G644&lt;=Consulta!$L$5),COUNTIFS($C$6:$C644,Consulta!$L$3,$G$6:$G644,"&gt;="&amp;Consulta!$L$4,$G$6:$G644,"&lt;="&amp;Consulta!$L$5),""))</f>
        <v/>
      </c>
      <c r="L644" s="48" t="str">
        <f aca="false">IF($D644="","",IF($D644=Consulta!$S$3,COUNTIF($D$6:$D644,Consulta!$S$3),""))</f>
        <v/>
      </c>
      <c r="M644" s="48" t="str">
        <f aca="false">IF($N644="","",IF(AND($N644='Comprovante DEV'!$D$6,$G644='Comprovante DEV'!$D$7),COUNTIFS($N$6:$N644,'Comprovante DEV'!$D$6,$G$6:$G644,'Comprovante DEV'!$D$7),""))</f>
        <v/>
      </c>
      <c r="N644" s="48" t="str">
        <f aca="false">IF($F644="","",IFERROR(VLOOKUP($F644,Apelidos_Tecnico!$A:$B,2,0),$F644))</f>
        <v/>
      </c>
    </row>
    <row r="645" customFormat="false" ht="15" hidden="false" customHeight="false" outlineLevel="0" collapsed="false">
      <c r="A645" s="25"/>
      <c r="B645" s="25"/>
      <c r="C645" s="26"/>
      <c r="D645" s="25"/>
      <c r="E645" s="25"/>
      <c r="F645" s="25"/>
      <c r="G645" s="27"/>
      <c r="H645" s="25"/>
      <c r="I645" s="26"/>
      <c r="J645" s="48" t="str">
        <f aca="false">IF($N645="","",IF(AND($N645=Consulta!$C$3,$G645&lt;&gt;"",$G645&gt;=Consulta!$C$4,$G645&lt;=Consulta!$C$5),COUNTIFS($N$6:$N645,Consulta!$C$3,$G$6:$G645,"&gt;="&amp;Consulta!$C$4,$G$6:$G645,"&lt;="&amp;Consulta!$C$5),""))</f>
        <v/>
      </c>
      <c r="K645" s="48" t="str">
        <f aca="false">IF($C645="","",IF(AND($C645=Consulta!$L$3,$G645&lt;&gt;"",$G645&gt;=Consulta!$L$4,$G645&lt;=Consulta!$L$5),COUNTIFS($C$6:$C645,Consulta!$L$3,$G$6:$G645,"&gt;="&amp;Consulta!$L$4,$G$6:$G645,"&lt;="&amp;Consulta!$L$5),""))</f>
        <v/>
      </c>
      <c r="L645" s="48" t="str">
        <f aca="false">IF($D645="","",IF($D645=Consulta!$S$3,COUNTIF($D$6:$D645,Consulta!$S$3),""))</f>
        <v/>
      </c>
      <c r="M645" s="48" t="str">
        <f aca="false">IF($N645="","",IF(AND($N645='Comprovante DEV'!$D$6,$G645='Comprovante DEV'!$D$7),COUNTIFS($N$6:$N645,'Comprovante DEV'!$D$6,$G$6:$G645,'Comprovante DEV'!$D$7),""))</f>
        <v/>
      </c>
      <c r="N645" s="48" t="str">
        <f aca="false">IF($F645="","",IFERROR(VLOOKUP($F645,Apelidos_Tecnico!$A:$B,2,0),$F645))</f>
        <v/>
      </c>
    </row>
    <row r="646" customFormat="false" ht="15" hidden="false" customHeight="false" outlineLevel="0" collapsed="false">
      <c r="A646" s="25"/>
      <c r="B646" s="25"/>
      <c r="C646" s="26"/>
      <c r="D646" s="25"/>
      <c r="E646" s="25"/>
      <c r="F646" s="25"/>
      <c r="G646" s="27"/>
      <c r="H646" s="25"/>
      <c r="I646" s="26"/>
      <c r="J646" s="48" t="str">
        <f aca="false">IF($N646="","",IF(AND($N646=Consulta!$C$3,$G646&lt;&gt;"",$G646&gt;=Consulta!$C$4,$G646&lt;=Consulta!$C$5),COUNTIFS($N$6:$N646,Consulta!$C$3,$G$6:$G646,"&gt;="&amp;Consulta!$C$4,$G$6:$G646,"&lt;="&amp;Consulta!$C$5),""))</f>
        <v/>
      </c>
      <c r="K646" s="48" t="str">
        <f aca="false">IF($C646="","",IF(AND($C646=Consulta!$L$3,$G646&lt;&gt;"",$G646&gt;=Consulta!$L$4,$G646&lt;=Consulta!$L$5),COUNTIFS($C$6:$C646,Consulta!$L$3,$G$6:$G646,"&gt;="&amp;Consulta!$L$4,$G$6:$G646,"&lt;="&amp;Consulta!$L$5),""))</f>
        <v/>
      </c>
      <c r="L646" s="48" t="str">
        <f aca="false">IF($D646="","",IF($D646=Consulta!$S$3,COUNTIF($D$6:$D646,Consulta!$S$3),""))</f>
        <v/>
      </c>
      <c r="M646" s="48" t="str">
        <f aca="false">IF($N646="","",IF(AND($N646='Comprovante DEV'!$D$6,$G646='Comprovante DEV'!$D$7),COUNTIFS($N$6:$N646,'Comprovante DEV'!$D$6,$G$6:$G646,'Comprovante DEV'!$D$7),""))</f>
        <v/>
      </c>
      <c r="N646" s="48" t="str">
        <f aca="false">IF($F646="","",IFERROR(VLOOKUP($F646,Apelidos_Tecnico!$A:$B,2,0),$F646))</f>
        <v/>
      </c>
    </row>
    <row r="647" customFormat="false" ht="15" hidden="false" customHeight="false" outlineLevel="0" collapsed="false">
      <c r="A647" s="25"/>
      <c r="B647" s="25"/>
      <c r="C647" s="26"/>
      <c r="D647" s="25"/>
      <c r="E647" s="25"/>
      <c r="F647" s="25"/>
      <c r="G647" s="27"/>
      <c r="H647" s="25"/>
      <c r="I647" s="26"/>
      <c r="J647" s="48" t="str">
        <f aca="false">IF($N647="","",IF(AND($N647=Consulta!$C$3,$G647&lt;&gt;"",$G647&gt;=Consulta!$C$4,$G647&lt;=Consulta!$C$5),COUNTIFS($N$6:$N647,Consulta!$C$3,$G$6:$G647,"&gt;="&amp;Consulta!$C$4,$G$6:$G647,"&lt;="&amp;Consulta!$C$5),""))</f>
        <v/>
      </c>
      <c r="K647" s="48" t="str">
        <f aca="false">IF($C647="","",IF(AND($C647=Consulta!$L$3,$G647&lt;&gt;"",$G647&gt;=Consulta!$L$4,$G647&lt;=Consulta!$L$5),COUNTIFS($C$6:$C647,Consulta!$L$3,$G$6:$G647,"&gt;="&amp;Consulta!$L$4,$G$6:$G647,"&lt;="&amp;Consulta!$L$5),""))</f>
        <v/>
      </c>
      <c r="L647" s="48" t="str">
        <f aca="false">IF($D647="","",IF($D647=Consulta!$S$3,COUNTIF($D$6:$D647,Consulta!$S$3),""))</f>
        <v/>
      </c>
      <c r="M647" s="48" t="str">
        <f aca="false">IF($N647="","",IF(AND($N647='Comprovante DEV'!$D$6,$G647='Comprovante DEV'!$D$7),COUNTIFS($N$6:$N647,'Comprovante DEV'!$D$6,$G$6:$G647,'Comprovante DEV'!$D$7),""))</f>
        <v/>
      </c>
      <c r="N647" s="48" t="str">
        <f aca="false">IF($F647="","",IFERROR(VLOOKUP($F647,Apelidos_Tecnico!$A:$B,2,0),$F647))</f>
        <v/>
      </c>
    </row>
    <row r="648" customFormat="false" ht="15" hidden="false" customHeight="false" outlineLevel="0" collapsed="false">
      <c r="A648" s="25"/>
      <c r="B648" s="25"/>
      <c r="C648" s="26"/>
      <c r="D648" s="25"/>
      <c r="E648" s="25"/>
      <c r="F648" s="25"/>
      <c r="G648" s="27"/>
      <c r="H648" s="25"/>
      <c r="I648" s="26"/>
      <c r="J648" s="48" t="str">
        <f aca="false">IF($N648="","",IF(AND($N648=Consulta!$C$3,$G648&lt;&gt;"",$G648&gt;=Consulta!$C$4,$G648&lt;=Consulta!$C$5),COUNTIFS($N$6:$N648,Consulta!$C$3,$G$6:$G648,"&gt;="&amp;Consulta!$C$4,$G$6:$G648,"&lt;="&amp;Consulta!$C$5),""))</f>
        <v/>
      </c>
      <c r="K648" s="48" t="str">
        <f aca="false">IF($C648="","",IF(AND($C648=Consulta!$L$3,$G648&lt;&gt;"",$G648&gt;=Consulta!$L$4,$G648&lt;=Consulta!$L$5),COUNTIFS($C$6:$C648,Consulta!$L$3,$G$6:$G648,"&gt;="&amp;Consulta!$L$4,$G$6:$G648,"&lt;="&amp;Consulta!$L$5),""))</f>
        <v/>
      </c>
      <c r="L648" s="48" t="str">
        <f aca="false">IF($D648="","",IF($D648=Consulta!$S$3,COUNTIF($D$6:$D648,Consulta!$S$3),""))</f>
        <v/>
      </c>
      <c r="M648" s="48" t="str">
        <f aca="false">IF($N648="","",IF(AND($N648='Comprovante DEV'!$D$6,$G648='Comprovante DEV'!$D$7),COUNTIFS($N$6:$N648,'Comprovante DEV'!$D$6,$G$6:$G648,'Comprovante DEV'!$D$7),""))</f>
        <v/>
      </c>
      <c r="N648" s="48" t="str">
        <f aca="false">IF($F648="","",IFERROR(VLOOKUP($F648,Apelidos_Tecnico!$A:$B,2,0),$F648))</f>
        <v/>
      </c>
    </row>
    <row r="649" customFormat="false" ht="15" hidden="false" customHeight="false" outlineLevel="0" collapsed="false">
      <c r="A649" s="25"/>
      <c r="B649" s="25"/>
      <c r="C649" s="26"/>
      <c r="D649" s="25"/>
      <c r="E649" s="25"/>
      <c r="F649" s="25"/>
      <c r="G649" s="27"/>
      <c r="H649" s="25"/>
      <c r="I649" s="26"/>
      <c r="J649" s="48" t="str">
        <f aca="false">IF($N649="","",IF(AND($N649=Consulta!$C$3,$G649&lt;&gt;"",$G649&gt;=Consulta!$C$4,$G649&lt;=Consulta!$C$5),COUNTIFS($N$6:$N649,Consulta!$C$3,$G$6:$G649,"&gt;="&amp;Consulta!$C$4,$G$6:$G649,"&lt;="&amp;Consulta!$C$5),""))</f>
        <v/>
      </c>
      <c r="K649" s="48" t="str">
        <f aca="false">IF($C649="","",IF(AND($C649=Consulta!$L$3,$G649&lt;&gt;"",$G649&gt;=Consulta!$L$4,$G649&lt;=Consulta!$L$5),COUNTIFS($C$6:$C649,Consulta!$L$3,$G$6:$G649,"&gt;="&amp;Consulta!$L$4,$G$6:$G649,"&lt;="&amp;Consulta!$L$5),""))</f>
        <v/>
      </c>
      <c r="L649" s="48" t="str">
        <f aca="false">IF($D649="","",IF($D649=Consulta!$S$3,COUNTIF($D$6:$D649,Consulta!$S$3),""))</f>
        <v/>
      </c>
      <c r="M649" s="48" t="str">
        <f aca="false">IF($N649="","",IF(AND($N649='Comprovante DEV'!$D$6,$G649='Comprovante DEV'!$D$7),COUNTIFS($N$6:$N649,'Comprovante DEV'!$D$6,$G$6:$G649,'Comprovante DEV'!$D$7),""))</f>
        <v/>
      </c>
      <c r="N649" s="48" t="str">
        <f aca="false">IF($F649="","",IFERROR(VLOOKUP($F649,Apelidos_Tecnico!$A:$B,2,0),$F649))</f>
        <v/>
      </c>
    </row>
    <row r="650" customFormat="false" ht="15" hidden="false" customHeight="false" outlineLevel="0" collapsed="false">
      <c r="A650" s="25"/>
      <c r="B650" s="25"/>
      <c r="C650" s="26"/>
      <c r="D650" s="25"/>
      <c r="E650" s="25"/>
      <c r="F650" s="25"/>
      <c r="G650" s="27"/>
      <c r="H650" s="25"/>
      <c r="I650" s="26"/>
      <c r="J650" s="48" t="str">
        <f aca="false">IF($N650="","",IF(AND($N650=Consulta!$C$3,$G650&lt;&gt;"",$G650&gt;=Consulta!$C$4,$G650&lt;=Consulta!$C$5),COUNTIFS($N$6:$N650,Consulta!$C$3,$G$6:$G650,"&gt;="&amp;Consulta!$C$4,$G$6:$G650,"&lt;="&amp;Consulta!$C$5),""))</f>
        <v/>
      </c>
      <c r="K650" s="48" t="str">
        <f aca="false">IF($C650="","",IF(AND($C650=Consulta!$L$3,$G650&lt;&gt;"",$G650&gt;=Consulta!$L$4,$G650&lt;=Consulta!$L$5),COUNTIFS($C$6:$C650,Consulta!$L$3,$G$6:$G650,"&gt;="&amp;Consulta!$L$4,$G$6:$G650,"&lt;="&amp;Consulta!$L$5),""))</f>
        <v/>
      </c>
      <c r="L650" s="48" t="str">
        <f aca="false">IF($D650="","",IF($D650=Consulta!$S$3,COUNTIF($D$6:$D650,Consulta!$S$3),""))</f>
        <v/>
      </c>
      <c r="M650" s="48" t="str">
        <f aca="false">IF($N650="","",IF(AND($N650='Comprovante DEV'!$D$6,$G650='Comprovante DEV'!$D$7),COUNTIFS($N$6:$N650,'Comprovante DEV'!$D$6,$G$6:$G650,'Comprovante DEV'!$D$7),""))</f>
        <v/>
      </c>
      <c r="N650" s="48" t="str">
        <f aca="false">IF($F650="","",IFERROR(VLOOKUP($F650,Apelidos_Tecnico!$A:$B,2,0),$F650))</f>
        <v/>
      </c>
    </row>
    <row r="651" customFormat="false" ht="15" hidden="false" customHeight="false" outlineLevel="0" collapsed="false">
      <c r="A651" s="25"/>
      <c r="B651" s="25"/>
      <c r="C651" s="26"/>
      <c r="D651" s="25"/>
      <c r="E651" s="25"/>
      <c r="F651" s="25"/>
      <c r="G651" s="27"/>
      <c r="H651" s="25"/>
      <c r="I651" s="26"/>
      <c r="J651" s="48" t="str">
        <f aca="false">IF($N651="","",IF(AND($N651=Consulta!$C$3,$G651&lt;&gt;"",$G651&gt;=Consulta!$C$4,$G651&lt;=Consulta!$C$5),COUNTIFS($N$6:$N651,Consulta!$C$3,$G$6:$G651,"&gt;="&amp;Consulta!$C$4,$G$6:$G651,"&lt;="&amp;Consulta!$C$5),""))</f>
        <v/>
      </c>
      <c r="K651" s="48" t="str">
        <f aca="false">IF($C651="","",IF(AND($C651=Consulta!$L$3,$G651&lt;&gt;"",$G651&gt;=Consulta!$L$4,$G651&lt;=Consulta!$L$5),COUNTIFS($C$6:$C651,Consulta!$L$3,$G$6:$G651,"&gt;="&amp;Consulta!$L$4,$G$6:$G651,"&lt;="&amp;Consulta!$L$5),""))</f>
        <v/>
      </c>
      <c r="L651" s="48" t="str">
        <f aca="false">IF($D651="","",IF($D651=Consulta!$S$3,COUNTIF($D$6:$D651,Consulta!$S$3),""))</f>
        <v/>
      </c>
      <c r="M651" s="48" t="str">
        <f aca="false">IF($N651="","",IF(AND($N651='Comprovante DEV'!$D$6,$G651='Comprovante DEV'!$D$7),COUNTIFS($N$6:$N651,'Comprovante DEV'!$D$6,$G$6:$G651,'Comprovante DEV'!$D$7),""))</f>
        <v/>
      </c>
      <c r="N651" s="48" t="str">
        <f aca="false">IF($F651="","",IFERROR(VLOOKUP($F651,Apelidos_Tecnico!$A:$B,2,0),$F651))</f>
        <v/>
      </c>
    </row>
    <row r="652" customFormat="false" ht="15" hidden="false" customHeight="false" outlineLevel="0" collapsed="false">
      <c r="A652" s="25"/>
      <c r="B652" s="25"/>
      <c r="C652" s="26"/>
      <c r="D652" s="25"/>
      <c r="E652" s="25"/>
      <c r="F652" s="25"/>
      <c r="G652" s="27"/>
      <c r="H652" s="25"/>
      <c r="I652" s="26"/>
      <c r="J652" s="48" t="str">
        <f aca="false">IF($N652="","",IF(AND($N652=Consulta!$C$3,$G652&lt;&gt;"",$G652&gt;=Consulta!$C$4,$G652&lt;=Consulta!$C$5),COUNTIFS($N$6:$N652,Consulta!$C$3,$G$6:$G652,"&gt;="&amp;Consulta!$C$4,$G$6:$G652,"&lt;="&amp;Consulta!$C$5),""))</f>
        <v/>
      </c>
      <c r="K652" s="48" t="str">
        <f aca="false">IF($C652="","",IF(AND($C652=Consulta!$L$3,$G652&lt;&gt;"",$G652&gt;=Consulta!$L$4,$G652&lt;=Consulta!$L$5),COUNTIFS($C$6:$C652,Consulta!$L$3,$G$6:$G652,"&gt;="&amp;Consulta!$L$4,$G$6:$G652,"&lt;="&amp;Consulta!$L$5),""))</f>
        <v/>
      </c>
      <c r="L652" s="48" t="str">
        <f aca="false">IF($D652="","",IF($D652=Consulta!$S$3,COUNTIF($D$6:$D652,Consulta!$S$3),""))</f>
        <v/>
      </c>
      <c r="M652" s="48" t="str">
        <f aca="false">IF($N652="","",IF(AND($N652='Comprovante DEV'!$D$6,$G652='Comprovante DEV'!$D$7),COUNTIFS($N$6:$N652,'Comprovante DEV'!$D$6,$G$6:$G652,'Comprovante DEV'!$D$7),""))</f>
        <v/>
      </c>
      <c r="N652" s="48" t="str">
        <f aca="false">IF($F652="","",IFERROR(VLOOKUP($F652,Apelidos_Tecnico!$A:$B,2,0),$F652))</f>
        <v/>
      </c>
    </row>
    <row r="653" customFormat="false" ht="15" hidden="false" customHeight="false" outlineLevel="0" collapsed="false">
      <c r="A653" s="25"/>
      <c r="B653" s="25"/>
      <c r="C653" s="26"/>
      <c r="D653" s="25"/>
      <c r="E653" s="25"/>
      <c r="F653" s="25"/>
      <c r="G653" s="27"/>
      <c r="H653" s="25"/>
      <c r="I653" s="26"/>
      <c r="J653" s="48" t="str">
        <f aca="false">IF($N653="","",IF(AND($N653=Consulta!$C$3,$G653&lt;&gt;"",$G653&gt;=Consulta!$C$4,$G653&lt;=Consulta!$C$5),COUNTIFS($N$6:$N653,Consulta!$C$3,$G$6:$G653,"&gt;="&amp;Consulta!$C$4,$G$6:$G653,"&lt;="&amp;Consulta!$C$5),""))</f>
        <v/>
      </c>
      <c r="K653" s="48" t="str">
        <f aca="false">IF($C653="","",IF(AND($C653=Consulta!$L$3,$G653&lt;&gt;"",$G653&gt;=Consulta!$L$4,$G653&lt;=Consulta!$L$5),COUNTIFS($C$6:$C653,Consulta!$L$3,$G$6:$G653,"&gt;="&amp;Consulta!$L$4,$G$6:$G653,"&lt;="&amp;Consulta!$L$5),""))</f>
        <v/>
      </c>
      <c r="L653" s="48" t="str">
        <f aca="false">IF($D653="","",IF($D653=Consulta!$S$3,COUNTIF($D$6:$D653,Consulta!$S$3),""))</f>
        <v/>
      </c>
      <c r="M653" s="48" t="str">
        <f aca="false">IF($N653="","",IF(AND($N653='Comprovante DEV'!$D$6,$G653='Comprovante DEV'!$D$7),COUNTIFS($N$6:$N653,'Comprovante DEV'!$D$6,$G$6:$G653,'Comprovante DEV'!$D$7),""))</f>
        <v/>
      </c>
      <c r="N653" s="48" t="str">
        <f aca="false">IF($F653="","",IFERROR(VLOOKUP($F653,Apelidos_Tecnico!$A:$B,2,0),$F653))</f>
        <v/>
      </c>
    </row>
    <row r="654" customFormat="false" ht="15" hidden="false" customHeight="false" outlineLevel="0" collapsed="false">
      <c r="A654" s="25"/>
      <c r="B654" s="25"/>
      <c r="C654" s="26"/>
      <c r="D654" s="25"/>
      <c r="E654" s="25"/>
      <c r="F654" s="25"/>
      <c r="G654" s="27"/>
      <c r="H654" s="25"/>
      <c r="I654" s="26"/>
      <c r="J654" s="48" t="str">
        <f aca="false">IF($N654="","",IF(AND($N654=Consulta!$C$3,$G654&lt;&gt;"",$G654&gt;=Consulta!$C$4,$G654&lt;=Consulta!$C$5),COUNTIFS($N$6:$N654,Consulta!$C$3,$G$6:$G654,"&gt;="&amp;Consulta!$C$4,$G$6:$G654,"&lt;="&amp;Consulta!$C$5),""))</f>
        <v/>
      </c>
      <c r="K654" s="48" t="str">
        <f aca="false">IF($C654="","",IF(AND($C654=Consulta!$L$3,$G654&lt;&gt;"",$G654&gt;=Consulta!$L$4,$G654&lt;=Consulta!$L$5),COUNTIFS($C$6:$C654,Consulta!$L$3,$G$6:$G654,"&gt;="&amp;Consulta!$L$4,$G$6:$G654,"&lt;="&amp;Consulta!$L$5),""))</f>
        <v/>
      </c>
      <c r="L654" s="48" t="str">
        <f aca="false">IF($D654="","",IF($D654=Consulta!$S$3,COUNTIF($D$6:$D654,Consulta!$S$3),""))</f>
        <v/>
      </c>
      <c r="M654" s="48" t="str">
        <f aca="false">IF($N654="","",IF(AND($N654='Comprovante DEV'!$D$6,$G654='Comprovante DEV'!$D$7),COUNTIFS($N$6:$N654,'Comprovante DEV'!$D$6,$G$6:$G654,'Comprovante DEV'!$D$7),""))</f>
        <v/>
      </c>
      <c r="N654" s="48" t="str">
        <f aca="false">IF($F654="","",IFERROR(VLOOKUP($F654,Apelidos_Tecnico!$A:$B,2,0),$F654))</f>
        <v/>
      </c>
    </row>
    <row r="655" customFormat="false" ht="15" hidden="false" customHeight="false" outlineLevel="0" collapsed="false">
      <c r="A655" s="25"/>
      <c r="B655" s="25"/>
      <c r="C655" s="26"/>
      <c r="D655" s="25"/>
      <c r="E655" s="25"/>
      <c r="F655" s="25"/>
      <c r="G655" s="27"/>
      <c r="H655" s="25"/>
      <c r="I655" s="26"/>
      <c r="J655" s="48" t="str">
        <f aca="false">IF($N655="","",IF(AND($N655=Consulta!$C$3,$G655&lt;&gt;"",$G655&gt;=Consulta!$C$4,$G655&lt;=Consulta!$C$5),COUNTIFS($N$6:$N655,Consulta!$C$3,$G$6:$G655,"&gt;="&amp;Consulta!$C$4,$G$6:$G655,"&lt;="&amp;Consulta!$C$5),""))</f>
        <v/>
      </c>
      <c r="K655" s="48" t="str">
        <f aca="false">IF($C655="","",IF(AND($C655=Consulta!$L$3,$G655&lt;&gt;"",$G655&gt;=Consulta!$L$4,$G655&lt;=Consulta!$L$5),COUNTIFS($C$6:$C655,Consulta!$L$3,$G$6:$G655,"&gt;="&amp;Consulta!$L$4,$G$6:$G655,"&lt;="&amp;Consulta!$L$5),""))</f>
        <v/>
      </c>
      <c r="L655" s="48" t="str">
        <f aca="false">IF($D655="","",IF($D655=Consulta!$S$3,COUNTIF($D$6:$D655,Consulta!$S$3),""))</f>
        <v/>
      </c>
      <c r="M655" s="48" t="str">
        <f aca="false">IF($N655="","",IF(AND($N655='Comprovante DEV'!$D$6,$G655='Comprovante DEV'!$D$7),COUNTIFS($N$6:$N655,'Comprovante DEV'!$D$6,$G$6:$G655,'Comprovante DEV'!$D$7),""))</f>
        <v/>
      </c>
      <c r="N655" s="48" t="str">
        <f aca="false">IF($F655="","",IFERROR(VLOOKUP($F655,Apelidos_Tecnico!$A:$B,2,0),$F655))</f>
        <v/>
      </c>
    </row>
    <row r="656" customFormat="false" ht="15" hidden="false" customHeight="false" outlineLevel="0" collapsed="false">
      <c r="A656" s="25"/>
      <c r="B656" s="25"/>
      <c r="C656" s="26"/>
      <c r="D656" s="25"/>
      <c r="E656" s="25"/>
      <c r="F656" s="25"/>
      <c r="G656" s="27"/>
      <c r="H656" s="25"/>
      <c r="I656" s="26"/>
      <c r="J656" s="48" t="str">
        <f aca="false">IF($N656="","",IF(AND($N656=Consulta!$C$3,$G656&lt;&gt;"",$G656&gt;=Consulta!$C$4,$G656&lt;=Consulta!$C$5),COUNTIFS($N$6:$N656,Consulta!$C$3,$G$6:$G656,"&gt;="&amp;Consulta!$C$4,$G$6:$G656,"&lt;="&amp;Consulta!$C$5),""))</f>
        <v/>
      </c>
      <c r="K656" s="48" t="str">
        <f aca="false">IF($C656="","",IF(AND($C656=Consulta!$L$3,$G656&lt;&gt;"",$G656&gt;=Consulta!$L$4,$G656&lt;=Consulta!$L$5),COUNTIFS($C$6:$C656,Consulta!$L$3,$G$6:$G656,"&gt;="&amp;Consulta!$L$4,$G$6:$G656,"&lt;="&amp;Consulta!$L$5),""))</f>
        <v/>
      </c>
      <c r="L656" s="48" t="str">
        <f aca="false">IF($D656="","",IF($D656=Consulta!$S$3,COUNTIF($D$6:$D656,Consulta!$S$3),""))</f>
        <v/>
      </c>
      <c r="M656" s="48" t="str">
        <f aca="false">IF($N656="","",IF(AND($N656='Comprovante DEV'!$D$6,$G656='Comprovante DEV'!$D$7),COUNTIFS($N$6:$N656,'Comprovante DEV'!$D$6,$G$6:$G656,'Comprovante DEV'!$D$7),""))</f>
        <v/>
      </c>
      <c r="N656" s="48" t="str">
        <f aca="false">IF($F656="","",IFERROR(VLOOKUP($F656,Apelidos_Tecnico!$A:$B,2,0),$F656))</f>
        <v/>
      </c>
    </row>
    <row r="657" customFormat="false" ht="15" hidden="false" customHeight="false" outlineLevel="0" collapsed="false">
      <c r="A657" s="25"/>
      <c r="B657" s="25"/>
      <c r="C657" s="26"/>
      <c r="D657" s="25"/>
      <c r="E657" s="25"/>
      <c r="F657" s="25"/>
      <c r="G657" s="27"/>
      <c r="H657" s="25"/>
      <c r="I657" s="26"/>
      <c r="J657" s="48" t="str">
        <f aca="false">IF($N657="","",IF(AND($N657=Consulta!$C$3,$G657&lt;&gt;"",$G657&gt;=Consulta!$C$4,$G657&lt;=Consulta!$C$5),COUNTIFS($N$6:$N657,Consulta!$C$3,$G$6:$G657,"&gt;="&amp;Consulta!$C$4,$G$6:$G657,"&lt;="&amp;Consulta!$C$5),""))</f>
        <v/>
      </c>
      <c r="K657" s="48" t="str">
        <f aca="false">IF($C657="","",IF(AND($C657=Consulta!$L$3,$G657&lt;&gt;"",$G657&gt;=Consulta!$L$4,$G657&lt;=Consulta!$L$5),COUNTIFS($C$6:$C657,Consulta!$L$3,$G$6:$G657,"&gt;="&amp;Consulta!$L$4,$G$6:$G657,"&lt;="&amp;Consulta!$L$5),""))</f>
        <v/>
      </c>
      <c r="L657" s="48" t="str">
        <f aca="false">IF($D657="","",IF($D657=Consulta!$S$3,COUNTIF($D$6:$D657,Consulta!$S$3),""))</f>
        <v/>
      </c>
      <c r="M657" s="48" t="str">
        <f aca="false">IF($N657="","",IF(AND($N657='Comprovante DEV'!$D$6,$G657='Comprovante DEV'!$D$7),COUNTIFS($N$6:$N657,'Comprovante DEV'!$D$6,$G$6:$G657,'Comprovante DEV'!$D$7),""))</f>
        <v/>
      </c>
      <c r="N657" s="48" t="str">
        <f aca="false">IF($F657="","",IFERROR(VLOOKUP($F657,Apelidos_Tecnico!$A:$B,2,0),$F657))</f>
        <v/>
      </c>
    </row>
    <row r="658" customFormat="false" ht="15" hidden="false" customHeight="false" outlineLevel="0" collapsed="false">
      <c r="A658" s="25"/>
      <c r="B658" s="25"/>
      <c r="C658" s="26"/>
      <c r="D658" s="25"/>
      <c r="E658" s="25"/>
      <c r="F658" s="25"/>
      <c r="G658" s="27"/>
      <c r="H658" s="25"/>
      <c r="I658" s="26"/>
      <c r="J658" s="48" t="str">
        <f aca="false">IF($N658="","",IF(AND($N658=Consulta!$C$3,$G658&lt;&gt;"",$G658&gt;=Consulta!$C$4,$G658&lt;=Consulta!$C$5),COUNTIFS($N$6:$N658,Consulta!$C$3,$G$6:$G658,"&gt;="&amp;Consulta!$C$4,$G$6:$G658,"&lt;="&amp;Consulta!$C$5),""))</f>
        <v/>
      </c>
      <c r="K658" s="48" t="str">
        <f aca="false">IF($C658="","",IF(AND($C658=Consulta!$L$3,$G658&lt;&gt;"",$G658&gt;=Consulta!$L$4,$G658&lt;=Consulta!$L$5),COUNTIFS($C$6:$C658,Consulta!$L$3,$G$6:$G658,"&gt;="&amp;Consulta!$L$4,$G$6:$G658,"&lt;="&amp;Consulta!$L$5),""))</f>
        <v/>
      </c>
      <c r="L658" s="48" t="str">
        <f aca="false">IF($D658="","",IF($D658=Consulta!$S$3,COUNTIF($D$6:$D658,Consulta!$S$3),""))</f>
        <v/>
      </c>
      <c r="M658" s="48" t="str">
        <f aca="false">IF($N658="","",IF(AND($N658='Comprovante DEV'!$D$6,$G658='Comprovante DEV'!$D$7),COUNTIFS($N$6:$N658,'Comprovante DEV'!$D$6,$G$6:$G658,'Comprovante DEV'!$D$7),""))</f>
        <v/>
      </c>
      <c r="N658" s="48" t="str">
        <f aca="false">IF($F658="","",IFERROR(VLOOKUP($F658,Apelidos_Tecnico!$A:$B,2,0),$F658))</f>
        <v/>
      </c>
    </row>
    <row r="659" customFormat="false" ht="15" hidden="false" customHeight="false" outlineLevel="0" collapsed="false">
      <c r="A659" s="25"/>
      <c r="B659" s="25"/>
      <c r="C659" s="26"/>
      <c r="D659" s="25"/>
      <c r="E659" s="25"/>
      <c r="F659" s="25"/>
      <c r="G659" s="27"/>
      <c r="H659" s="25"/>
      <c r="I659" s="26"/>
      <c r="J659" s="48" t="str">
        <f aca="false">IF($N659="","",IF(AND($N659=Consulta!$C$3,$G659&lt;&gt;"",$G659&gt;=Consulta!$C$4,$G659&lt;=Consulta!$C$5),COUNTIFS($N$6:$N659,Consulta!$C$3,$G$6:$G659,"&gt;="&amp;Consulta!$C$4,$G$6:$G659,"&lt;="&amp;Consulta!$C$5),""))</f>
        <v/>
      </c>
      <c r="K659" s="48" t="str">
        <f aca="false">IF($C659="","",IF(AND($C659=Consulta!$L$3,$G659&lt;&gt;"",$G659&gt;=Consulta!$L$4,$G659&lt;=Consulta!$L$5),COUNTIFS($C$6:$C659,Consulta!$L$3,$G$6:$G659,"&gt;="&amp;Consulta!$L$4,$G$6:$G659,"&lt;="&amp;Consulta!$L$5),""))</f>
        <v/>
      </c>
      <c r="L659" s="48" t="str">
        <f aca="false">IF($D659="","",IF($D659=Consulta!$S$3,COUNTIF($D$6:$D659,Consulta!$S$3),""))</f>
        <v/>
      </c>
      <c r="M659" s="48" t="str">
        <f aca="false">IF($N659="","",IF(AND($N659='Comprovante DEV'!$D$6,$G659='Comprovante DEV'!$D$7),COUNTIFS($N$6:$N659,'Comprovante DEV'!$D$6,$G$6:$G659,'Comprovante DEV'!$D$7),""))</f>
        <v/>
      </c>
      <c r="N659" s="48" t="str">
        <f aca="false">IF($F659="","",IFERROR(VLOOKUP($F659,Apelidos_Tecnico!$A:$B,2,0),$F659))</f>
        <v/>
      </c>
    </row>
    <row r="660" customFormat="false" ht="15" hidden="false" customHeight="false" outlineLevel="0" collapsed="false">
      <c r="A660" s="25"/>
      <c r="B660" s="25"/>
      <c r="C660" s="26"/>
      <c r="D660" s="25"/>
      <c r="E660" s="25"/>
      <c r="F660" s="25"/>
      <c r="G660" s="27"/>
      <c r="H660" s="25"/>
      <c r="I660" s="26"/>
      <c r="J660" s="48" t="str">
        <f aca="false">IF($N660="","",IF(AND($N660=Consulta!$C$3,$G660&lt;&gt;"",$G660&gt;=Consulta!$C$4,$G660&lt;=Consulta!$C$5),COUNTIFS($N$6:$N660,Consulta!$C$3,$G$6:$G660,"&gt;="&amp;Consulta!$C$4,$G$6:$G660,"&lt;="&amp;Consulta!$C$5),""))</f>
        <v/>
      </c>
      <c r="K660" s="48" t="str">
        <f aca="false">IF($C660="","",IF(AND($C660=Consulta!$L$3,$G660&lt;&gt;"",$G660&gt;=Consulta!$L$4,$G660&lt;=Consulta!$L$5),COUNTIFS($C$6:$C660,Consulta!$L$3,$G$6:$G660,"&gt;="&amp;Consulta!$L$4,$G$6:$G660,"&lt;="&amp;Consulta!$L$5),""))</f>
        <v/>
      </c>
      <c r="L660" s="48" t="str">
        <f aca="false">IF($D660="","",IF($D660=Consulta!$S$3,COUNTIF($D$6:$D660,Consulta!$S$3),""))</f>
        <v/>
      </c>
      <c r="M660" s="48" t="str">
        <f aca="false">IF($N660="","",IF(AND($N660='Comprovante DEV'!$D$6,$G660='Comprovante DEV'!$D$7),COUNTIFS($N$6:$N660,'Comprovante DEV'!$D$6,$G$6:$G660,'Comprovante DEV'!$D$7),""))</f>
        <v/>
      </c>
      <c r="N660" s="48" t="str">
        <f aca="false">IF($F660="","",IFERROR(VLOOKUP($F660,Apelidos_Tecnico!$A:$B,2,0),$F660))</f>
        <v/>
      </c>
    </row>
    <row r="661" customFormat="false" ht="15" hidden="false" customHeight="false" outlineLevel="0" collapsed="false">
      <c r="A661" s="25"/>
      <c r="B661" s="25"/>
      <c r="C661" s="26"/>
      <c r="D661" s="25"/>
      <c r="E661" s="25"/>
      <c r="F661" s="25"/>
      <c r="G661" s="27"/>
      <c r="H661" s="25"/>
      <c r="I661" s="26"/>
      <c r="J661" s="48" t="str">
        <f aca="false">IF($N661="","",IF(AND($N661=Consulta!$C$3,$G661&lt;&gt;"",$G661&gt;=Consulta!$C$4,$G661&lt;=Consulta!$C$5),COUNTIFS($N$6:$N661,Consulta!$C$3,$G$6:$G661,"&gt;="&amp;Consulta!$C$4,$G$6:$G661,"&lt;="&amp;Consulta!$C$5),""))</f>
        <v/>
      </c>
      <c r="K661" s="48" t="str">
        <f aca="false">IF($C661="","",IF(AND($C661=Consulta!$L$3,$G661&lt;&gt;"",$G661&gt;=Consulta!$L$4,$G661&lt;=Consulta!$L$5),COUNTIFS($C$6:$C661,Consulta!$L$3,$G$6:$G661,"&gt;="&amp;Consulta!$L$4,$G$6:$G661,"&lt;="&amp;Consulta!$L$5),""))</f>
        <v/>
      </c>
      <c r="L661" s="48" t="str">
        <f aca="false">IF($D661="","",IF($D661=Consulta!$S$3,COUNTIF($D$6:$D661,Consulta!$S$3),""))</f>
        <v/>
      </c>
      <c r="M661" s="48" t="str">
        <f aca="false">IF($N661="","",IF(AND($N661='Comprovante DEV'!$D$6,$G661='Comprovante DEV'!$D$7),COUNTIFS($N$6:$N661,'Comprovante DEV'!$D$6,$G$6:$G661,'Comprovante DEV'!$D$7),""))</f>
        <v/>
      </c>
      <c r="N661" s="48" t="str">
        <f aca="false">IF($F661="","",IFERROR(VLOOKUP($F661,Apelidos_Tecnico!$A:$B,2,0),$F661))</f>
        <v/>
      </c>
    </row>
    <row r="662" customFormat="false" ht="15" hidden="false" customHeight="false" outlineLevel="0" collapsed="false">
      <c r="A662" s="25"/>
      <c r="B662" s="25"/>
      <c r="C662" s="26"/>
      <c r="D662" s="25"/>
      <c r="E662" s="25"/>
      <c r="F662" s="25"/>
      <c r="G662" s="27"/>
      <c r="H662" s="25"/>
      <c r="I662" s="26"/>
      <c r="J662" s="48" t="str">
        <f aca="false">IF($N662="","",IF(AND($N662=Consulta!$C$3,$G662&lt;&gt;"",$G662&gt;=Consulta!$C$4,$G662&lt;=Consulta!$C$5),COUNTIFS($N$6:$N662,Consulta!$C$3,$G$6:$G662,"&gt;="&amp;Consulta!$C$4,$G$6:$G662,"&lt;="&amp;Consulta!$C$5),""))</f>
        <v/>
      </c>
      <c r="K662" s="48" t="str">
        <f aca="false">IF($C662="","",IF(AND($C662=Consulta!$L$3,$G662&lt;&gt;"",$G662&gt;=Consulta!$L$4,$G662&lt;=Consulta!$L$5),COUNTIFS($C$6:$C662,Consulta!$L$3,$G$6:$G662,"&gt;="&amp;Consulta!$L$4,$G$6:$G662,"&lt;="&amp;Consulta!$L$5),""))</f>
        <v/>
      </c>
      <c r="L662" s="48" t="str">
        <f aca="false">IF($D662="","",IF($D662=Consulta!$S$3,COUNTIF($D$6:$D662,Consulta!$S$3),""))</f>
        <v/>
      </c>
      <c r="M662" s="48" t="str">
        <f aca="false">IF($N662="","",IF(AND($N662='Comprovante DEV'!$D$6,$G662='Comprovante DEV'!$D$7),COUNTIFS($N$6:$N662,'Comprovante DEV'!$D$6,$G$6:$G662,'Comprovante DEV'!$D$7),""))</f>
        <v/>
      </c>
      <c r="N662" s="48" t="str">
        <f aca="false">IF($F662="","",IFERROR(VLOOKUP($F662,Apelidos_Tecnico!$A:$B,2,0),$F662))</f>
        <v/>
      </c>
    </row>
    <row r="663" customFormat="false" ht="15" hidden="false" customHeight="false" outlineLevel="0" collapsed="false">
      <c r="A663" s="25"/>
      <c r="B663" s="25"/>
      <c r="C663" s="26"/>
      <c r="D663" s="25"/>
      <c r="E663" s="25"/>
      <c r="F663" s="25"/>
      <c r="G663" s="27"/>
      <c r="H663" s="25"/>
      <c r="I663" s="26"/>
      <c r="J663" s="48" t="str">
        <f aca="false">IF($N663="","",IF(AND($N663=Consulta!$C$3,$G663&lt;&gt;"",$G663&gt;=Consulta!$C$4,$G663&lt;=Consulta!$C$5),COUNTIFS($N$6:$N663,Consulta!$C$3,$G$6:$G663,"&gt;="&amp;Consulta!$C$4,$G$6:$G663,"&lt;="&amp;Consulta!$C$5),""))</f>
        <v/>
      </c>
      <c r="K663" s="48" t="str">
        <f aca="false">IF($C663="","",IF(AND($C663=Consulta!$L$3,$G663&lt;&gt;"",$G663&gt;=Consulta!$L$4,$G663&lt;=Consulta!$L$5),COUNTIFS($C$6:$C663,Consulta!$L$3,$G$6:$G663,"&gt;="&amp;Consulta!$L$4,$G$6:$G663,"&lt;="&amp;Consulta!$L$5),""))</f>
        <v/>
      </c>
      <c r="L663" s="48" t="str">
        <f aca="false">IF($D663="","",IF($D663=Consulta!$S$3,COUNTIF($D$6:$D663,Consulta!$S$3),""))</f>
        <v/>
      </c>
      <c r="M663" s="48" t="str">
        <f aca="false">IF($N663="","",IF(AND($N663='Comprovante DEV'!$D$6,$G663='Comprovante DEV'!$D$7),COUNTIFS($N$6:$N663,'Comprovante DEV'!$D$6,$G$6:$G663,'Comprovante DEV'!$D$7),""))</f>
        <v/>
      </c>
      <c r="N663" s="48" t="str">
        <f aca="false">IF($F663="","",IFERROR(VLOOKUP($F663,Apelidos_Tecnico!$A:$B,2,0),$F663))</f>
        <v/>
      </c>
    </row>
    <row r="664" customFormat="false" ht="15" hidden="false" customHeight="false" outlineLevel="0" collapsed="false">
      <c r="A664" s="25"/>
      <c r="B664" s="25"/>
      <c r="C664" s="26"/>
      <c r="D664" s="25"/>
      <c r="E664" s="25"/>
      <c r="F664" s="25"/>
      <c r="G664" s="27"/>
      <c r="H664" s="25"/>
      <c r="I664" s="26"/>
      <c r="J664" s="48" t="str">
        <f aca="false">IF($N664="","",IF(AND($N664=Consulta!$C$3,$G664&lt;&gt;"",$G664&gt;=Consulta!$C$4,$G664&lt;=Consulta!$C$5),COUNTIFS($N$6:$N664,Consulta!$C$3,$G$6:$G664,"&gt;="&amp;Consulta!$C$4,$G$6:$G664,"&lt;="&amp;Consulta!$C$5),""))</f>
        <v/>
      </c>
      <c r="K664" s="48" t="str">
        <f aca="false">IF($C664="","",IF(AND($C664=Consulta!$L$3,$G664&lt;&gt;"",$G664&gt;=Consulta!$L$4,$G664&lt;=Consulta!$L$5),COUNTIFS($C$6:$C664,Consulta!$L$3,$G$6:$G664,"&gt;="&amp;Consulta!$L$4,$G$6:$G664,"&lt;="&amp;Consulta!$L$5),""))</f>
        <v/>
      </c>
      <c r="L664" s="48" t="str">
        <f aca="false">IF($D664="","",IF($D664=Consulta!$S$3,COUNTIF($D$6:$D664,Consulta!$S$3),""))</f>
        <v/>
      </c>
      <c r="M664" s="48" t="str">
        <f aca="false">IF($N664="","",IF(AND($N664='Comprovante DEV'!$D$6,$G664='Comprovante DEV'!$D$7),COUNTIFS($N$6:$N664,'Comprovante DEV'!$D$6,$G$6:$G664,'Comprovante DEV'!$D$7),""))</f>
        <v/>
      </c>
      <c r="N664" s="48" t="str">
        <f aca="false">IF($F664="","",IFERROR(VLOOKUP($F664,Apelidos_Tecnico!$A:$B,2,0),$F664))</f>
        <v/>
      </c>
    </row>
    <row r="665" customFormat="false" ht="15" hidden="false" customHeight="false" outlineLevel="0" collapsed="false">
      <c r="A665" s="25"/>
      <c r="B665" s="25"/>
      <c r="C665" s="26"/>
      <c r="D665" s="25"/>
      <c r="E665" s="25"/>
      <c r="F665" s="25"/>
      <c r="G665" s="27"/>
      <c r="H665" s="25"/>
      <c r="I665" s="26"/>
      <c r="J665" s="48" t="str">
        <f aca="false">IF($N665="","",IF(AND($N665=Consulta!$C$3,$G665&lt;&gt;"",$G665&gt;=Consulta!$C$4,$G665&lt;=Consulta!$C$5),COUNTIFS($N$6:$N665,Consulta!$C$3,$G$6:$G665,"&gt;="&amp;Consulta!$C$4,$G$6:$G665,"&lt;="&amp;Consulta!$C$5),""))</f>
        <v/>
      </c>
      <c r="K665" s="48" t="str">
        <f aca="false">IF($C665="","",IF(AND($C665=Consulta!$L$3,$G665&lt;&gt;"",$G665&gt;=Consulta!$L$4,$G665&lt;=Consulta!$L$5),COUNTIFS($C$6:$C665,Consulta!$L$3,$G$6:$G665,"&gt;="&amp;Consulta!$L$4,$G$6:$G665,"&lt;="&amp;Consulta!$L$5),""))</f>
        <v/>
      </c>
      <c r="L665" s="48" t="str">
        <f aca="false">IF($D665="","",IF($D665=Consulta!$S$3,COUNTIF($D$6:$D665,Consulta!$S$3),""))</f>
        <v/>
      </c>
      <c r="M665" s="48" t="str">
        <f aca="false">IF($N665="","",IF(AND($N665='Comprovante DEV'!$D$6,$G665='Comprovante DEV'!$D$7),COUNTIFS($N$6:$N665,'Comprovante DEV'!$D$6,$G$6:$G665,'Comprovante DEV'!$D$7),""))</f>
        <v/>
      </c>
      <c r="N665" s="48" t="str">
        <f aca="false">IF($F665="","",IFERROR(VLOOKUP($F665,Apelidos_Tecnico!$A:$B,2,0),$F665))</f>
        <v/>
      </c>
    </row>
    <row r="666" customFormat="false" ht="15" hidden="false" customHeight="false" outlineLevel="0" collapsed="false">
      <c r="A666" s="25"/>
      <c r="B666" s="25"/>
      <c r="C666" s="26"/>
      <c r="D666" s="25"/>
      <c r="E666" s="25"/>
      <c r="F666" s="25"/>
      <c r="G666" s="27"/>
      <c r="H666" s="25"/>
      <c r="I666" s="26"/>
      <c r="J666" s="48" t="str">
        <f aca="false">IF($N666="","",IF(AND($N666=Consulta!$C$3,$G666&lt;&gt;"",$G666&gt;=Consulta!$C$4,$G666&lt;=Consulta!$C$5),COUNTIFS($N$6:$N666,Consulta!$C$3,$G$6:$G666,"&gt;="&amp;Consulta!$C$4,$G$6:$G666,"&lt;="&amp;Consulta!$C$5),""))</f>
        <v/>
      </c>
      <c r="K666" s="48" t="str">
        <f aca="false">IF($C666="","",IF(AND($C666=Consulta!$L$3,$G666&lt;&gt;"",$G666&gt;=Consulta!$L$4,$G666&lt;=Consulta!$L$5),COUNTIFS($C$6:$C666,Consulta!$L$3,$G$6:$G666,"&gt;="&amp;Consulta!$L$4,$G$6:$G666,"&lt;="&amp;Consulta!$L$5),""))</f>
        <v/>
      </c>
      <c r="L666" s="48" t="str">
        <f aca="false">IF($D666="","",IF($D666=Consulta!$S$3,COUNTIF($D$6:$D666,Consulta!$S$3),""))</f>
        <v/>
      </c>
      <c r="M666" s="48" t="str">
        <f aca="false">IF($N666="","",IF(AND($N666='Comprovante DEV'!$D$6,$G666='Comprovante DEV'!$D$7),COUNTIFS($N$6:$N666,'Comprovante DEV'!$D$6,$G$6:$G666,'Comprovante DEV'!$D$7),""))</f>
        <v/>
      </c>
      <c r="N666" s="48" t="str">
        <f aca="false">IF($F666="","",IFERROR(VLOOKUP($F666,Apelidos_Tecnico!$A:$B,2,0),$F666))</f>
        <v/>
      </c>
    </row>
    <row r="667" customFormat="false" ht="15" hidden="false" customHeight="false" outlineLevel="0" collapsed="false">
      <c r="A667" s="25"/>
      <c r="B667" s="25"/>
      <c r="C667" s="26"/>
      <c r="D667" s="25"/>
      <c r="E667" s="25"/>
      <c r="F667" s="25"/>
      <c r="G667" s="27"/>
      <c r="H667" s="25"/>
      <c r="I667" s="26"/>
      <c r="J667" s="48" t="str">
        <f aca="false">IF($N667="","",IF(AND($N667=Consulta!$C$3,$G667&lt;&gt;"",$G667&gt;=Consulta!$C$4,$G667&lt;=Consulta!$C$5),COUNTIFS($N$6:$N667,Consulta!$C$3,$G$6:$G667,"&gt;="&amp;Consulta!$C$4,$G$6:$G667,"&lt;="&amp;Consulta!$C$5),""))</f>
        <v/>
      </c>
      <c r="K667" s="48" t="str">
        <f aca="false">IF($C667="","",IF(AND($C667=Consulta!$L$3,$G667&lt;&gt;"",$G667&gt;=Consulta!$L$4,$G667&lt;=Consulta!$L$5),COUNTIFS($C$6:$C667,Consulta!$L$3,$G$6:$G667,"&gt;="&amp;Consulta!$L$4,$G$6:$G667,"&lt;="&amp;Consulta!$L$5),""))</f>
        <v/>
      </c>
      <c r="L667" s="48" t="str">
        <f aca="false">IF($D667="","",IF($D667=Consulta!$S$3,COUNTIF($D$6:$D667,Consulta!$S$3),""))</f>
        <v/>
      </c>
      <c r="M667" s="48" t="str">
        <f aca="false">IF($N667="","",IF(AND($N667='Comprovante DEV'!$D$6,$G667='Comprovante DEV'!$D$7),COUNTIFS($N$6:$N667,'Comprovante DEV'!$D$6,$G$6:$G667,'Comprovante DEV'!$D$7),""))</f>
        <v/>
      </c>
      <c r="N667" s="48" t="str">
        <f aca="false">IF($F667="","",IFERROR(VLOOKUP($F667,Apelidos_Tecnico!$A:$B,2,0),$F667))</f>
        <v/>
      </c>
    </row>
    <row r="668" customFormat="false" ht="15" hidden="false" customHeight="false" outlineLevel="0" collapsed="false">
      <c r="A668" s="25"/>
      <c r="B668" s="25"/>
      <c r="C668" s="26"/>
      <c r="D668" s="25"/>
      <c r="E668" s="25"/>
      <c r="F668" s="25"/>
      <c r="G668" s="27"/>
      <c r="H668" s="25"/>
      <c r="I668" s="26"/>
      <c r="J668" s="48" t="str">
        <f aca="false">IF($N668="","",IF(AND($N668=Consulta!$C$3,$G668&lt;&gt;"",$G668&gt;=Consulta!$C$4,$G668&lt;=Consulta!$C$5),COUNTIFS($N$6:$N668,Consulta!$C$3,$G$6:$G668,"&gt;="&amp;Consulta!$C$4,$G$6:$G668,"&lt;="&amp;Consulta!$C$5),""))</f>
        <v/>
      </c>
      <c r="K668" s="48" t="str">
        <f aca="false">IF($C668="","",IF(AND($C668=Consulta!$L$3,$G668&lt;&gt;"",$G668&gt;=Consulta!$L$4,$G668&lt;=Consulta!$L$5),COUNTIFS($C$6:$C668,Consulta!$L$3,$G$6:$G668,"&gt;="&amp;Consulta!$L$4,$G$6:$G668,"&lt;="&amp;Consulta!$L$5),""))</f>
        <v/>
      </c>
      <c r="L668" s="48" t="str">
        <f aca="false">IF($D668="","",IF($D668=Consulta!$S$3,COUNTIF($D$6:$D668,Consulta!$S$3),""))</f>
        <v/>
      </c>
      <c r="M668" s="48" t="str">
        <f aca="false">IF($N668="","",IF(AND($N668='Comprovante DEV'!$D$6,$G668='Comprovante DEV'!$D$7),COUNTIFS($N$6:$N668,'Comprovante DEV'!$D$6,$G$6:$G668,'Comprovante DEV'!$D$7),""))</f>
        <v/>
      </c>
      <c r="N668" s="48" t="str">
        <f aca="false">IF($F668="","",IFERROR(VLOOKUP($F668,Apelidos_Tecnico!$A:$B,2,0),$F668))</f>
        <v/>
      </c>
    </row>
    <row r="669" customFormat="false" ht="15" hidden="false" customHeight="false" outlineLevel="0" collapsed="false">
      <c r="A669" s="25"/>
      <c r="B669" s="25"/>
      <c r="C669" s="26"/>
      <c r="D669" s="25"/>
      <c r="E669" s="25"/>
      <c r="F669" s="25"/>
      <c r="G669" s="27"/>
      <c r="H669" s="25"/>
      <c r="I669" s="26"/>
      <c r="J669" s="48" t="str">
        <f aca="false">IF($N669="","",IF(AND($N669=Consulta!$C$3,$G669&lt;&gt;"",$G669&gt;=Consulta!$C$4,$G669&lt;=Consulta!$C$5),COUNTIFS($N$6:$N669,Consulta!$C$3,$G$6:$G669,"&gt;="&amp;Consulta!$C$4,$G$6:$G669,"&lt;="&amp;Consulta!$C$5),""))</f>
        <v/>
      </c>
      <c r="K669" s="48" t="str">
        <f aca="false">IF($C669="","",IF(AND($C669=Consulta!$L$3,$G669&lt;&gt;"",$G669&gt;=Consulta!$L$4,$G669&lt;=Consulta!$L$5),COUNTIFS($C$6:$C669,Consulta!$L$3,$G$6:$G669,"&gt;="&amp;Consulta!$L$4,$G$6:$G669,"&lt;="&amp;Consulta!$L$5),""))</f>
        <v/>
      </c>
      <c r="L669" s="48" t="str">
        <f aca="false">IF($D669="","",IF($D669=Consulta!$S$3,COUNTIF($D$6:$D669,Consulta!$S$3),""))</f>
        <v/>
      </c>
      <c r="M669" s="48" t="str">
        <f aca="false">IF($N669="","",IF(AND($N669='Comprovante DEV'!$D$6,$G669='Comprovante DEV'!$D$7),COUNTIFS($N$6:$N669,'Comprovante DEV'!$D$6,$G$6:$G669,'Comprovante DEV'!$D$7),""))</f>
        <v/>
      </c>
      <c r="N669" s="48" t="str">
        <f aca="false">IF($F669="","",IFERROR(VLOOKUP($F669,Apelidos_Tecnico!$A:$B,2,0),$F669))</f>
        <v/>
      </c>
    </row>
    <row r="670" customFormat="false" ht="15" hidden="false" customHeight="false" outlineLevel="0" collapsed="false">
      <c r="A670" s="25"/>
      <c r="B670" s="25"/>
      <c r="C670" s="26"/>
      <c r="D670" s="25"/>
      <c r="E670" s="25"/>
      <c r="F670" s="25"/>
      <c r="G670" s="27"/>
      <c r="H670" s="25"/>
      <c r="I670" s="26"/>
      <c r="J670" s="48" t="str">
        <f aca="false">IF($N670="","",IF(AND($N670=Consulta!$C$3,$G670&lt;&gt;"",$G670&gt;=Consulta!$C$4,$G670&lt;=Consulta!$C$5),COUNTIFS($N$6:$N670,Consulta!$C$3,$G$6:$G670,"&gt;="&amp;Consulta!$C$4,$G$6:$G670,"&lt;="&amp;Consulta!$C$5),""))</f>
        <v/>
      </c>
      <c r="K670" s="48" t="str">
        <f aca="false">IF($C670="","",IF(AND($C670=Consulta!$L$3,$G670&lt;&gt;"",$G670&gt;=Consulta!$L$4,$G670&lt;=Consulta!$L$5),COUNTIFS($C$6:$C670,Consulta!$L$3,$G$6:$G670,"&gt;="&amp;Consulta!$L$4,$G$6:$G670,"&lt;="&amp;Consulta!$L$5),""))</f>
        <v/>
      </c>
      <c r="L670" s="48" t="str">
        <f aca="false">IF($D670="","",IF($D670=Consulta!$S$3,COUNTIF($D$6:$D670,Consulta!$S$3),""))</f>
        <v/>
      </c>
      <c r="M670" s="48" t="str">
        <f aca="false">IF($N670="","",IF(AND($N670='Comprovante DEV'!$D$6,$G670='Comprovante DEV'!$D$7),COUNTIFS($N$6:$N670,'Comprovante DEV'!$D$6,$G$6:$G670,'Comprovante DEV'!$D$7),""))</f>
        <v/>
      </c>
      <c r="N670" s="48" t="str">
        <f aca="false">IF($F670="","",IFERROR(VLOOKUP($F670,Apelidos_Tecnico!$A:$B,2,0),$F670))</f>
        <v/>
      </c>
    </row>
    <row r="671" customFormat="false" ht="15" hidden="false" customHeight="false" outlineLevel="0" collapsed="false">
      <c r="A671" s="25"/>
      <c r="B671" s="25"/>
      <c r="C671" s="26"/>
      <c r="D671" s="25"/>
      <c r="E671" s="25"/>
      <c r="F671" s="25"/>
      <c r="G671" s="27"/>
      <c r="H671" s="25"/>
      <c r="I671" s="26"/>
      <c r="J671" s="48" t="str">
        <f aca="false">IF($N671="","",IF(AND($N671=Consulta!$C$3,$G671&lt;&gt;"",$G671&gt;=Consulta!$C$4,$G671&lt;=Consulta!$C$5),COUNTIFS($N$6:$N671,Consulta!$C$3,$G$6:$G671,"&gt;="&amp;Consulta!$C$4,$G$6:$G671,"&lt;="&amp;Consulta!$C$5),""))</f>
        <v/>
      </c>
      <c r="K671" s="48" t="str">
        <f aca="false">IF($C671="","",IF(AND($C671=Consulta!$L$3,$G671&lt;&gt;"",$G671&gt;=Consulta!$L$4,$G671&lt;=Consulta!$L$5),COUNTIFS($C$6:$C671,Consulta!$L$3,$G$6:$G671,"&gt;="&amp;Consulta!$L$4,$G$6:$G671,"&lt;="&amp;Consulta!$L$5),""))</f>
        <v/>
      </c>
      <c r="L671" s="48" t="str">
        <f aca="false">IF($D671="","",IF($D671=Consulta!$S$3,COUNTIF($D$6:$D671,Consulta!$S$3),""))</f>
        <v/>
      </c>
      <c r="M671" s="48" t="str">
        <f aca="false">IF($N671="","",IF(AND($N671='Comprovante DEV'!$D$6,$G671='Comprovante DEV'!$D$7),COUNTIFS($N$6:$N671,'Comprovante DEV'!$D$6,$G$6:$G671,'Comprovante DEV'!$D$7),""))</f>
        <v/>
      </c>
      <c r="N671" s="48" t="str">
        <f aca="false">IF($F671="","",IFERROR(VLOOKUP($F671,Apelidos_Tecnico!$A:$B,2,0),$F671))</f>
        <v/>
      </c>
    </row>
    <row r="672" customFormat="false" ht="15" hidden="false" customHeight="false" outlineLevel="0" collapsed="false">
      <c r="A672" s="25"/>
      <c r="B672" s="25"/>
      <c r="C672" s="26"/>
      <c r="D672" s="25"/>
      <c r="E672" s="25"/>
      <c r="F672" s="25"/>
      <c r="G672" s="27"/>
      <c r="H672" s="25"/>
      <c r="I672" s="26"/>
      <c r="J672" s="48" t="str">
        <f aca="false">IF($N672="","",IF(AND($N672=Consulta!$C$3,$G672&lt;&gt;"",$G672&gt;=Consulta!$C$4,$G672&lt;=Consulta!$C$5),COUNTIFS($N$6:$N672,Consulta!$C$3,$G$6:$G672,"&gt;="&amp;Consulta!$C$4,$G$6:$G672,"&lt;="&amp;Consulta!$C$5),""))</f>
        <v/>
      </c>
      <c r="K672" s="48" t="str">
        <f aca="false">IF($C672="","",IF(AND($C672=Consulta!$L$3,$G672&lt;&gt;"",$G672&gt;=Consulta!$L$4,$G672&lt;=Consulta!$L$5),COUNTIFS($C$6:$C672,Consulta!$L$3,$G$6:$G672,"&gt;="&amp;Consulta!$L$4,$G$6:$G672,"&lt;="&amp;Consulta!$L$5),""))</f>
        <v/>
      </c>
      <c r="L672" s="48" t="str">
        <f aca="false">IF($D672="","",IF($D672=Consulta!$S$3,COUNTIF($D$6:$D672,Consulta!$S$3),""))</f>
        <v/>
      </c>
      <c r="M672" s="48" t="str">
        <f aca="false">IF($N672="","",IF(AND($N672='Comprovante DEV'!$D$6,$G672='Comprovante DEV'!$D$7),COUNTIFS($N$6:$N672,'Comprovante DEV'!$D$6,$G$6:$G672,'Comprovante DEV'!$D$7),""))</f>
        <v/>
      </c>
      <c r="N672" s="48" t="str">
        <f aca="false">IF($F672="","",IFERROR(VLOOKUP($F672,Apelidos_Tecnico!$A:$B,2,0),$F672))</f>
        <v/>
      </c>
    </row>
    <row r="673" customFormat="false" ht="15" hidden="false" customHeight="false" outlineLevel="0" collapsed="false">
      <c r="A673" s="25"/>
      <c r="B673" s="25"/>
      <c r="C673" s="26"/>
      <c r="D673" s="25"/>
      <c r="E673" s="25"/>
      <c r="F673" s="25"/>
      <c r="G673" s="27"/>
      <c r="H673" s="25"/>
      <c r="I673" s="26"/>
      <c r="J673" s="48" t="str">
        <f aca="false">IF($N673="","",IF(AND($N673=Consulta!$C$3,$G673&lt;&gt;"",$G673&gt;=Consulta!$C$4,$G673&lt;=Consulta!$C$5),COUNTIFS($N$6:$N673,Consulta!$C$3,$G$6:$G673,"&gt;="&amp;Consulta!$C$4,$G$6:$G673,"&lt;="&amp;Consulta!$C$5),""))</f>
        <v/>
      </c>
      <c r="K673" s="48" t="str">
        <f aca="false">IF($C673="","",IF(AND($C673=Consulta!$L$3,$G673&lt;&gt;"",$G673&gt;=Consulta!$L$4,$G673&lt;=Consulta!$L$5),COUNTIFS($C$6:$C673,Consulta!$L$3,$G$6:$G673,"&gt;="&amp;Consulta!$L$4,$G$6:$G673,"&lt;="&amp;Consulta!$L$5),""))</f>
        <v/>
      </c>
      <c r="L673" s="48" t="str">
        <f aca="false">IF($D673="","",IF($D673=Consulta!$S$3,COUNTIF($D$6:$D673,Consulta!$S$3),""))</f>
        <v/>
      </c>
      <c r="M673" s="48" t="str">
        <f aca="false">IF($N673="","",IF(AND($N673='Comprovante DEV'!$D$6,$G673='Comprovante DEV'!$D$7),COUNTIFS($N$6:$N673,'Comprovante DEV'!$D$6,$G$6:$G673,'Comprovante DEV'!$D$7),""))</f>
        <v/>
      </c>
      <c r="N673" s="48" t="str">
        <f aca="false">IF($F673="","",IFERROR(VLOOKUP($F673,Apelidos_Tecnico!$A:$B,2,0),$F673))</f>
        <v/>
      </c>
    </row>
    <row r="674" customFormat="false" ht="15" hidden="false" customHeight="false" outlineLevel="0" collapsed="false">
      <c r="A674" s="25"/>
      <c r="B674" s="25"/>
      <c r="C674" s="26"/>
      <c r="D674" s="25"/>
      <c r="E674" s="25"/>
      <c r="F674" s="25"/>
      <c r="G674" s="27"/>
      <c r="H674" s="25"/>
      <c r="I674" s="26"/>
      <c r="J674" s="48" t="str">
        <f aca="false">IF($N674="","",IF(AND($N674=Consulta!$C$3,$G674&lt;&gt;"",$G674&gt;=Consulta!$C$4,$G674&lt;=Consulta!$C$5),COUNTIFS($N$6:$N674,Consulta!$C$3,$G$6:$G674,"&gt;="&amp;Consulta!$C$4,$G$6:$G674,"&lt;="&amp;Consulta!$C$5),""))</f>
        <v/>
      </c>
      <c r="K674" s="48" t="str">
        <f aca="false">IF($C674="","",IF(AND($C674=Consulta!$L$3,$G674&lt;&gt;"",$G674&gt;=Consulta!$L$4,$G674&lt;=Consulta!$L$5),COUNTIFS($C$6:$C674,Consulta!$L$3,$G$6:$G674,"&gt;="&amp;Consulta!$L$4,$G$6:$G674,"&lt;="&amp;Consulta!$L$5),""))</f>
        <v/>
      </c>
      <c r="L674" s="48" t="str">
        <f aca="false">IF($D674="","",IF($D674=Consulta!$S$3,COUNTIF($D$6:$D674,Consulta!$S$3),""))</f>
        <v/>
      </c>
      <c r="M674" s="48" t="str">
        <f aca="false">IF($N674="","",IF(AND($N674='Comprovante DEV'!$D$6,$G674='Comprovante DEV'!$D$7),COUNTIFS($N$6:$N674,'Comprovante DEV'!$D$6,$G$6:$G674,'Comprovante DEV'!$D$7),""))</f>
        <v/>
      </c>
      <c r="N674" s="48" t="str">
        <f aca="false">IF($F674="","",IFERROR(VLOOKUP($F674,Apelidos_Tecnico!$A:$B,2,0),$F674))</f>
        <v/>
      </c>
    </row>
    <row r="675" customFormat="false" ht="15" hidden="false" customHeight="false" outlineLevel="0" collapsed="false">
      <c r="A675" s="25"/>
      <c r="B675" s="25"/>
      <c r="C675" s="26"/>
      <c r="D675" s="25"/>
      <c r="E675" s="25"/>
      <c r="F675" s="25"/>
      <c r="G675" s="27"/>
      <c r="H675" s="25"/>
      <c r="I675" s="26"/>
      <c r="J675" s="48" t="str">
        <f aca="false">IF($N675="","",IF(AND($N675=Consulta!$C$3,$G675&lt;&gt;"",$G675&gt;=Consulta!$C$4,$G675&lt;=Consulta!$C$5),COUNTIFS($N$6:$N675,Consulta!$C$3,$G$6:$G675,"&gt;="&amp;Consulta!$C$4,$G$6:$G675,"&lt;="&amp;Consulta!$C$5),""))</f>
        <v/>
      </c>
      <c r="K675" s="48" t="str">
        <f aca="false">IF($C675="","",IF(AND($C675=Consulta!$L$3,$G675&lt;&gt;"",$G675&gt;=Consulta!$L$4,$G675&lt;=Consulta!$L$5),COUNTIFS($C$6:$C675,Consulta!$L$3,$G$6:$G675,"&gt;="&amp;Consulta!$L$4,$G$6:$G675,"&lt;="&amp;Consulta!$L$5),""))</f>
        <v/>
      </c>
      <c r="L675" s="48" t="str">
        <f aca="false">IF($D675="","",IF($D675=Consulta!$S$3,COUNTIF($D$6:$D675,Consulta!$S$3),""))</f>
        <v/>
      </c>
      <c r="M675" s="48" t="str">
        <f aca="false">IF($N675="","",IF(AND($N675='Comprovante DEV'!$D$6,$G675='Comprovante DEV'!$D$7),COUNTIFS($N$6:$N675,'Comprovante DEV'!$D$6,$G$6:$G675,'Comprovante DEV'!$D$7),""))</f>
        <v/>
      </c>
      <c r="N675" s="48" t="str">
        <f aca="false">IF($F675="","",IFERROR(VLOOKUP($F675,Apelidos_Tecnico!$A:$B,2,0),$F675))</f>
        <v/>
      </c>
    </row>
    <row r="676" customFormat="false" ht="15" hidden="false" customHeight="false" outlineLevel="0" collapsed="false">
      <c r="A676" s="25"/>
      <c r="B676" s="25"/>
      <c r="C676" s="26"/>
      <c r="D676" s="25"/>
      <c r="E676" s="25"/>
      <c r="F676" s="25"/>
      <c r="G676" s="27"/>
      <c r="H676" s="25"/>
      <c r="I676" s="26"/>
      <c r="J676" s="48" t="str">
        <f aca="false">IF($N676="","",IF(AND($N676=Consulta!$C$3,$G676&lt;&gt;"",$G676&gt;=Consulta!$C$4,$G676&lt;=Consulta!$C$5),COUNTIFS($N$6:$N676,Consulta!$C$3,$G$6:$G676,"&gt;="&amp;Consulta!$C$4,$G$6:$G676,"&lt;="&amp;Consulta!$C$5),""))</f>
        <v/>
      </c>
      <c r="K676" s="48" t="str">
        <f aca="false">IF($C676="","",IF(AND($C676=Consulta!$L$3,$G676&lt;&gt;"",$G676&gt;=Consulta!$L$4,$G676&lt;=Consulta!$L$5),COUNTIFS($C$6:$C676,Consulta!$L$3,$G$6:$G676,"&gt;="&amp;Consulta!$L$4,$G$6:$G676,"&lt;="&amp;Consulta!$L$5),""))</f>
        <v/>
      </c>
      <c r="L676" s="48" t="str">
        <f aca="false">IF($D676="","",IF($D676=Consulta!$S$3,COUNTIF($D$6:$D676,Consulta!$S$3),""))</f>
        <v/>
      </c>
      <c r="M676" s="48" t="str">
        <f aca="false">IF($N676="","",IF(AND($N676='Comprovante DEV'!$D$6,$G676='Comprovante DEV'!$D$7),COUNTIFS($N$6:$N676,'Comprovante DEV'!$D$6,$G$6:$G676,'Comprovante DEV'!$D$7),""))</f>
        <v/>
      </c>
      <c r="N676" s="48" t="str">
        <f aca="false">IF($F676="","",IFERROR(VLOOKUP($F676,Apelidos_Tecnico!$A:$B,2,0),$F676))</f>
        <v/>
      </c>
    </row>
    <row r="677" customFormat="false" ht="15" hidden="false" customHeight="false" outlineLevel="0" collapsed="false">
      <c r="A677" s="25"/>
      <c r="B677" s="25"/>
      <c r="C677" s="26"/>
      <c r="D677" s="25"/>
      <c r="E677" s="25"/>
      <c r="F677" s="25"/>
      <c r="G677" s="27"/>
      <c r="H677" s="25"/>
      <c r="I677" s="26"/>
      <c r="J677" s="48" t="str">
        <f aca="false">IF($N677="","",IF(AND($N677=Consulta!$C$3,$G677&lt;&gt;"",$G677&gt;=Consulta!$C$4,$G677&lt;=Consulta!$C$5),COUNTIFS($N$6:$N677,Consulta!$C$3,$G$6:$G677,"&gt;="&amp;Consulta!$C$4,$G$6:$G677,"&lt;="&amp;Consulta!$C$5),""))</f>
        <v/>
      </c>
      <c r="K677" s="48" t="str">
        <f aca="false">IF($C677="","",IF(AND($C677=Consulta!$L$3,$G677&lt;&gt;"",$G677&gt;=Consulta!$L$4,$G677&lt;=Consulta!$L$5),COUNTIFS($C$6:$C677,Consulta!$L$3,$G$6:$G677,"&gt;="&amp;Consulta!$L$4,$G$6:$G677,"&lt;="&amp;Consulta!$L$5),""))</f>
        <v/>
      </c>
      <c r="L677" s="48" t="str">
        <f aca="false">IF($D677="","",IF($D677=Consulta!$S$3,COUNTIF($D$6:$D677,Consulta!$S$3),""))</f>
        <v/>
      </c>
      <c r="M677" s="48" t="str">
        <f aca="false">IF($N677="","",IF(AND($N677='Comprovante DEV'!$D$6,$G677='Comprovante DEV'!$D$7),COUNTIFS($N$6:$N677,'Comprovante DEV'!$D$6,$G$6:$G677,'Comprovante DEV'!$D$7),""))</f>
        <v/>
      </c>
      <c r="N677" s="48" t="str">
        <f aca="false">IF($F677="","",IFERROR(VLOOKUP($F677,Apelidos_Tecnico!$A:$B,2,0),$F677))</f>
        <v/>
      </c>
    </row>
    <row r="678" customFormat="false" ht="15" hidden="false" customHeight="false" outlineLevel="0" collapsed="false">
      <c r="A678" s="25"/>
      <c r="B678" s="25"/>
      <c r="C678" s="26"/>
      <c r="D678" s="25"/>
      <c r="E678" s="25"/>
      <c r="F678" s="25"/>
      <c r="G678" s="27"/>
      <c r="H678" s="25"/>
      <c r="I678" s="26"/>
      <c r="J678" s="48" t="str">
        <f aca="false">IF($N678="","",IF(AND($N678=Consulta!$C$3,$G678&lt;&gt;"",$G678&gt;=Consulta!$C$4,$G678&lt;=Consulta!$C$5),COUNTIFS($N$6:$N678,Consulta!$C$3,$G$6:$G678,"&gt;="&amp;Consulta!$C$4,$G$6:$G678,"&lt;="&amp;Consulta!$C$5),""))</f>
        <v/>
      </c>
      <c r="K678" s="48" t="str">
        <f aca="false">IF($C678="","",IF(AND($C678=Consulta!$L$3,$G678&lt;&gt;"",$G678&gt;=Consulta!$L$4,$G678&lt;=Consulta!$L$5),COUNTIFS($C$6:$C678,Consulta!$L$3,$G$6:$G678,"&gt;="&amp;Consulta!$L$4,$G$6:$G678,"&lt;="&amp;Consulta!$L$5),""))</f>
        <v/>
      </c>
      <c r="L678" s="48" t="str">
        <f aca="false">IF($D678="","",IF($D678=Consulta!$S$3,COUNTIF($D$6:$D678,Consulta!$S$3),""))</f>
        <v/>
      </c>
      <c r="M678" s="48" t="str">
        <f aca="false">IF($N678="","",IF(AND($N678='Comprovante DEV'!$D$6,$G678='Comprovante DEV'!$D$7),COUNTIFS($N$6:$N678,'Comprovante DEV'!$D$6,$G$6:$G678,'Comprovante DEV'!$D$7),""))</f>
        <v/>
      </c>
      <c r="N678" s="48" t="str">
        <f aca="false">IF($F678="","",IFERROR(VLOOKUP($F678,Apelidos_Tecnico!$A:$B,2,0),$F678))</f>
        <v/>
      </c>
    </row>
    <row r="679" customFormat="false" ht="15" hidden="false" customHeight="false" outlineLevel="0" collapsed="false">
      <c r="A679" s="25"/>
      <c r="B679" s="25"/>
      <c r="C679" s="26"/>
      <c r="D679" s="25"/>
      <c r="E679" s="25"/>
      <c r="F679" s="25"/>
      <c r="G679" s="27"/>
      <c r="H679" s="25"/>
      <c r="I679" s="26"/>
      <c r="J679" s="48" t="str">
        <f aca="false">IF($N679="","",IF(AND($N679=Consulta!$C$3,$G679&lt;&gt;"",$G679&gt;=Consulta!$C$4,$G679&lt;=Consulta!$C$5),COUNTIFS($N$6:$N679,Consulta!$C$3,$G$6:$G679,"&gt;="&amp;Consulta!$C$4,$G$6:$G679,"&lt;="&amp;Consulta!$C$5),""))</f>
        <v/>
      </c>
      <c r="K679" s="48" t="str">
        <f aca="false">IF($C679="","",IF(AND($C679=Consulta!$L$3,$G679&lt;&gt;"",$G679&gt;=Consulta!$L$4,$G679&lt;=Consulta!$L$5),COUNTIFS($C$6:$C679,Consulta!$L$3,$G$6:$G679,"&gt;="&amp;Consulta!$L$4,$G$6:$G679,"&lt;="&amp;Consulta!$L$5),""))</f>
        <v/>
      </c>
      <c r="L679" s="48" t="str">
        <f aca="false">IF($D679="","",IF($D679=Consulta!$S$3,COUNTIF($D$6:$D679,Consulta!$S$3),""))</f>
        <v/>
      </c>
      <c r="M679" s="48" t="str">
        <f aca="false">IF($N679="","",IF(AND($N679='Comprovante DEV'!$D$6,$G679='Comprovante DEV'!$D$7),COUNTIFS($N$6:$N679,'Comprovante DEV'!$D$6,$G$6:$G679,'Comprovante DEV'!$D$7),""))</f>
        <v/>
      </c>
      <c r="N679" s="48" t="str">
        <f aca="false">IF($F679="","",IFERROR(VLOOKUP($F679,Apelidos_Tecnico!$A:$B,2,0),$F679))</f>
        <v/>
      </c>
    </row>
    <row r="680" customFormat="false" ht="15" hidden="false" customHeight="false" outlineLevel="0" collapsed="false">
      <c r="A680" s="25"/>
      <c r="B680" s="25"/>
      <c r="C680" s="26"/>
      <c r="D680" s="25"/>
      <c r="E680" s="25"/>
      <c r="F680" s="25"/>
      <c r="G680" s="27"/>
      <c r="H680" s="25"/>
      <c r="I680" s="26"/>
      <c r="J680" s="48" t="str">
        <f aca="false">IF($N680="","",IF(AND($N680=Consulta!$C$3,$G680&lt;&gt;"",$G680&gt;=Consulta!$C$4,$G680&lt;=Consulta!$C$5),COUNTIFS($N$6:$N680,Consulta!$C$3,$G$6:$G680,"&gt;="&amp;Consulta!$C$4,$G$6:$G680,"&lt;="&amp;Consulta!$C$5),""))</f>
        <v/>
      </c>
      <c r="K680" s="48" t="str">
        <f aca="false">IF($C680="","",IF(AND($C680=Consulta!$L$3,$G680&lt;&gt;"",$G680&gt;=Consulta!$L$4,$G680&lt;=Consulta!$L$5),COUNTIFS($C$6:$C680,Consulta!$L$3,$G$6:$G680,"&gt;="&amp;Consulta!$L$4,$G$6:$G680,"&lt;="&amp;Consulta!$L$5),""))</f>
        <v/>
      </c>
      <c r="L680" s="48" t="str">
        <f aca="false">IF($D680="","",IF($D680=Consulta!$S$3,COUNTIF($D$6:$D680,Consulta!$S$3),""))</f>
        <v/>
      </c>
      <c r="M680" s="48" t="str">
        <f aca="false">IF($N680="","",IF(AND($N680='Comprovante DEV'!$D$6,$G680='Comprovante DEV'!$D$7),COUNTIFS($N$6:$N680,'Comprovante DEV'!$D$6,$G$6:$G680,'Comprovante DEV'!$D$7),""))</f>
        <v/>
      </c>
      <c r="N680" s="48" t="str">
        <f aca="false">IF($F680="","",IFERROR(VLOOKUP($F680,Apelidos_Tecnico!$A:$B,2,0),$F680))</f>
        <v/>
      </c>
    </row>
    <row r="681" customFormat="false" ht="15" hidden="false" customHeight="false" outlineLevel="0" collapsed="false">
      <c r="A681" s="25"/>
      <c r="B681" s="25"/>
      <c r="C681" s="26"/>
      <c r="D681" s="25"/>
      <c r="E681" s="25"/>
      <c r="F681" s="25"/>
      <c r="G681" s="27"/>
      <c r="H681" s="25"/>
      <c r="I681" s="26"/>
      <c r="J681" s="48" t="str">
        <f aca="false">IF($N681="","",IF(AND($N681=Consulta!$C$3,$G681&lt;&gt;"",$G681&gt;=Consulta!$C$4,$G681&lt;=Consulta!$C$5),COUNTIFS($N$6:$N681,Consulta!$C$3,$G$6:$G681,"&gt;="&amp;Consulta!$C$4,$G$6:$G681,"&lt;="&amp;Consulta!$C$5),""))</f>
        <v/>
      </c>
      <c r="K681" s="48" t="str">
        <f aca="false">IF($C681="","",IF(AND($C681=Consulta!$L$3,$G681&lt;&gt;"",$G681&gt;=Consulta!$L$4,$G681&lt;=Consulta!$L$5),COUNTIFS($C$6:$C681,Consulta!$L$3,$G$6:$G681,"&gt;="&amp;Consulta!$L$4,$G$6:$G681,"&lt;="&amp;Consulta!$L$5),""))</f>
        <v/>
      </c>
      <c r="L681" s="48" t="str">
        <f aca="false">IF($D681="","",IF($D681=Consulta!$S$3,COUNTIF($D$6:$D681,Consulta!$S$3),""))</f>
        <v/>
      </c>
      <c r="M681" s="48" t="str">
        <f aca="false">IF($N681="","",IF(AND($N681='Comprovante DEV'!$D$6,$G681='Comprovante DEV'!$D$7),COUNTIFS($N$6:$N681,'Comprovante DEV'!$D$6,$G$6:$G681,'Comprovante DEV'!$D$7),""))</f>
        <v/>
      </c>
      <c r="N681" s="48" t="str">
        <f aca="false">IF($F681="","",IFERROR(VLOOKUP($F681,Apelidos_Tecnico!$A:$B,2,0),$F681))</f>
        <v/>
      </c>
    </row>
    <row r="682" customFormat="false" ht="15" hidden="false" customHeight="false" outlineLevel="0" collapsed="false">
      <c r="A682" s="25"/>
      <c r="B682" s="25"/>
      <c r="C682" s="26"/>
      <c r="D682" s="25"/>
      <c r="E682" s="25"/>
      <c r="F682" s="25"/>
      <c r="G682" s="27"/>
      <c r="H682" s="25"/>
      <c r="I682" s="26"/>
      <c r="J682" s="48" t="str">
        <f aca="false">IF($N682="","",IF(AND($N682=Consulta!$C$3,$G682&lt;&gt;"",$G682&gt;=Consulta!$C$4,$G682&lt;=Consulta!$C$5),COUNTIFS($N$6:$N682,Consulta!$C$3,$G$6:$G682,"&gt;="&amp;Consulta!$C$4,$G$6:$G682,"&lt;="&amp;Consulta!$C$5),""))</f>
        <v/>
      </c>
      <c r="K682" s="48" t="str">
        <f aca="false">IF($C682="","",IF(AND($C682=Consulta!$L$3,$G682&lt;&gt;"",$G682&gt;=Consulta!$L$4,$G682&lt;=Consulta!$L$5),COUNTIFS($C$6:$C682,Consulta!$L$3,$G$6:$G682,"&gt;="&amp;Consulta!$L$4,$G$6:$G682,"&lt;="&amp;Consulta!$L$5),""))</f>
        <v/>
      </c>
      <c r="L682" s="48" t="str">
        <f aca="false">IF($D682="","",IF($D682=Consulta!$S$3,COUNTIF($D$6:$D682,Consulta!$S$3),""))</f>
        <v/>
      </c>
      <c r="M682" s="48" t="str">
        <f aca="false">IF($N682="","",IF(AND($N682='Comprovante DEV'!$D$6,$G682='Comprovante DEV'!$D$7),COUNTIFS($N$6:$N682,'Comprovante DEV'!$D$6,$G$6:$G682,'Comprovante DEV'!$D$7),""))</f>
        <v/>
      </c>
      <c r="N682" s="48" t="str">
        <f aca="false">IF($F682="","",IFERROR(VLOOKUP($F682,Apelidos_Tecnico!$A:$B,2,0),$F682))</f>
        <v/>
      </c>
    </row>
    <row r="683" customFormat="false" ht="15" hidden="false" customHeight="false" outlineLevel="0" collapsed="false">
      <c r="A683" s="25"/>
      <c r="B683" s="25"/>
      <c r="C683" s="26"/>
      <c r="D683" s="25"/>
      <c r="E683" s="25"/>
      <c r="F683" s="25"/>
      <c r="G683" s="27"/>
      <c r="H683" s="25"/>
      <c r="I683" s="26"/>
      <c r="J683" s="48" t="str">
        <f aca="false">IF($N683="","",IF(AND($N683=Consulta!$C$3,$G683&lt;&gt;"",$G683&gt;=Consulta!$C$4,$G683&lt;=Consulta!$C$5),COUNTIFS($N$6:$N683,Consulta!$C$3,$G$6:$G683,"&gt;="&amp;Consulta!$C$4,$G$6:$G683,"&lt;="&amp;Consulta!$C$5),""))</f>
        <v/>
      </c>
      <c r="K683" s="48" t="str">
        <f aca="false">IF($C683="","",IF(AND($C683=Consulta!$L$3,$G683&lt;&gt;"",$G683&gt;=Consulta!$L$4,$G683&lt;=Consulta!$L$5),COUNTIFS($C$6:$C683,Consulta!$L$3,$G$6:$G683,"&gt;="&amp;Consulta!$L$4,$G$6:$G683,"&lt;="&amp;Consulta!$L$5),""))</f>
        <v/>
      </c>
      <c r="L683" s="48" t="str">
        <f aca="false">IF($D683="","",IF($D683=Consulta!$S$3,COUNTIF($D$6:$D683,Consulta!$S$3),""))</f>
        <v/>
      </c>
      <c r="M683" s="48" t="str">
        <f aca="false">IF($N683="","",IF(AND($N683='Comprovante DEV'!$D$6,$G683='Comprovante DEV'!$D$7),COUNTIFS($N$6:$N683,'Comprovante DEV'!$D$6,$G$6:$G683,'Comprovante DEV'!$D$7),""))</f>
        <v/>
      </c>
      <c r="N683" s="48" t="str">
        <f aca="false">IF($F683="","",IFERROR(VLOOKUP($F683,Apelidos_Tecnico!$A:$B,2,0),$F683))</f>
        <v/>
      </c>
    </row>
    <row r="684" customFormat="false" ht="15" hidden="false" customHeight="false" outlineLevel="0" collapsed="false">
      <c r="A684" s="25"/>
      <c r="B684" s="25"/>
      <c r="C684" s="26"/>
      <c r="D684" s="25"/>
      <c r="E684" s="25"/>
      <c r="F684" s="25"/>
      <c r="G684" s="27"/>
      <c r="H684" s="25"/>
      <c r="I684" s="26"/>
      <c r="J684" s="48" t="str">
        <f aca="false">IF($N684="","",IF(AND($N684=Consulta!$C$3,$G684&lt;&gt;"",$G684&gt;=Consulta!$C$4,$G684&lt;=Consulta!$C$5),COUNTIFS($N$6:$N684,Consulta!$C$3,$G$6:$G684,"&gt;="&amp;Consulta!$C$4,$G$6:$G684,"&lt;="&amp;Consulta!$C$5),""))</f>
        <v/>
      </c>
      <c r="K684" s="48" t="str">
        <f aca="false">IF($C684="","",IF(AND($C684=Consulta!$L$3,$G684&lt;&gt;"",$G684&gt;=Consulta!$L$4,$G684&lt;=Consulta!$L$5),COUNTIFS($C$6:$C684,Consulta!$L$3,$G$6:$G684,"&gt;="&amp;Consulta!$L$4,$G$6:$G684,"&lt;="&amp;Consulta!$L$5),""))</f>
        <v/>
      </c>
      <c r="L684" s="48" t="str">
        <f aca="false">IF($D684="","",IF($D684=Consulta!$S$3,COUNTIF($D$6:$D684,Consulta!$S$3),""))</f>
        <v/>
      </c>
      <c r="M684" s="48" t="str">
        <f aca="false">IF($N684="","",IF(AND($N684='Comprovante DEV'!$D$6,$G684='Comprovante DEV'!$D$7),COUNTIFS($N$6:$N684,'Comprovante DEV'!$D$6,$G$6:$G684,'Comprovante DEV'!$D$7),""))</f>
        <v/>
      </c>
      <c r="N684" s="48" t="str">
        <f aca="false">IF($F684="","",IFERROR(VLOOKUP($F684,Apelidos_Tecnico!$A:$B,2,0),$F684))</f>
        <v/>
      </c>
    </row>
    <row r="685" customFormat="false" ht="15" hidden="false" customHeight="false" outlineLevel="0" collapsed="false">
      <c r="A685" s="25"/>
      <c r="B685" s="25"/>
      <c r="C685" s="26"/>
      <c r="D685" s="25"/>
      <c r="E685" s="25"/>
      <c r="F685" s="25"/>
      <c r="G685" s="27"/>
      <c r="H685" s="25"/>
      <c r="I685" s="26"/>
      <c r="J685" s="48" t="str">
        <f aca="false">IF($N685="","",IF(AND($N685=Consulta!$C$3,$G685&lt;&gt;"",$G685&gt;=Consulta!$C$4,$G685&lt;=Consulta!$C$5),COUNTIFS($N$6:$N685,Consulta!$C$3,$G$6:$G685,"&gt;="&amp;Consulta!$C$4,$G$6:$G685,"&lt;="&amp;Consulta!$C$5),""))</f>
        <v/>
      </c>
      <c r="K685" s="48" t="str">
        <f aca="false">IF($C685="","",IF(AND($C685=Consulta!$L$3,$G685&lt;&gt;"",$G685&gt;=Consulta!$L$4,$G685&lt;=Consulta!$L$5),COUNTIFS($C$6:$C685,Consulta!$L$3,$G$6:$G685,"&gt;="&amp;Consulta!$L$4,$G$6:$G685,"&lt;="&amp;Consulta!$L$5),""))</f>
        <v/>
      </c>
      <c r="L685" s="48" t="str">
        <f aca="false">IF($D685="","",IF($D685=Consulta!$S$3,COUNTIF($D$6:$D685,Consulta!$S$3),""))</f>
        <v/>
      </c>
      <c r="M685" s="48" t="str">
        <f aca="false">IF($N685="","",IF(AND($N685='Comprovante DEV'!$D$6,$G685='Comprovante DEV'!$D$7),COUNTIFS($N$6:$N685,'Comprovante DEV'!$D$6,$G$6:$G685,'Comprovante DEV'!$D$7),""))</f>
        <v/>
      </c>
      <c r="N685" s="48" t="str">
        <f aca="false">IF($F685="","",IFERROR(VLOOKUP($F685,Apelidos_Tecnico!$A:$B,2,0),$F685))</f>
        <v/>
      </c>
    </row>
    <row r="686" customFormat="false" ht="15" hidden="false" customHeight="false" outlineLevel="0" collapsed="false">
      <c r="A686" s="25"/>
      <c r="B686" s="25"/>
      <c r="C686" s="26"/>
      <c r="D686" s="25"/>
      <c r="E686" s="25"/>
      <c r="F686" s="25"/>
      <c r="G686" s="27"/>
      <c r="H686" s="25"/>
      <c r="I686" s="26"/>
      <c r="J686" s="48" t="str">
        <f aca="false">IF($N686="","",IF(AND($N686=Consulta!$C$3,$G686&lt;&gt;"",$G686&gt;=Consulta!$C$4,$G686&lt;=Consulta!$C$5),COUNTIFS($N$6:$N686,Consulta!$C$3,$G$6:$G686,"&gt;="&amp;Consulta!$C$4,$G$6:$G686,"&lt;="&amp;Consulta!$C$5),""))</f>
        <v/>
      </c>
      <c r="K686" s="48" t="str">
        <f aca="false">IF($C686="","",IF(AND($C686=Consulta!$L$3,$G686&lt;&gt;"",$G686&gt;=Consulta!$L$4,$G686&lt;=Consulta!$L$5),COUNTIFS($C$6:$C686,Consulta!$L$3,$G$6:$G686,"&gt;="&amp;Consulta!$L$4,$G$6:$G686,"&lt;="&amp;Consulta!$L$5),""))</f>
        <v/>
      </c>
      <c r="L686" s="48" t="str">
        <f aca="false">IF($D686="","",IF($D686=Consulta!$S$3,COUNTIF($D$6:$D686,Consulta!$S$3),""))</f>
        <v/>
      </c>
      <c r="M686" s="48" t="str">
        <f aca="false">IF($N686="","",IF(AND($N686='Comprovante DEV'!$D$6,$G686='Comprovante DEV'!$D$7),COUNTIFS($N$6:$N686,'Comprovante DEV'!$D$6,$G$6:$G686,'Comprovante DEV'!$D$7),""))</f>
        <v/>
      </c>
      <c r="N686" s="48" t="str">
        <f aca="false">IF($F686="","",IFERROR(VLOOKUP($F686,Apelidos_Tecnico!$A:$B,2,0),$F686))</f>
        <v/>
      </c>
    </row>
    <row r="687" customFormat="false" ht="15" hidden="false" customHeight="false" outlineLevel="0" collapsed="false">
      <c r="A687" s="25"/>
      <c r="B687" s="25"/>
      <c r="C687" s="26"/>
      <c r="D687" s="25"/>
      <c r="E687" s="25"/>
      <c r="F687" s="25"/>
      <c r="G687" s="27"/>
      <c r="H687" s="25"/>
      <c r="I687" s="26"/>
      <c r="J687" s="48" t="str">
        <f aca="false">IF($N687="","",IF(AND($N687=Consulta!$C$3,$G687&lt;&gt;"",$G687&gt;=Consulta!$C$4,$G687&lt;=Consulta!$C$5),COUNTIFS($N$6:$N687,Consulta!$C$3,$G$6:$G687,"&gt;="&amp;Consulta!$C$4,$G$6:$G687,"&lt;="&amp;Consulta!$C$5),""))</f>
        <v/>
      </c>
      <c r="K687" s="48" t="str">
        <f aca="false">IF($C687="","",IF(AND($C687=Consulta!$L$3,$G687&lt;&gt;"",$G687&gt;=Consulta!$L$4,$G687&lt;=Consulta!$L$5),COUNTIFS($C$6:$C687,Consulta!$L$3,$G$6:$G687,"&gt;="&amp;Consulta!$L$4,$G$6:$G687,"&lt;="&amp;Consulta!$L$5),""))</f>
        <v/>
      </c>
      <c r="L687" s="48" t="str">
        <f aca="false">IF($D687="","",IF($D687=Consulta!$S$3,COUNTIF($D$6:$D687,Consulta!$S$3),""))</f>
        <v/>
      </c>
      <c r="M687" s="48" t="str">
        <f aca="false">IF($N687="","",IF(AND($N687='Comprovante DEV'!$D$6,$G687='Comprovante DEV'!$D$7),COUNTIFS($N$6:$N687,'Comprovante DEV'!$D$6,$G$6:$G687,'Comprovante DEV'!$D$7),""))</f>
        <v/>
      </c>
      <c r="N687" s="48" t="str">
        <f aca="false">IF($F687="","",IFERROR(VLOOKUP($F687,Apelidos_Tecnico!$A:$B,2,0),$F687))</f>
        <v/>
      </c>
    </row>
    <row r="688" customFormat="false" ht="15" hidden="false" customHeight="false" outlineLevel="0" collapsed="false">
      <c r="A688" s="25"/>
      <c r="B688" s="25"/>
      <c r="C688" s="26"/>
      <c r="D688" s="25"/>
      <c r="E688" s="25"/>
      <c r="F688" s="25"/>
      <c r="G688" s="27"/>
      <c r="H688" s="25"/>
      <c r="I688" s="26"/>
      <c r="J688" s="48" t="str">
        <f aca="false">IF($N688="","",IF(AND($N688=Consulta!$C$3,$G688&lt;&gt;"",$G688&gt;=Consulta!$C$4,$G688&lt;=Consulta!$C$5),COUNTIFS($N$6:$N688,Consulta!$C$3,$G$6:$G688,"&gt;="&amp;Consulta!$C$4,$G$6:$G688,"&lt;="&amp;Consulta!$C$5),""))</f>
        <v/>
      </c>
      <c r="K688" s="48" t="str">
        <f aca="false">IF($C688="","",IF(AND($C688=Consulta!$L$3,$G688&lt;&gt;"",$G688&gt;=Consulta!$L$4,$G688&lt;=Consulta!$L$5),COUNTIFS($C$6:$C688,Consulta!$L$3,$G$6:$G688,"&gt;="&amp;Consulta!$L$4,$G$6:$G688,"&lt;="&amp;Consulta!$L$5),""))</f>
        <v/>
      </c>
      <c r="L688" s="48" t="str">
        <f aca="false">IF($D688="","",IF($D688=Consulta!$S$3,COUNTIF($D$6:$D688,Consulta!$S$3),""))</f>
        <v/>
      </c>
      <c r="M688" s="48" t="str">
        <f aca="false">IF($N688="","",IF(AND($N688='Comprovante DEV'!$D$6,$G688='Comprovante DEV'!$D$7),COUNTIFS($N$6:$N688,'Comprovante DEV'!$D$6,$G$6:$G688,'Comprovante DEV'!$D$7),""))</f>
        <v/>
      </c>
      <c r="N688" s="48" t="str">
        <f aca="false">IF($F688="","",IFERROR(VLOOKUP($F688,Apelidos_Tecnico!$A:$B,2,0),$F688))</f>
        <v/>
      </c>
    </row>
    <row r="689" customFormat="false" ht="15" hidden="false" customHeight="false" outlineLevel="0" collapsed="false">
      <c r="A689" s="25"/>
      <c r="B689" s="25"/>
      <c r="C689" s="26"/>
      <c r="D689" s="25"/>
      <c r="E689" s="25"/>
      <c r="F689" s="25"/>
      <c r="G689" s="27"/>
      <c r="H689" s="25"/>
      <c r="I689" s="26"/>
      <c r="J689" s="48" t="str">
        <f aca="false">IF($N689="","",IF(AND($N689=Consulta!$C$3,$G689&lt;&gt;"",$G689&gt;=Consulta!$C$4,$G689&lt;=Consulta!$C$5),COUNTIFS($N$6:$N689,Consulta!$C$3,$G$6:$G689,"&gt;="&amp;Consulta!$C$4,$G$6:$G689,"&lt;="&amp;Consulta!$C$5),""))</f>
        <v/>
      </c>
      <c r="K689" s="48" t="str">
        <f aca="false">IF($C689="","",IF(AND($C689=Consulta!$L$3,$G689&lt;&gt;"",$G689&gt;=Consulta!$L$4,$G689&lt;=Consulta!$L$5),COUNTIFS($C$6:$C689,Consulta!$L$3,$G$6:$G689,"&gt;="&amp;Consulta!$L$4,$G$6:$G689,"&lt;="&amp;Consulta!$L$5),""))</f>
        <v/>
      </c>
      <c r="L689" s="48" t="str">
        <f aca="false">IF($D689="","",IF($D689=Consulta!$S$3,COUNTIF($D$6:$D689,Consulta!$S$3),""))</f>
        <v/>
      </c>
      <c r="M689" s="48" t="str">
        <f aca="false">IF($N689="","",IF(AND($N689='Comprovante DEV'!$D$6,$G689='Comprovante DEV'!$D$7),COUNTIFS($N$6:$N689,'Comprovante DEV'!$D$6,$G$6:$G689,'Comprovante DEV'!$D$7),""))</f>
        <v/>
      </c>
      <c r="N689" s="48" t="str">
        <f aca="false">IF($F689="","",IFERROR(VLOOKUP($F689,Apelidos_Tecnico!$A:$B,2,0),$F689))</f>
        <v/>
      </c>
    </row>
    <row r="690" customFormat="false" ht="15" hidden="false" customHeight="false" outlineLevel="0" collapsed="false">
      <c r="A690" s="25"/>
      <c r="B690" s="25"/>
      <c r="C690" s="26"/>
      <c r="D690" s="25"/>
      <c r="E690" s="25"/>
      <c r="F690" s="25"/>
      <c r="G690" s="27"/>
      <c r="H690" s="25"/>
      <c r="I690" s="26"/>
      <c r="J690" s="48" t="str">
        <f aca="false">IF($N690="","",IF(AND($N690=Consulta!$C$3,$G690&lt;&gt;"",$G690&gt;=Consulta!$C$4,$G690&lt;=Consulta!$C$5),COUNTIFS($N$6:$N690,Consulta!$C$3,$G$6:$G690,"&gt;="&amp;Consulta!$C$4,$G$6:$G690,"&lt;="&amp;Consulta!$C$5),""))</f>
        <v/>
      </c>
      <c r="K690" s="48" t="str">
        <f aca="false">IF($C690="","",IF(AND($C690=Consulta!$L$3,$G690&lt;&gt;"",$G690&gt;=Consulta!$L$4,$G690&lt;=Consulta!$L$5),COUNTIFS($C$6:$C690,Consulta!$L$3,$G$6:$G690,"&gt;="&amp;Consulta!$L$4,$G$6:$G690,"&lt;="&amp;Consulta!$L$5),""))</f>
        <v/>
      </c>
      <c r="L690" s="48" t="str">
        <f aca="false">IF($D690="","",IF($D690=Consulta!$S$3,COUNTIF($D$6:$D690,Consulta!$S$3),""))</f>
        <v/>
      </c>
      <c r="M690" s="48" t="str">
        <f aca="false">IF($N690="","",IF(AND($N690='Comprovante DEV'!$D$6,$G690='Comprovante DEV'!$D$7),COUNTIFS($N$6:$N690,'Comprovante DEV'!$D$6,$G$6:$G690,'Comprovante DEV'!$D$7),""))</f>
        <v/>
      </c>
      <c r="N690" s="48" t="str">
        <f aca="false">IF($F690="","",IFERROR(VLOOKUP($F690,Apelidos_Tecnico!$A:$B,2,0),$F690))</f>
        <v/>
      </c>
    </row>
    <row r="691" customFormat="false" ht="15" hidden="false" customHeight="false" outlineLevel="0" collapsed="false">
      <c r="A691" s="25"/>
      <c r="B691" s="25"/>
      <c r="C691" s="26"/>
      <c r="D691" s="25"/>
      <c r="E691" s="25"/>
      <c r="F691" s="25"/>
      <c r="G691" s="27"/>
      <c r="H691" s="25"/>
      <c r="I691" s="26"/>
      <c r="J691" s="48" t="str">
        <f aca="false">IF($N691="","",IF(AND($N691=Consulta!$C$3,$G691&lt;&gt;"",$G691&gt;=Consulta!$C$4,$G691&lt;=Consulta!$C$5),COUNTIFS($N$6:$N691,Consulta!$C$3,$G$6:$G691,"&gt;="&amp;Consulta!$C$4,$G$6:$G691,"&lt;="&amp;Consulta!$C$5),""))</f>
        <v/>
      </c>
      <c r="K691" s="48" t="str">
        <f aca="false">IF($C691="","",IF(AND($C691=Consulta!$L$3,$G691&lt;&gt;"",$G691&gt;=Consulta!$L$4,$G691&lt;=Consulta!$L$5),COUNTIFS($C$6:$C691,Consulta!$L$3,$G$6:$G691,"&gt;="&amp;Consulta!$L$4,$G$6:$G691,"&lt;="&amp;Consulta!$L$5),""))</f>
        <v/>
      </c>
      <c r="L691" s="48" t="str">
        <f aca="false">IF($D691="","",IF($D691=Consulta!$S$3,COUNTIF($D$6:$D691,Consulta!$S$3),""))</f>
        <v/>
      </c>
      <c r="M691" s="48" t="str">
        <f aca="false">IF($N691="","",IF(AND($N691='Comprovante DEV'!$D$6,$G691='Comprovante DEV'!$D$7),COUNTIFS($N$6:$N691,'Comprovante DEV'!$D$6,$G$6:$G691,'Comprovante DEV'!$D$7),""))</f>
        <v/>
      </c>
      <c r="N691" s="48" t="str">
        <f aca="false">IF($F691="","",IFERROR(VLOOKUP($F691,Apelidos_Tecnico!$A:$B,2,0),$F691))</f>
        <v/>
      </c>
    </row>
    <row r="692" customFormat="false" ht="15" hidden="false" customHeight="false" outlineLevel="0" collapsed="false">
      <c r="A692" s="25"/>
      <c r="B692" s="25"/>
      <c r="C692" s="26"/>
      <c r="D692" s="25"/>
      <c r="E692" s="25"/>
      <c r="F692" s="25"/>
      <c r="G692" s="27"/>
      <c r="H692" s="25"/>
      <c r="I692" s="26"/>
      <c r="J692" s="48" t="str">
        <f aca="false">IF($N692="","",IF(AND($N692=Consulta!$C$3,$G692&lt;&gt;"",$G692&gt;=Consulta!$C$4,$G692&lt;=Consulta!$C$5),COUNTIFS($N$6:$N692,Consulta!$C$3,$G$6:$G692,"&gt;="&amp;Consulta!$C$4,$G$6:$G692,"&lt;="&amp;Consulta!$C$5),""))</f>
        <v/>
      </c>
      <c r="K692" s="48" t="str">
        <f aca="false">IF($C692="","",IF(AND($C692=Consulta!$L$3,$G692&lt;&gt;"",$G692&gt;=Consulta!$L$4,$G692&lt;=Consulta!$L$5),COUNTIFS($C$6:$C692,Consulta!$L$3,$G$6:$G692,"&gt;="&amp;Consulta!$L$4,$G$6:$G692,"&lt;="&amp;Consulta!$L$5),""))</f>
        <v/>
      </c>
      <c r="L692" s="48" t="str">
        <f aca="false">IF($D692="","",IF($D692=Consulta!$S$3,COUNTIF($D$6:$D692,Consulta!$S$3),""))</f>
        <v/>
      </c>
      <c r="M692" s="48" t="str">
        <f aca="false">IF($N692="","",IF(AND($N692='Comprovante DEV'!$D$6,$G692='Comprovante DEV'!$D$7),COUNTIFS($N$6:$N692,'Comprovante DEV'!$D$6,$G$6:$G692,'Comprovante DEV'!$D$7),""))</f>
        <v/>
      </c>
      <c r="N692" s="48" t="str">
        <f aca="false">IF($F692="","",IFERROR(VLOOKUP($F692,Apelidos_Tecnico!$A:$B,2,0),$F692))</f>
        <v/>
      </c>
    </row>
    <row r="693" customFormat="false" ht="15" hidden="false" customHeight="false" outlineLevel="0" collapsed="false">
      <c r="A693" s="25"/>
      <c r="B693" s="25"/>
      <c r="C693" s="26"/>
      <c r="D693" s="25"/>
      <c r="E693" s="25"/>
      <c r="F693" s="25"/>
      <c r="G693" s="27"/>
      <c r="H693" s="25"/>
      <c r="I693" s="26"/>
      <c r="J693" s="48" t="str">
        <f aca="false">IF($N693="","",IF(AND($N693=Consulta!$C$3,$G693&lt;&gt;"",$G693&gt;=Consulta!$C$4,$G693&lt;=Consulta!$C$5),COUNTIFS($N$6:$N693,Consulta!$C$3,$G$6:$G693,"&gt;="&amp;Consulta!$C$4,$G$6:$G693,"&lt;="&amp;Consulta!$C$5),""))</f>
        <v/>
      </c>
      <c r="K693" s="48" t="str">
        <f aca="false">IF($C693="","",IF(AND($C693=Consulta!$L$3,$G693&lt;&gt;"",$G693&gt;=Consulta!$L$4,$G693&lt;=Consulta!$L$5),COUNTIFS($C$6:$C693,Consulta!$L$3,$G$6:$G693,"&gt;="&amp;Consulta!$L$4,$G$6:$G693,"&lt;="&amp;Consulta!$L$5),""))</f>
        <v/>
      </c>
      <c r="L693" s="48" t="str">
        <f aca="false">IF($D693="","",IF($D693=Consulta!$S$3,COUNTIF($D$6:$D693,Consulta!$S$3),""))</f>
        <v/>
      </c>
      <c r="M693" s="48" t="str">
        <f aca="false">IF($N693="","",IF(AND($N693='Comprovante DEV'!$D$6,$G693='Comprovante DEV'!$D$7),COUNTIFS($N$6:$N693,'Comprovante DEV'!$D$6,$G$6:$G693,'Comprovante DEV'!$D$7),""))</f>
        <v/>
      </c>
      <c r="N693" s="48" t="str">
        <f aca="false">IF($F693="","",IFERROR(VLOOKUP($F693,Apelidos_Tecnico!$A:$B,2,0),$F693))</f>
        <v/>
      </c>
    </row>
    <row r="694" customFormat="false" ht="15" hidden="false" customHeight="false" outlineLevel="0" collapsed="false">
      <c r="A694" s="25"/>
      <c r="B694" s="25"/>
      <c r="C694" s="26"/>
      <c r="D694" s="25"/>
      <c r="E694" s="25"/>
      <c r="F694" s="25"/>
      <c r="G694" s="27"/>
      <c r="H694" s="25"/>
      <c r="I694" s="26"/>
      <c r="J694" s="48" t="str">
        <f aca="false">IF($N694="","",IF(AND($N694=Consulta!$C$3,$G694&lt;&gt;"",$G694&gt;=Consulta!$C$4,$G694&lt;=Consulta!$C$5),COUNTIFS($N$6:$N694,Consulta!$C$3,$G$6:$G694,"&gt;="&amp;Consulta!$C$4,$G$6:$G694,"&lt;="&amp;Consulta!$C$5),""))</f>
        <v/>
      </c>
      <c r="K694" s="48" t="str">
        <f aca="false">IF($C694="","",IF(AND($C694=Consulta!$L$3,$G694&lt;&gt;"",$G694&gt;=Consulta!$L$4,$G694&lt;=Consulta!$L$5),COUNTIFS($C$6:$C694,Consulta!$L$3,$G$6:$G694,"&gt;="&amp;Consulta!$L$4,$G$6:$G694,"&lt;="&amp;Consulta!$L$5),""))</f>
        <v/>
      </c>
      <c r="L694" s="48" t="str">
        <f aca="false">IF($D694="","",IF($D694=Consulta!$S$3,COUNTIF($D$6:$D694,Consulta!$S$3),""))</f>
        <v/>
      </c>
      <c r="M694" s="48" t="str">
        <f aca="false">IF($N694="","",IF(AND($N694='Comprovante DEV'!$D$6,$G694='Comprovante DEV'!$D$7),COUNTIFS($N$6:$N694,'Comprovante DEV'!$D$6,$G$6:$G694,'Comprovante DEV'!$D$7),""))</f>
        <v/>
      </c>
      <c r="N694" s="48" t="str">
        <f aca="false">IF($F694="","",IFERROR(VLOOKUP($F694,Apelidos_Tecnico!$A:$B,2,0),$F694))</f>
        <v/>
      </c>
    </row>
    <row r="695" customFormat="false" ht="15" hidden="false" customHeight="false" outlineLevel="0" collapsed="false">
      <c r="A695" s="25"/>
      <c r="B695" s="25"/>
      <c r="C695" s="26"/>
      <c r="D695" s="25"/>
      <c r="E695" s="25"/>
      <c r="F695" s="25"/>
      <c r="G695" s="27"/>
      <c r="H695" s="25"/>
      <c r="I695" s="26"/>
      <c r="J695" s="48" t="str">
        <f aca="false">IF($N695="","",IF(AND($N695=Consulta!$C$3,$G695&lt;&gt;"",$G695&gt;=Consulta!$C$4,$G695&lt;=Consulta!$C$5),COUNTIFS($N$6:$N695,Consulta!$C$3,$G$6:$G695,"&gt;="&amp;Consulta!$C$4,$G$6:$G695,"&lt;="&amp;Consulta!$C$5),""))</f>
        <v/>
      </c>
      <c r="K695" s="48" t="str">
        <f aca="false">IF($C695="","",IF(AND($C695=Consulta!$L$3,$G695&lt;&gt;"",$G695&gt;=Consulta!$L$4,$G695&lt;=Consulta!$L$5),COUNTIFS($C$6:$C695,Consulta!$L$3,$G$6:$G695,"&gt;="&amp;Consulta!$L$4,$G$6:$G695,"&lt;="&amp;Consulta!$L$5),""))</f>
        <v/>
      </c>
      <c r="L695" s="48" t="str">
        <f aca="false">IF($D695="","",IF($D695=Consulta!$S$3,COUNTIF($D$6:$D695,Consulta!$S$3),""))</f>
        <v/>
      </c>
      <c r="M695" s="48" t="str">
        <f aca="false">IF($N695="","",IF(AND($N695='Comprovante DEV'!$D$6,$G695='Comprovante DEV'!$D$7),COUNTIFS($N$6:$N695,'Comprovante DEV'!$D$6,$G$6:$G695,'Comprovante DEV'!$D$7),""))</f>
        <v/>
      </c>
      <c r="N695" s="48" t="str">
        <f aca="false">IF($F695="","",IFERROR(VLOOKUP($F695,Apelidos_Tecnico!$A:$B,2,0),$F695))</f>
        <v/>
      </c>
    </row>
    <row r="696" customFormat="false" ht="15" hidden="false" customHeight="false" outlineLevel="0" collapsed="false">
      <c r="A696" s="25"/>
      <c r="B696" s="25"/>
      <c r="C696" s="26"/>
      <c r="D696" s="25"/>
      <c r="E696" s="25"/>
      <c r="F696" s="25"/>
      <c r="G696" s="27"/>
      <c r="H696" s="25"/>
      <c r="I696" s="26"/>
      <c r="J696" s="48" t="str">
        <f aca="false">IF($N696="","",IF(AND($N696=Consulta!$C$3,$G696&lt;&gt;"",$G696&gt;=Consulta!$C$4,$G696&lt;=Consulta!$C$5),COUNTIFS($N$6:$N696,Consulta!$C$3,$G$6:$G696,"&gt;="&amp;Consulta!$C$4,$G$6:$G696,"&lt;="&amp;Consulta!$C$5),""))</f>
        <v/>
      </c>
      <c r="K696" s="48" t="str">
        <f aca="false">IF($C696="","",IF(AND($C696=Consulta!$L$3,$G696&lt;&gt;"",$G696&gt;=Consulta!$L$4,$G696&lt;=Consulta!$L$5),COUNTIFS($C$6:$C696,Consulta!$L$3,$G$6:$G696,"&gt;="&amp;Consulta!$L$4,$G$6:$G696,"&lt;="&amp;Consulta!$L$5),""))</f>
        <v/>
      </c>
      <c r="L696" s="48" t="str">
        <f aca="false">IF($D696="","",IF($D696=Consulta!$S$3,COUNTIF($D$6:$D696,Consulta!$S$3),""))</f>
        <v/>
      </c>
      <c r="M696" s="48" t="str">
        <f aca="false">IF($N696="","",IF(AND($N696='Comprovante DEV'!$D$6,$G696='Comprovante DEV'!$D$7),COUNTIFS($N$6:$N696,'Comprovante DEV'!$D$6,$G$6:$G696,'Comprovante DEV'!$D$7),""))</f>
        <v/>
      </c>
      <c r="N696" s="48" t="str">
        <f aca="false">IF($F696="","",IFERROR(VLOOKUP($F696,Apelidos_Tecnico!$A:$B,2,0),$F696))</f>
        <v/>
      </c>
    </row>
    <row r="697" customFormat="false" ht="15" hidden="false" customHeight="false" outlineLevel="0" collapsed="false">
      <c r="A697" s="25"/>
      <c r="B697" s="25"/>
      <c r="C697" s="26"/>
      <c r="D697" s="25"/>
      <c r="E697" s="25"/>
      <c r="F697" s="25"/>
      <c r="G697" s="27"/>
      <c r="H697" s="25"/>
      <c r="I697" s="26"/>
      <c r="J697" s="48" t="str">
        <f aca="false">IF($N697="","",IF(AND($N697=Consulta!$C$3,$G697&lt;&gt;"",$G697&gt;=Consulta!$C$4,$G697&lt;=Consulta!$C$5),COUNTIFS($N$6:$N697,Consulta!$C$3,$G$6:$G697,"&gt;="&amp;Consulta!$C$4,$G$6:$G697,"&lt;="&amp;Consulta!$C$5),""))</f>
        <v/>
      </c>
      <c r="K697" s="48" t="str">
        <f aca="false">IF($C697="","",IF(AND($C697=Consulta!$L$3,$G697&lt;&gt;"",$G697&gt;=Consulta!$L$4,$G697&lt;=Consulta!$L$5),COUNTIFS($C$6:$C697,Consulta!$L$3,$G$6:$G697,"&gt;="&amp;Consulta!$L$4,$G$6:$G697,"&lt;="&amp;Consulta!$L$5),""))</f>
        <v/>
      </c>
      <c r="L697" s="48" t="str">
        <f aca="false">IF($D697="","",IF($D697=Consulta!$S$3,COUNTIF($D$6:$D697,Consulta!$S$3),""))</f>
        <v/>
      </c>
      <c r="M697" s="48" t="str">
        <f aca="false">IF($N697="","",IF(AND($N697='Comprovante DEV'!$D$6,$G697='Comprovante DEV'!$D$7),COUNTIFS($N$6:$N697,'Comprovante DEV'!$D$6,$G$6:$G697,'Comprovante DEV'!$D$7),""))</f>
        <v/>
      </c>
      <c r="N697" s="48" t="str">
        <f aca="false">IF($F697="","",IFERROR(VLOOKUP($F697,Apelidos_Tecnico!$A:$B,2,0),$F697))</f>
        <v/>
      </c>
    </row>
    <row r="698" customFormat="false" ht="15" hidden="false" customHeight="false" outlineLevel="0" collapsed="false">
      <c r="A698" s="25"/>
      <c r="B698" s="25"/>
      <c r="C698" s="26"/>
      <c r="D698" s="25"/>
      <c r="E698" s="25"/>
      <c r="F698" s="25"/>
      <c r="G698" s="27"/>
      <c r="H698" s="25"/>
      <c r="I698" s="26"/>
      <c r="J698" s="48" t="str">
        <f aca="false">IF($N698="","",IF(AND($N698=Consulta!$C$3,$G698&lt;&gt;"",$G698&gt;=Consulta!$C$4,$G698&lt;=Consulta!$C$5),COUNTIFS($N$6:$N698,Consulta!$C$3,$G$6:$G698,"&gt;="&amp;Consulta!$C$4,$G$6:$G698,"&lt;="&amp;Consulta!$C$5),""))</f>
        <v/>
      </c>
      <c r="K698" s="48" t="str">
        <f aca="false">IF($C698="","",IF(AND($C698=Consulta!$L$3,$G698&lt;&gt;"",$G698&gt;=Consulta!$L$4,$G698&lt;=Consulta!$L$5),COUNTIFS($C$6:$C698,Consulta!$L$3,$G$6:$G698,"&gt;="&amp;Consulta!$L$4,$G$6:$G698,"&lt;="&amp;Consulta!$L$5),""))</f>
        <v/>
      </c>
      <c r="L698" s="48" t="str">
        <f aca="false">IF($D698="","",IF($D698=Consulta!$S$3,COUNTIF($D$6:$D698,Consulta!$S$3),""))</f>
        <v/>
      </c>
      <c r="M698" s="48" t="str">
        <f aca="false">IF($N698="","",IF(AND($N698='Comprovante DEV'!$D$6,$G698='Comprovante DEV'!$D$7),COUNTIFS($N$6:$N698,'Comprovante DEV'!$D$6,$G$6:$G698,'Comprovante DEV'!$D$7),""))</f>
        <v/>
      </c>
      <c r="N698" s="48" t="str">
        <f aca="false">IF($F698="","",IFERROR(VLOOKUP($F698,Apelidos_Tecnico!$A:$B,2,0),$F698))</f>
        <v/>
      </c>
    </row>
    <row r="699" customFormat="false" ht="15" hidden="false" customHeight="false" outlineLevel="0" collapsed="false">
      <c r="A699" s="25"/>
      <c r="B699" s="25"/>
      <c r="C699" s="26"/>
      <c r="D699" s="25"/>
      <c r="E699" s="25"/>
      <c r="F699" s="25"/>
      <c r="G699" s="27"/>
      <c r="H699" s="25"/>
      <c r="I699" s="26"/>
      <c r="J699" s="48" t="str">
        <f aca="false">IF($N699="","",IF(AND($N699=Consulta!$C$3,$G699&lt;&gt;"",$G699&gt;=Consulta!$C$4,$G699&lt;=Consulta!$C$5),COUNTIFS($N$6:$N699,Consulta!$C$3,$G$6:$G699,"&gt;="&amp;Consulta!$C$4,$G$6:$G699,"&lt;="&amp;Consulta!$C$5),""))</f>
        <v/>
      </c>
      <c r="K699" s="48" t="str">
        <f aca="false">IF($C699="","",IF(AND($C699=Consulta!$L$3,$G699&lt;&gt;"",$G699&gt;=Consulta!$L$4,$G699&lt;=Consulta!$L$5),COUNTIFS($C$6:$C699,Consulta!$L$3,$G$6:$G699,"&gt;="&amp;Consulta!$L$4,$G$6:$G699,"&lt;="&amp;Consulta!$L$5),""))</f>
        <v/>
      </c>
      <c r="L699" s="48" t="str">
        <f aca="false">IF($D699="","",IF($D699=Consulta!$S$3,COUNTIF($D$6:$D699,Consulta!$S$3),""))</f>
        <v/>
      </c>
      <c r="M699" s="48" t="str">
        <f aca="false">IF($N699="","",IF(AND($N699='Comprovante DEV'!$D$6,$G699='Comprovante DEV'!$D$7),COUNTIFS($N$6:$N699,'Comprovante DEV'!$D$6,$G$6:$G699,'Comprovante DEV'!$D$7),""))</f>
        <v/>
      </c>
      <c r="N699" s="48" t="str">
        <f aca="false">IF($F699="","",IFERROR(VLOOKUP($F699,Apelidos_Tecnico!$A:$B,2,0),$F699))</f>
        <v/>
      </c>
    </row>
    <row r="700" customFormat="false" ht="15" hidden="false" customHeight="false" outlineLevel="0" collapsed="false">
      <c r="A700" s="25"/>
      <c r="B700" s="25"/>
      <c r="C700" s="26"/>
      <c r="D700" s="25"/>
      <c r="E700" s="25"/>
      <c r="F700" s="25"/>
      <c r="G700" s="27"/>
      <c r="H700" s="25"/>
      <c r="I700" s="26"/>
      <c r="J700" s="48" t="str">
        <f aca="false">IF($N700="","",IF(AND($N700=Consulta!$C$3,$G700&lt;&gt;"",$G700&gt;=Consulta!$C$4,$G700&lt;=Consulta!$C$5),COUNTIFS($N$6:$N700,Consulta!$C$3,$G$6:$G700,"&gt;="&amp;Consulta!$C$4,$G$6:$G700,"&lt;="&amp;Consulta!$C$5),""))</f>
        <v/>
      </c>
      <c r="K700" s="48" t="str">
        <f aca="false">IF($C700="","",IF(AND($C700=Consulta!$L$3,$G700&lt;&gt;"",$G700&gt;=Consulta!$L$4,$G700&lt;=Consulta!$L$5),COUNTIFS($C$6:$C700,Consulta!$L$3,$G$6:$G700,"&gt;="&amp;Consulta!$L$4,$G$6:$G700,"&lt;="&amp;Consulta!$L$5),""))</f>
        <v/>
      </c>
      <c r="L700" s="48" t="str">
        <f aca="false">IF($D700="","",IF($D700=Consulta!$S$3,COUNTIF($D$6:$D700,Consulta!$S$3),""))</f>
        <v/>
      </c>
      <c r="M700" s="48" t="str">
        <f aca="false">IF($N700="","",IF(AND($N700='Comprovante DEV'!$D$6,$G700='Comprovante DEV'!$D$7),COUNTIFS($N$6:$N700,'Comprovante DEV'!$D$6,$G$6:$G700,'Comprovante DEV'!$D$7),""))</f>
        <v/>
      </c>
      <c r="N700" s="48" t="str">
        <f aca="false">IF($F700="","",IFERROR(VLOOKUP($F700,Apelidos_Tecnico!$A:$B,2,0),$F700))</f>
        <v/>
      </c>
    </row>
    <row r="701" customFormat="false" ht="15" hidden="false" customHeight="false" outlineLevel="0" collapsed="false">
      <c r="A701" s="25"/>
      <c r="B701" s="25"/>
      <c r="C701" s="26"/>
      <c r="D701" s="25"/>
      <c r="E701" s="25"/>
      <c r="F701" s="25"/>
      <c r="G701" s="27"/>
      <c r="H701" s="25"/>
      <c r="I701" s="26"/>
      <c r="J701" s="48" t="str">
        <f aca="false">IF($N701="","",IF(AND($N701=Consulta!$C$3,$G701&lt;&gt;"",$G701&gt;=Consulta!$C$4,$G701&lt;=Consulta!$C$5),COUNTIFS($N$6:$N701,Consulta!$C$3,$G$6:$G701,"&gt;="&amp;Consulta!$C$4,$G$6:$G701,"&lt;="&amp;Consulta!$C$5),""))</f>
        <v/>
      </c>
      <c r="K701" s="48" t="str">
        <f aca="false">IF($C701="","",IF(AND($C701=Consulta!$L$3,$G701&lt;&gt;"",$G701&gt;=Consulta!$L$4,$G701&lt;=Consulta!$L$5),COUNTIFS($C$6:$C701,Consulta!$L$3,$G$6:$G701,"&gt;="&amp;Consulta!$L$4,$G$6:$G701,"&lt;="&amp;Consulta!$L$5),""))</f>
        <v/>
      </c>
      <c r="L701" s="48" t="str">
        <f aca="false">IF($D701="","",IF($D701=Consulta!$S$3,COUNTIF($D$6:$D701,Consulta!$S$3),""))</f>
        <v/>
      </c>
      <c r="M701" s="48" t="str">
        <f aca="false">IF($N701="","",IF(AND($N701='Comprovante DEV'!$D$6,$G701='Comprovante DEV'!$D$7),COUNTIFS($N$6:$N701,'Comprovante DEV'!$D$6,$G$6:$G701,'Comprovante DEV'!$D$7),""))</f>
        <v/>
      </c>
      <c r="N701" s="48" t="str">
        <f aca="false">IF($F701="","",IFERROR(VLOOKUP($F701,Apelidos_Tecnico!$A:$B,2,0),$F701))</f>
        <v/>
      </c>
    </row>
    <row r="702" customFormat="false" ht="15" hidden="false" customHeight="false" outlineLevel="0" collapsed="false">
      <c r="A702" s="25"/>
      <c r="B702" s="25"/>
      <c r="C702" s="26"/>
      <c r="D702" s="25"/>
      <c r="E702" s="25"/>
      <c r="F702" s="25"/>
      <c r="G702" s="27"/>
      <c r="H702" s="25"/>
      <c r="I702" s="26"/>
      <c r="J702" s="48" t="str">
        <f aca="false">IF($N702="","",IF(AND($N702=Consulta!$C$3,$G702&lt;&gt;"",$G702&gt;=Consulta!$C$4,$G702&lt;=Consulta!$C$5),COUNTIFS($N$6:$N702,Consulta!$C$3,$G$6:$G702,"&gt;="&amp;Consulta!$C$4,$G$6:$G702,"&lt;="&amp;Consulta!$C$5),""))</f>
        <v/>
      </c>
      <c r="K702" s="48" t="str">
        <f aca="false">IF($C702="","",IF(AND($C702=Consulta!$L$3,$G702&lt;&gt;"",$G702&gt;=Consulta!$L$4,$G702&lt;=Consulta!$L$5),COUNTIFS($C$6:$C702,Consulta!$L$3,$G$6:$G702,"&gt;="&amp;Consulta!$L$4,$G$6:$G702,"&lt;="&amp;Consulta!$L$5),""))</f>
        <v/>
      </c>
      <c r="L702" s="48" t="str">
        <f aca="false">IF($D702="","",IF($D702=Consulta!$S$3,COUNTIF($D$6:$D702,Consulta!$S$3),""))</f>
        <v/>
      </c>
      <c r="M702" s="48" t="str">
        <f aca="false">IF($N702="","",IF(AND($N702='Comprovante DEV'!$D$6,$G702='Comprovante DEV'!$D$7),COUNTIFS($N$6:$N702,'Comprovante DEV'!$D$6,$G$6:$G702,'Comprovante DEV'!$D$7),""))</f>
        <v/>
      </c>
      <c r="N702" s="48" t="str">
        <f aca="false">IF($F702="","",IFERROR(VLOOKUP($F702,Apelidos_Tecnico!$A:$B,2,0),$F702))</f>
        <v/>
      </c>
    </row>
    <row r="703" customFormat="false" ht="15" hidden="false" customHeight="false" outlineLevel="0" collapsed="false">
      <c r="A703" s="25"/>
      <c r="B703" s="25"/>
      <c r="C703" s="26"/>
      <c r="D703" s="25"/>
      <c r="E703" s="25"/>
      <c r="F703" s="25"/>
      <c r="G703" s="27"/>
      <c r="H703" s="25"/>
      <c r="I703" s="26"/>
      <c r="J703" s="48" t="str">
        <f aca="false">IF($N703="","",IF(AND($N703=Consulta!$C$3,$G703&lt;&gt;"",$G703&gt;=Consulta!$C$4,$G703&lt;=Consulta!$C$5),COUNTIFS($N$6:$N703,Consulta!$C$3,$G$6:$G703,"&gt;="&amp;Consulta!$C$4,$G$6:$G703,"&lt;="&amp;Consulta!$C$5),""))</f>
        <v/>
      </c>
      <c r="K703" s="48" t="str">
        <f aca="false">IF($C703="","",IF(AND($C703=Consulta!$L$3,$G703&lt;&gt;"",$G703&gt;=Consulta!$L$4,$G703&lt;=Consulta!$L$5),COUNTIFS($C$6:$C703,Consulta!$L$3,$G$6:$G703,"&gt;="&amp;Consulta!$L$4,$G$6:$G703,"&lt;="&amp;Consulta!$L$5),""))</f>
        <v/>
      </c>
      <c r="L703" s="48" t="str">
        <f aca="false">IF($D703="","",IF($D703=Consulta!$S$3,COUNTIF($D$6:$D703,Consulta!$S$3),""))</f>
        <v/>
      </c>
      <c r="M703" s="48" t="str">
        <f aca="false">IF($N703="","",IF(AND($N703='Comprovante DEV'!$D$6,$G703='Comprovante DEV'!$D$7),COUNTIFS($N$6:$N703,'Comprovante DEV'!$D$6,$G$6:$G703,'Comprovante DEV'!$D$7),""))</f>
        <v/>
      </c>
      <c r="N703" s="48" t="str">
        <f aca="false">IF($F703="","",IFERROR(VLOOKUP($F703,Apelidos_Tecnico!$A:$B,2,0),$F703))</f>
        <v/>
      </c>
    </row>
    <row r="704" customFormat="false" ht="15" hidden="false" customHeight="false" outlineLevel="0" collapsed="false">
      <c r="A704" s="25"/>
      <c r="B704" s="25"/>
      <c r="C704" s="26"/>
      <c r="D704" s="25"/>
      <c r="E704" s="25"/>
      <c r="F704" s="25"/>
      <c r="G704" s="27"/>
      <c r="H704" s="25"/>
      <c r="I704" s="26"/>
      <c r="J704" s="48" t="str">
        <f aca="false">IF($N704="","",IF(AND($N704=Consulta!$C$3,$G704&lt;&gt;"",$G704&gt;=Consulta!$C$4,$G704&lt;=Consulta!$C$5),COUNTIFS($N$6:$N704,Consulta!$C$3,$G$6:$G704,"&gt;="&amp;Consulta!$C$4,$G$6:$G704,"&lt;="&amp;Consulta!$C$5),""))</f>
        <v/>
      </c>
      <c r="K704" s="48" t="str">
        <f aca="false">IF($C704="","",IF(AND($C704=Consulta!$L$3,$G704&lt;&gt;"",$G704&gt;=Consulta!$L$4,$G704&lt;=Consulta!$L$5),COUNTIFS($C$6:$C704,Consulta!$L$3,$G$6:$G704,"&gt;="&amp;Consulta!$L$4,$G$6:$G704,"&lt;="&amp;Consulta!$L$5),""))</f>
        <v/>
      </c>
      <c r="L704" s="48" t="str">
        <f aca="false">IF($D704="","",IF($D704=Consulta!$S$3,COUNTIF($D$6:$D704,Consulta!$S$3),""))</f>
        <v/>
      </c>
      <c r="M704" s="48" t="str">
        <f aca="false">IF($N704="","",IF(AND($N704='Comprovante DEV'!$D$6,$G704='Comprovante DEV'!$D$7),COUNTIFS($N$6:$N704,'Comprovante DEV'!$D$6,$G$6:$G704,'Comprovante DEV'!$D$7),""))</f>
        <v/>
      </c>
      <c r="N704" s="48" t="str">
        <f aca="false">IF($F704="","",IFERROR(VLOOKUP($F704,Apelidos_Tecnico!$A:$B,2,0),$F704))</f>
        <v/>
      </c>
    </row>
    <row r="705" customFormat="false" ht="15" hidden="false" customHeight="false" outlineLevel="0" collapsed="false">
      <c r="A705" s="25"/>
      <c r="B705" s="25"/>
      <c r="C705" s="26"/>
      <c r="D705" s="25"/>
      <c r="E705" s="25"/>
      <c r="F705" s="25"/>
      <c r="G705" s="27"/>
      <c r="H705" s="25"/>
      <c r="I705" s="26"/>
      <c r="J705" s="48" t="str">
        <f aca="false">IF($N705="","",IF(AND($N705=Consulta!$C$3,$G705&lt;&gt;"",$G705&gt;=Consulta!$C$4,$G705&lt;=Consulta!$C$5),COUNTIFS($N$6:$N705,Consulta!$C$3,$G$6:$G705,"&gt;="&amp;Consulta!$C$4,$G$6:$G705,"&lt;="&amp;Consulta!$C$5),""))</f>
        <v/>
      </c>
      <c r="K705" s="48" t="str">
        <f aca="false">IF($C705="","",IF(AND($C705=Consulta!$L$3,$G705&lt;&gt;"",$G705&gt;=Consulta!$L$4,$G705&lt;=Consulta!$L$5),COUNTIFS($C$6:$C705,Consulta!$L$3,$G$6:$G705,"&gt;="&amp;Consulta!$L$4,$G$6:$G705,"&lt;="&amp;Consulta!$L$5),""))</f>
        <v/>
      </c>
      <c r="L705" s="48" t="str">
        <f aca="false">IF($D705="","",IF($D705=Consulta!$S$3,COUNTIF($D$6:$D705,Consulta!$S$3),""))</f>
        <v/>
      </c>
      <c r="M705" s="48" t="str">
        <f aca="false">IF($N705="","",IF(AND($N705='Comprovante DEV'!$D$6,$G705='Comprovante DEV'!$D$7),COUNTIFS($N$6:$N705,'Comprovante DEV'!$D$6,$G$6:$G705,'Comprovante DEV'!$D$7),""))</f>
        <v/>
      </c>
      <c r="N705" s="48" t="str">
        <f aca="false">IF($F705="","",IFERROR(VLOOKUP($F705,Apelidos_Tecnico!$A:$B,2,0),$F705))</f>
        <v/>
      </c>
    </row>
    <row r="706" customFormat="false" ht="15" hidden="false" customHeight="false" outlineLevel="0" collapsed="false">
      <c r="A706" s="25"/>
      <c r="B706" s="25"/>
      <c r="C706" s="26"/>
      <c r="D706" s="25"/>
      <c r="E706" s="25"/>
      <c r="F706" s="25"/>
      <c r="G706" s="27"/>
      <c r="H706" s="25"/>
      <c r="I706" s="26"/>
      <c r="J706" s="48" t="str">
        <f aca="false">IF($N706="","",IF(AND($N706=Consulta!$C$3,$G706&lt;&gt;"",$G706&gt;=Consulta!$C$4,$G706&lt;=Consulta!$C$5),COUNTIFS($N$6:$N706,Consulta!$C$3,$G$6:$G706,"&gt;="&amp;Consulta!$C$4,$G$6:$G706,"&lt;="&amp;Consulta!$C$5),""))</f>
        <v/>
      </c>
      <c r="K706" s="48" t="str">
        <f aca="false">IF($C706="","",IF(AND($C706=Consulta!$L$3,$G706&lt;&gt;"",$G706&gt;=Consulta!$L$4,$G706&lt;=Consulta!$L$5),COUNTIFS($C$6:$C706,Consulta!$L$3,$G$6:$G706,"&gt;="&amp;Consulta!$L$4,$G$6:$G706,"&lt;="&amp;Consulta!$L$5),""))</f>
        <v/>
      </c>
      <c r="L706" s="48" t="str">
        <f aca="false">IF($D706="","",IF($D706=Consulta!$S$3,COUNTIF($D$6:$D706,Consulta!$S$3),""))</f>
        <v/>
      </c>
      <c r="M706" s="48" t="str">
        <f aca="false">IF($N706="","",IF(AND($N706='Comprovante DEV'!$D$6,$G706='Comprovante DEV'!$D$7),COUNTIFS($N$6:$N706,'Comprovante DEV'!$D$6,$G$6:$G706,'Comprovante DEV'!$D$7),""))</f>
        <v/>
      </c>
      <c r="N706" s="48" t="str">
        <f aca="false">IF($F706="","",IFERROR(VLOOKUP($F706,Apelidos_Tecnico!$A:$B,2,0),$F706))</f>
        <v/>
      </c>
    </row>
    <row r="707" customFormat="false" ht="15" hidden="false" customHeight="false" outlineLevel="0" collapsed="false">
      <c r="A707" s="25"/>
      <c r="B707" s="25"/>
      <c r="C707" s="26"/>
      <c r="D707" s="25"/>
      <c r="E707" s="25"/>
      <c r="F707" s="25"/>
      <c r="G707" s="27"/>
      <c r="H707" s="25"/>
      <c r="I707" s="26"/>
      <c r="J707" s="48" t="str">
        <f aca="false">IF($N707="","",IF(AND($N707=Consulta!$C$3,$G707&lt;&gt;"",$G707&gt;=Consulta!$C$4,$G707&lt;=Consulta!$C$5),COUNTIFS($N$6:$N707,Consulta!$C$3,$G$6:$G707,"&gt;="&amp;Consulta!$C$4,$G$6:$G707,"&lt;="&amp;Consulta!$C$5),""))</f>
        <v/>
      </c>
      <c r="K707" s="48" t="str">
        <f aca="false">IF($C707="","",IF(AND($C707=Consulta!$L$3,$G707&lt;&gt;"",$G707&gt;=Consulta!$L$4,$G707&lt;=Consulta!$L$5),COUNTIFS($C$6:$C707,Consulta!$L$3,$G$6:$G707,"&gt;="&amp;Consulta!$L$4,$G$6:$G707,"&lt;="&amp;Consulta!$L$5),""))</f>
        <v/>
      </c>
      <c r="L707" s="48" t="str">
        <f aca="false">IF($D707="","",IF($D707=Consulta!$S$3,COUNTIF($D$6:$D707,Consulta!$S$3),""))</f>
        <v/>
      </c>
      <c r="M707" s="48" t="str">
        <f aca="false">IF($N707="","",IF(AND($N707='Comprovante DEV'!$D$6,$G707='Comprovante DEV'!$D$7),COUNTIFS($N$6:$N707,'Comprovante DEV'!$D$6,$G$6:$G707,'Comprovante DEV'!$D$7),""))</f>
        <v/>
      </c>
      <c r="N707" s="48" t="str">
        <f aca="false">IF($F707="","",IFERROR(VLOOKUP($F707,Apelidos_Tecnico!$A:$B,2,0),$F707))</f>
        <v/>
      </c>
    </row>
    <row r="708" customFormat="false" ht="15" hidden="false" customHeight="false" outlineLevel="0" collapsed="false">
      <c r="A708" s="25"/>
      <c r="B708" s="25"/>
      <c r="C708" s="26"/>
      <c r="D708" s="25"/>
      <c r="E708" s="25"/>
      <c r="F708" s="25"/>
      <c r="G708" s="27"/>
      <c r="H708" s="25"/>
      <c r="I708" s="26"/>
      <c r="J708" s="48" t="str">
        <f aca="false">IF($N708="","",IF(AND($N708=Consulta!$C$3,$G708&lt;&gt;"",$G708&gt;=Consulta!$C$4,$G708&lt;=Consulta!$C$5),COUNTIFS($N$6:$N708,Consulta!$C$3,$G$6:$G708,"&gt;="&amp;Consulta!$C$4,$G$6:$G708,"&lt;="&amp;Consulta!$C$5),""))</f>
        <v/>
      </c>
      <c r="K708" s="48" t="str">
        <f aca="false">IF($C708="","",IF(AND($C708=Consulta!$L$3,$G708&lt;&gt;"",$G708&gt;=Consulta!$L$4,$G708&lt;=Consulta!$L$5),COUNTIFS($C$6:$C708,Consulta!$L$3,$G$6:$G708,"&gt;="&amp;Consulta!$L$4,$G$6:$G708,"&lt;="&amp;Consulta!$L$5),""))</f>
        <v/>
      </c>
      <c r="L708" s="48" t="str">
        <f aca="false">IF($D708="","",IF($D708=Consulta!$S$3,COUNTIF($D$6:$D708,Consulta!$S$3),""))</f>
        <v/>
      </c>
      <c r="M708" s="48" t="str">
        <f aca="false">IF($N708="","",IF(AND($N708='Comprovante DEV'!$D$6,$G708='Comprovante DEV'!$D$7),COUNTIFS($N$6:$N708,'Comprovante DEV'!$D$6,$G$6:$G708,'Comprovante DEV'!$D$7),""))</f>
        <v/>
      </c>
      <c r="N708" s="48" t="str">
        <f aca="false">IF($F708="","",IFERROR(VLOOKUP($F708,Apelidos_Tecnico!$A:$B,2,0),$F708))</f>
        <v/>
      </c>
    </row>
    <row r="709" customFormat="false" ht="15" hidden="false" customHeight="false" outlineLevel="0" collapsed="false">
      <c r="A709" s="25"/>
      <c r="B709" s="25"/>
      <c r="C709" s="26"/>
      <c r="D709" s="25"/>
      <c r="E709" s="25"/>
      <c r="F709" s="25"/>
      <c r="G709" s="27"/>
      <c r="H709" s="25"/>
      <c r="I709" s="26"/>
      <c r="J709" s="48" t="str">
        <f aca="false">IF($N709="","",IF(AND($N709=Consulta!$C$3,$G709&lt;&gt;"",$G709&gt;=Consulta!$C$4,$G709&lt;=Consulta!$C$5),COUNTIFS($N$6:$N709,Consulta!$C$3,$G$6:$G709,"&gt;="&amp;Consulta!$C$4,$G$6:$G709,"&lt;="&amp;Consulta!$C$5),""))</f>
        <v/>
      </c>
      <c r="K709" s="48" t="str">
        <f aca="false">IF($C709="","",IF(AND($C709=Consulta!$L$3,$G709&lt;&gt;"",$G709&gt;=Consulta!$L$4,$G709&lt;=Consulta!$L$5),COUNTIFS($C$6:$C709,Consulta!$L$3,$G$6:$G709,"&gt;="&amp;Consulta!$L$4,$G$6:$G709,"&lt;="&amp;Consulta!$L$5),""))</f>
        <v/>
      </c>
      <c r="L709" s="48" t="str">
        <f aca="false">IF($D709="","",IF($D709=Consulta!$S$3,COUNTIF($D$6:$D709,Consulta!$S$3),""))</f>
        <v/>
      </c>
      <c r="M709" s="48" t="str">
        <f aca="false">IF($N709="","",IF(AND($N709='Comprovante DEV'!$D$6,$G709='Comprovante DEV'!$D$7),COUNTIFS($N$6:$N709,'Comprovante DEV'!$D$6,$G$6:$G709,'Comprovante DEV'!$D$7),""))</f>
        <v/>
      </c>
      <c r="N709" s="48" t="str">
        <f aca="false">IF($F709="","",IFERROR(VLOOKUP($F709,Apelidos_Tecnico!$A:$B,2,0),$F709))</f>
        <v/>
      </c>
    </row>
    <row r="710" customFormat="false" ht="15" hidden="false" customHeight="false" outlineLevel="0" collapsed="false">
      <c r="A710" s="25"/>
      <c r="B710" s="25"/>
      <c r="C710" s="26"/>
      <c r="D710" s="25"/>
      <c r="E710" s="25"/>
      <c r="F710" s="25"/>
      <c r="G710" s="27"/>
      <c r="H710" s="25"/>
      <c r="I710" s="26"/>
      <c r="J710" s="48" t="str">
        <f aca="false">IF($N710="","",IF(AND($N710=Consulta!$C$3,$G710&lt;&gt;"",$G710&gt;=Consulta!$C$4,$G710&lt;=Consulta!$C$5),COUNTIFS($N$6:$N710,Consulta!$C$3,$G$6:$G710,"&gt;="&amp;Consulta!$C$4,$G$6:$G710,"&lt;="&amp;Consulta!$C$5),""))</f>
        <v/>
      </c>
      <c r="K710" s="48" t="str">
        <f aca="false">IF($C710="","",IF(AND($C710=Consulta!$L$3,$G710&lt;&gt;"",$G710&gt;=Consulta!$L$4,$G710&lt;=Consulta!$L$5),COUNTIFS($C$6:$C710,Consulta!$L$3,$G$6:$G710,"&gt;="&amp;Consulta!$L$4,$G$6:$G710,"&lt;="&amp;Consulta!$L$5),""))</f>
        <v/>
      </c>
      <c r="L710" s="48" t="str">
        <f aca="false">IF($D710="","",IF($D710=Consulta!$S$3,COUNTIF($D$6:$D710,Consulta!$S$3),""))</f>
        <v/>
      </c>
      <c r="M710" s="48" t="str">
        <f aca="false">IF($N710="","",IF(AND($N710='Comprovante DEV'!$D$6,$G710='Comprovante DEV'!$D$7),COUNTIFS($N$6:$N710,'Comprovante DEV'!$D$6,$G$6:$G710,'Comprovante DEV'!$D$7),""))</f>
        <v/>
      </c>
      <c r="N710" s="48" t="str">
        <f aca="false">IF($F710="","",IFERROR(VLOOKUP($F710,Apelidos_Tecnico!$A:$B,2,0),$F710))</f>
        <v/>
      </c>
    </row>
    <row r="711" customFormat="false" ht="15" hidden="false" customHeight="false" outlineLevel="0" collapsed="false">
      <c r="A711" s="25"/>
      <c r="B711" s="25"/>
      <c r="C711" s="26"/>
      <c r="D711" s="25"/>
      <c r="E711" s="25"/>
      <c r="F711" s="25"/>
      <c r="G711" s="27"/>
      <c r="H711" s="25"/>
      <c r="I711" s="26"/>
      <c r="J711" s="48" t="str">
        <f aca="false">IF($N711="","",IF(AND($N711=Consulta!$C$3,$G711&lt;&gt;"",$G711&gt;=Consulta!$C$4,$G711&lt;=Consulta!$C$5),COUNTIFS($N$6:$N711,Consulta!$C$3,$G$6:$G711,"&gt;="&amp;Consulta!$C$4,$G$6:$G711,"&lt;="&amp;Consulta!$C$5),""))</f>
        <v/>
      </c>
      <c r="K711" s="48" t="str">
        <f aca="false">IF($C711="","",IF(AND($C711=Consulta!$L$3,$G711&lt;&gt;"",$G711&gt;=Consulta!$L$4,$G711&lt;=Consulta!$L$5),COUNTIFS($C$6:$C711,Consulta!$L$3,$G$6:$G711,"&gt;="&amp;Consulta!$L$4,$G$6:$G711,"&lt;="&amp;Consulta!$L$5),""))</f>
        <v/>
      </c>
      <c r="L711" s="48" t="str">
        <f aca="false">IF($D711="","",IF($D711=Consulta!$S$3,COUNTIF($D$6:$D711,Consulta!$S$3),""))</f>
        <v/>
      </c>
      <c r="M711" s="48" t="str">
        <f aca="false">IF($N711="","",IF(AND($N711='Comprovante DEV'!$D$6,$G711='Comprovante DEV'!$D$7),COUNTIFS($N$6:$N711,'Comprovante DEV'!$D$6,$G$6:$G711,'Comprovante DEV'!$D$7),""))</f>
        <v/>
      </c>
      <c r="N711" s="48" t="str">
        <f aca="false">IF($F711="","",IFERROR(VLOOKUP($F711,Apelidos_Tecnico!$A:$B,2,0),$F711))</f>
        <v/>
      </c>
    </row>
    <row r="712" customFormat="false" ht="15" hidden="false" customHeight="false" outlineLevel="0" collapsed="false">
      <c r="A712" s="25"/>
      <c r="B712" s="25"/>
      <c r="C712" s="26"/>
      <c r="D712" s="25"/>
      <c r="E712" s="25"/>
      <c r="F712" s="25"/>
      <c r="G712" s="27"/>
      <c r="H712" s="25"/>
      <c r="I712" s="26"/>
      <c r="J712" s="48" t="str">
        <f aca="false">IF($N712="","",IF(AND($N712=Consulta!$C$3,$G712&lt;&gt;"",$G712&gt;=Consulta!$C$4,$G712&lt;=Consulta!$C$5),COUNTIFS($N$6:$N712,Consulta!$C$3,$G$6:$G712,"&gt;="&amp;Consulta!$C$4,$G$6:$G712,"&lt;="&amp;Consulta!$C$5),""))</f>
        <v/>
      </c>
      <c r="K712" s="48" t="str">
        <f aca="false">IF($C712="","",IF(AND($C712=Consulta!$L$3,$G712&lt;&gt;"",$G712&gt;=Consulta!$L$4,$G712&lt;=Consulta!$L$5),COUNTIFS($C$6:$C712,Consulta!$L$3,$G$6:$G712,"&gt;="&amp;Consulta!$L$4,$G$6:$G712,"&lt;="&amp;Consulta!$L$5),""))</f>
        <v/>
      </c>
      <c r="L712" s="48" t="str">
        <f aca="false">IF($D712="","",IF($D712=Consulta!$S$3,COUNTIF($D$6:$D712,Consulta!$S$3),""))</f>
        <v/>
      </c>
      <c r="M712" s="48" t="str">
        <f aca="false">IF($N712="","",IF(AND($N712='Comprovante DEV'!$D$6,$G712='Comprovante DEV'!$D$7),COUNTIFS($N$6:$N712,'Comprovante DEV'!$D$6,$G$6:$G712,'Comprovante DEV'!$D$7),""))</f>
        <v/>
      </c>
      <c r="N712" s="48" t="str">
        <f aca="false">IF($F712="","",IFERROR(VLOOKUP($F712,Apelidos_Tecnico!$A:$B,2,0),$F712))</f>
        <v/>
      </c>
    </row>
    <row r="713" customFormat="false" ht="15" hidden="false" customHeight="false" outlineLevel="0" collapsed="false">
      <c r="A713" s="25"/>
      <c r="B713" s="25"/>
      <c r="C713" s="26"/>
      <c r="D713" s="25"/>
      <c r="E713" s="25"/>
      <c r="F713" s="25"/>
      <c r="G713" s="27"/>
      <c r="H713" s="25"/>
      <c r="I713" s="26"/>
      <c r="J713" s="48" t="str">
        <f aca="false">IF($N713="","",IF(AND($N713=Consulta!$C$3,$G713&lt;&gt;"",$G713&gt;=Consulta!$C$4,$G713&lt;=Consulta!$C$5),COUNTIFS($N$6:$N713,Consulta!$C$3,$G$6:$G713,"&gt;="&amp;Consulta!$C$4,$G$6:$G713,"&lt;="&amp;Consulta!$C$5),""))</f>
        <v/>
      </c>
      <c r="K713" s="48" t="str">
        <f aca="false">IF($C713="","",IF(AND($C713=Consulta!$L$3,$G713&lt;&gt;"",$G713&gt;=Consulta!$L$4,$G713&lt;=Consulta!$L$5),COUNTIFS($C$6:$C713,Consulta!$L$3,$G$6:$G713,"&gt;="&amp;Consulta!$L$4,$G$6:$G713,"&lt;="&amp;Consulta!$L$5),""))</f>
        <v/>
      </c>
      <c r="L713" s="48" t="str">
        <f aca="false">IF($D713="","",IF($D713=Consulta!$S$3,COUNTIF($D$6:$D713,Consulta!$S$3),""))</f>
        <v/>
      </c>
      <c r="M713" s="48" t="str">
        <f aca="false">IF($N713="","",IF(AND($N713='Comprovante DEV'!$D$6,$G713='Comprovante DEV'!$D$7),COUNTIFS($N$6:$N713,'Comprovante DEV'!$D$6,$G$6:$G713,'Comprovante DEV'!$D$7),""))</f>
        <v/>
      </c>
      <c r="N713" s="48" t="str">
        <f aca="false">IF($F713="","",IFERROR(VLOOKUP($F713,Apelidos_Tecnico!$A:$B,2,0),$F713))</f>
        <v/>
      </c>
    </row>
    <row r="714" customFormat="false" ht="15" hidden="false" customHeight="false" outlineLevel="0" collapsed="false">
      <c r="A714" s="25"/>
      <c r="B714" s="25"/>
      <c r="C714" s="26"/>
      <c r="D714" s="25"/>
      <c r="E714" s="25"/>
      <c r="F714" s="25"/>
      <c r="G714" s="27"/>
      <c r="H714" s="25"/>
      <c r="I714" s="26"/>
      <c r="J714" s="48" t="str">
        <f aca="false">IF($N714="","",IF(AND($N714=Consulta!$C$3,$G714&lt;&gt;"",$G714&gt;=Consulta!$C$4,$G714&lt;=Consulta!$C$5),COUNTIFS($N$6:$N714,Consulta!$C$3,$G$6:$G714,"&gt;="&amp;Consulta!$C$4,$G$6:$G714,"&lt;="&amp;Consulta!$C$5),""))</f>
        <v/>
      </c>
      <c r="K714" s="48" t="str">
        <f aca="false">IF($C714="","",IF(AND($C714=Consulta!$L$3,$G714&lt;&gt;"",$G714&gt;=Consulta!$L$4,$G714&lt;=Consulta!$L$5),COUNTIFS($C$6:$C714,Consulta!$L$3,$G$6:$G714,"&gt;="&amp;Consulta!$L$4,$G$6:$G714,"&lt;="&amp;Consulta!$L$5),""))</f>
        <v/>
      </c>
      <c r="L714" s="48" t="str">
        <f aca="false">IF($D714="","",IF($D714=Consulta!$S$3,COUNTIF($D$6:$D714,Consulta!$S$3),""))</f>
        <v/>
      </c>
      <c r="M714" s="48" t="str">
        <f aca="false">IF($N714="","",IF(AND($N714='Comprovante DEV'!$D$6,$G714='Comprovante DEV'!$D$7),COUNTIFS($N$6:$N714,'Comprovante DEV'!$D$6,$G$6:$G714,'Comprovante DEV'!$D$7),""))</f>
        <v/>
      </c>
      <c r="N714" s="48" t="str">
        <f aca="false">IF($F714="","",IFERROR(VLOOKUP($F714,Apelidos_Tecnico!$A:$B,2,0),$F714))</f>
        <v/>
      </c>
    </row>
    <row r="715" customFormat="false" ht="15" hidden="false" customHeight="false" outlineLevel="0" collapsed="false">
      <c r="A715" s="25"/>
      <c r="B715" s="25"/>
      <c r="C715" s="26"/>
      <c r="D715" s="25"/>
      <c r="E715" s="25"/>
      <c r="F715" s="25"/>
      <c r="G715" s="27"/>
      <c r="H715" s="25"/>
      <c r="I715" s="26"/>
      <c r="J715" s="48" t="str">
        <f aca="false">IF($N715="","",IF(AND($N715=Consulta!$C$3,$G715&lt;&gt;"",$G715&gt;=Consulta!$C$4,$G715&lt;=Consulta!$C$5),COUNTIFS($N$6:$N715,Consulta!$C$3,$G$6:$G715,"&gt;="&amp;Consulta!$C$4,$G$6:$G715,"&lt;="&amp;Consulta!$C$5),""))</f>
        <v/>
      </c>
      <c r="K715" s="48" t="str">
        <f aca="false">IF($C715="","",IF(AND($C715=Consulta!$L$3,$G715&lt;&gt;"",$G715&gt;=Consulta!$L$4,$G715&lt;=Consulta!$L$5),COUNTIFS($C$6:$C715,Consulta!$L$3,$G$6:$G715,"&gt;="&amp;Consulta!$L$4,$G$6:$G715,"&lt;="&amp;Consulta!$L$5),""))</f>
        <v/>
      </c>
      <c r="L715" s="48" t="str">
        <f aca="false">IF($D715="","",IF($D715=Consulta!$S$3,COUNTIF($D$6:$D715,Consulta!$S$3),""))</f>
        <v/>
      </c>
      <c r="M715" s="48" t="str">
        <f aca="false">IF($N715="","",IF(AND($N715='Comprovante DEV'!$D$6,$G715='Comprovante DEV'!$D$7),COUNTIFS($N$6:$N715,'Comprovante DEV'!$D$6,$G$6:$G715,'Comprovante DEV'!$D$7),""))</f>
        <v/>
      </c>
      <c r="N715" s="48" t="str">
        <f aca="false">IF($F715="","",IFERROR(VLOOKUP($F715,Apelidos_Tecnico!$A:$B,2,0),$F715))</f>
        <v/>
      </c>
    </row>
    <row r="716" customFormat="false" ht="15" hidden="false" customHeight="false" outlineLevel="0" collapsed="false">
      <c r="A716" s="25"/>
      <c r="B716" s="25"/>
      <c r="C716" s="26"/>
      <c r="D716" s="25"/>
      <c r="E716" s="25"/>
      <c r="F716" s="25"/>
      <c r="G716" s="27"/>
      <c r="H716" s="25"/>
      <c r="I716" s="26"/>
      <c r="J716" s="48" t="str">
        <f aca="false">IF($N716="","",IF(AND($N716=Consulta!$C$3,$G716&lt;&gt;"",$G716&gt;=Consulta!$C$4,$G716&lt;=Consulta!$C$5),COUNTIFS($N$6:$N716,Consulta!$C$3,$G$6:$G716,"&gt;="&amp;Consulta!$C$4,$G$6:$G716,"&lt;="&amp;Consulta!$C$5),""))</f>
        <v/>
      </c>
      <c r="K716" s="48" t="str">
        <f aca="false">IF($C716="","",IF(AND($C716=Consulta!$L$3,$G716&lt;&gt;"",$G716&gt;=Consulta!$L$4,$G716&lt;=Consulta!$L$5),COUNTIFS($C$6:$C716,Consulta!$L$3,$G$6:$G716,"&gt;="&amp;Consulta!$L$4,$G$6:$G716,"&lt;="&amp;Consulta!$L$5),""))</f>
        <v/>
      </c>
      <c r="L716" s="48" t="str">
        <f aca="false">IF($D716="","",IF($D716=Consulta!$S$3,COUNTIF($D$6:$D716,Consulta!$S$3),""))</f>
        <v/>
      </c>
      <c r="M716" s="48" t="str">
        <f aca="false">IF($N716="","",IF(AND($N716='Comprovante DEV'!$D$6,$G716='Comprovante DEV'!$D$7),COUNTIFS($N$6:$N716,'Comprovante DEV'!$D$6,$G$6:$G716,'Comprovante DEV'!$D$7),""))</f>
        <v/>
      </c>
      <c r="N716" s="48" t="str">
        <f aca="false">IF($F716="","",IFERROR(VLOOKUP($F716,Apelidos_Tecnico!$A:$B,2,0),$F716))</f>
        <v/>
      </c>
    </row>
    <row r="717" customFormat="false" ht="15" hidden="false" customHeight="false" outlineLevel="0" collapsed="false">
      <c r="A717" s="25"/>
      <c r="B717" s="25"/>
      <c r="C717" s="26"/>
      <c r="D717" s="25"/>
      <c r="E717" s="25"/>
      <c r="F717" s="25"/>
      <c r="G717" s="27"/>
      <c r="H717" s="25"/>
      <c r="I717" s="26"/>
      <c r="J717" s="48" t="str">
        <f aca="false">IF($N717="","",IF(AND($N717=Consulta!$C$3,$G717&lt;&gt;"",$G717&gt;=Consulta!$C$4,$G717&lt;=Consulta!$C$5),COUNTIFS($N$6:$N717,Consulta!$C$3,$G$6:$G717,"&gt;="&amp;Consulta!$C$4,$G$6:$G717,"&lt;="&amp;Consulta!$C$5),""))</f>
        <v/>
      </c>
      <c r="K717" s="48" t="str">
        <f aca="false">IF($C717="","",IF(AND($C717=Consulta!$L$3,$G717&lt;&gt;"",$G717&gt;=Consulta!$L$4,$G717&lt;=Consulta!$L$5),COUNTIFS($C$6:$C717,Consulta!$L$3,$G$6:$G717,"&gt;="&amp;Consulta!$L$4,$G$6:$G717,"&lt;="&amp;Consulta!$L$5),""))</f>
        <v/>
      </c>
      <c r="L717" s="48" t="str">
        <f aca="false">IF($D717="","",IF($D717=Consulta!$S$3,COUNTIF($D$6:$D717,Consulta!$S$3),""))</f>
        <v/>
      </c>
      <c r="M717" s="48" t="str">
        <f aca="false">IF($N717="","",IF(AND($N717='Comprovante DEV'!$D$6,$G717='Comprovante DEV'!$D$7),COUNTIFS($N$6:$N717,'Comprovante DEV'!$D$6,$G$6:$G717,'Comprovante DEV'!$D$7),""))</f>
        <v/>
      </c>
      <c r="N717" s="48" t="str">
        <f aca="false">IF($F717="","",IFERROR(VLOOKUP($F717,Apelidos_Tecnico!$A:$B,2,0),$F717))</f>
        <v/>
      </c>
    </row>
    <row r="718" customFormat="false" ht="15" hidden="false" customHeight="false" outlineLevel="0" collapsed="false">
      <c r="A718" s="25"/>
      <c r="B718" s="25"/>
      <c r="C718" s="26"/>
      <c r="D718" s="25"/>
      <c r="E718" s="25"/>
      <c r="F718" s="25"/>
      <c r="G718" s="27"/>
      <c r="H718" s="25"/>
      <c r="I718" s="26"/>
      <c r="J718" s="48" t="str">
        <f aca="false">IF($N718="","",IF(AND($N718=Consulta!$C$3,$G718&lt;&gt;"",$G718&gt;=Consulta!$C$4,$G718&lt;=Consulta!$C$5),COUNTIFS($N$6:$N718,Consulta!$C$3,$G$6:$G718,"&gt;="&amp;Consulta!$C$4,$G$6:$G718,"&lt;="&amp;Consulta!$C$5),""))</f>
        <v/>
      </c>
      <c r="K718" s="48" t="str">
        <f aca="false">IF($C718="","",IF(AND($C718=Consulta!$L$3,$G718&lt;&gt;"",$G718&gt;=Consulta!$L$4,$G718&lt;=Consulta!$L$5),COUNTIFS($C$6:$C718,Consulta!$L$3,$G$6:$G718,"&gt;="&amp;Consulta!$L$4,$G$6:$G718,"&lt;="&amp;Consulta!$L$5),""))</f>
        <v/>
      </c>
      <c r="L718" s="48" t="str">
        <f aca="false">IF($D718="","",IF($D718=Consulta!$S$3,COUNTIF($D$6:$D718,Consulta!$S$3),""))</f>
        <v/>
      </c>
      <c r="M718" s="48" t="str">
        <f aca="false">IF($N718="","",IF(AND($N718='Comprovante DEV'!$D$6,$G718='Comprovante DEV'!$D$7),COUNTIFS($N$6:$N718,'Comprovante DEV'!$D$6,$G$6:$G718,'Comprovante DEV'!$D$7),""))</f>
        <v/>
      </c>
      <c r="N718" s="48" t="str">
        <f aca="false">IF($F718="","",IFERROR(VLOOKUP($F718,Apelidos_Tecnico!$A:$B,2,0),$F718))</f>
        <v/>
      </c>
    </row>
    <row r="719" customFormat="false" ht="15" hidden="false" customHeight="false" outlineLevel="0" collapsed="false">
      <c r="A719" s="25"/>
      <c r="B719" s="25"/>
      <c r="C719" s="26"/>
      <c r="D719" s="25"/>
      <c r="E719" s="25"/>
      <c r="F719" s="25"/>
      <c r="G719" s="27"/>
      <c r="H719" s="25"/>
      <c r="I719" s="26"/>
      <c r="J719" s="48" t="str">
        <f aca="false">IF($N719="","",IF(AND($N719=Consulta!$C$3,$G719&lt;&gt;"",$G719&gt;=Consulta!$C$4,$G719&lt;=Consulta!$C$5),COUNTIFS($N$6:$N719,Consulta!$C$3,$G$6:$G719,"&gt;="&amp;Consulta!$C$4,$G$6:$G719,"&lt;="&amp;Consulta!$C$5),""))</f>
        <v/>
      </c>
      <c r="K719" s="48" t="str">
        <f aca="false">IF($C719="","",IF(AND($C719=Consulta!$L$3,$G719&lt;&gt;"",$G719&gt;=Consulta!$L$4,$G719&lt;=Consulta!$L$5),COUNTIFS($C$6:$C719,Consulta!$L$3,$G$6:$G719,"&gt;="&amp;Consulta!$L$4,$G$6:$G719,"&lt;="&amp;Consulta!$L$5),""))</f>
        <v/>
      </c>
      <c r="L719" s="48" t="str">
        <f aca="false">IF($D719="","",IF($D719=Consulta!$S$3,COUNTIF($D$6:$D719,Consulta!$S$3),""))</f>
        <v/>
      </c>
      <c r="M719" s="48" t="str">
        <f aca="false">IF($N719="","",IF(AND($N719='Comprovante DEV'!$D$6,$G719='Comprovante DEV'!$D$7),COUNTIFS($N$6:$N719,'Comprovante DEV'!$D$6,$G$6:$G719,'Comprovante DEV'!$D$7),""))</f>
        <v/>
      </c>
      <c r="N719" s="48" t="str">
        <f aca="false">IF($F719="","",IFERROR(VLOOKUP($F719,Apelidos_Tecnico!$A:$B,2,0),$F719))</f>
        <v/>
      </c>
    </row>
    <row r="720" customFormat="false" ht="15" hidden="false" customHeight="false" outlineLevel="0" collapsed="false">
      <c r="A720" s="25"/>
      <c r="B720" s="25"/>
      <c r="C720" s="26"/>
      <c r="D720" s="25"/>
      <c r="E720" s="25"/>
      <c r="F720" s="25"/>
      <c r="G720" s="27"/>
      <c r="H720" s="25"/>
      <c r="I720" s="26"/>
      <c r="J720" s="48" t="str">
        <f aca="false">IF($N720="","",IF(AND($N720=Consulta!$C$3,$G720&lt;&gt;"",$G720&gt;=Consulta!$C$4,$G720&lt;=Consulta!$C$5),COUNTIFS($N$6:$N720,Consulta!$C$3,$G$6:$G720,"&gt;="&amp;Consulta!$C$4,$G$6:$G720,"&lt;="&amp;Consulta!$C$5),""))</f>
        <v/>
      </c>
      <c r="K720" s="48" t="str">
        <f aca="false">IF($C720="","",IF(AND($C720=Consulta!$L$3,$G720&lt;&gt;"",$G720&gt;=Consulta!$L$4,$G720&lt;=Consulta!$L$5),COUNTIFS($C$6:$C720,Consulta!$L$3,$G$6:$G720,"&gt;="&amp;Consulta!$L$4,$G$6:$G720,"&lt;="&amp;Consulta!$L$5),""))</f>
        <v/>
      </c>
      <c r="L720" s="48" t="str">
        <f aca="false">IF($D720="","",IF($D720=Consulta!$S$3,COUNTIF($D$6:$D720,Consulta!$S$3),""))</f>
        <v/>
      </c>
      <c r="M720" s="48" t="str">
        <f aca="false">IF($N720="","",IF(AND($N720='Comprovante DEV'!$D$6,$G720='Comprovante DEV'!$D$7),COUNTIFS($N$6:$N720,'Comprovante DEV'!$D$6,$G$6:$G720,'Comprovante DEV'!$D$7),""))</f>
        <v/>
      </c>
      <c r="N720" s="48" t="str">
        <f aca="false">IF($F720="","",IFERROR(VLOOKUP($F720,Apelidos_Tecnico!$A:$B,2,0),$F720))</f>
        <v/>
      </c>
    </row>
    <row r="721" customFormat="false" ht="15" hidden="false" customHeight="false" outlineLevel="0" collapsed="false">
      <c r="A721" s="25"/>
      <c r="B721" s="25"/>
      <c r="C721" s="26"/>
      <c r="D721" s="25"/>
      <c r="E721" s="25"/>
      <c r="F721" s="25"/>
      <c r="G721" s="27"/>
      <c r="H721" s="25"/>
      <c r="I721" s="26"/>
      <c r="J721" s="48" t="str">
        <f aca="false">IF($N721="","",IF(AND($N721=Consulta!$C$3,$G721&lt;&gt;"",$G721&gt;=Consulta!$C$4,$G721&lt;=Consulta!$C$5),COUNTIFS($N$6:$N721,Consulta!$C$3,$G$6:$G721,"&gt;="&amp;Consulta!$C$4,$G$6:$G721,"&lt;="&amp;Consulta!$C$5),""))</f>
        <v/>
      </c>
      <c r="K721" s="48" t="str">
        <f aca="false">IF($C721="","",IF(AND($C721=Consulta!$L$3,$G721&lt;&gt;"",$G721&gt;=Consulta!$L$4,$G721&lt;=Consulta!$L$5),COUNTIFS($C$6:$C721,Consulta!$L$3,$G$6:$G721,"&gt;="&amp;Consulta!$L$4,$G$6:$G721,"&lt;="&amp;Consulta!$L$5),""))</f>
        <v/>
      </c>
      <c r="L721" s="48" t="str">
        <f aca="false">IF($D721="","",IF($D721=Consulta!$S$3,COUNTIF($D$6:$D721,Consulta!$S$3),""))</f>
        <v/>
      </c>
      <c r="M721" s="48" t="str">
        <f aca="false">IF($N721="","",IF(AND($N721='Comprovante DEV'!$D$6,$G721='Comprovante DEV'!$D$7),COUNTIFS($N$6:$N721,'Comprovante DEV'!$D$6,$G$6:$G721,'Comprovante DEV'!$D$7),""))</f>
        <v/>
      </c>
      <c r="N721" s="48" t="str">
        <f aca="false">IF($F721="","",IFERROR(VLOOKUP($F721,Apelidos_Tecnico!$A:$B,2,0),$F721))</f>
        <v/>
      </c>
    </row>
    <row r="722" customFormat="false" ht="15" hidden="false" customHeight="false" outlineLevel="0" collapsed="false">
      <c r="A722" s="25"/>
      <c r="B722" s="25"/>
      <c r="C722" s="26"/>
      <c r="D722" s="25"/>
      <c r="E722" s="25"/>
      <c r="F722" s="25"/>
      <c r="G722" s="27"/>
      <c r="H722" s="25"/>
      <c r="I722" s="26"/>
      <c r="J722" s="48" t="str">
        <f aca="false">IF($N722="","",IF(AND($N722=Consulta!$C$3,$G722&lt;&gt;"",$G722&gt;=Consulta!$C$4,$G722&lt;=Consulta!$C$5),COUNTIFS($N$6:$N722,Consulta!$C$3,$G$6:$G722,"&gt;="&amp;Consulta!$C$4,$G$6:$G722,"&lt;="&amp;Consulta!$C$5),""))</f>
        <v/>
      </c>
      <c r="K722" s="48" t="str">
        <f aca="false">IF($C722="","",IF(AND($C722=Consulta!$L$3,$G722&lt;&gt;"",$G722&gt;=Consulta!$L$4,$G722&lt;=Consulta!$L$5),COUNTIFS($C$6:$C722,Consulta!$L$3,$G$6:$G722,"&gt;="&amp;Consulta!$L$4,$G$6:$G722,"&lt;="&amp;Consulta!$L$5),""))</f>
        <v/>
      </c>
      <c r="L722" s="48" t="str">
        <f aca="false">IF($D722="","",IF($D722=Consulta!$S$3,COUNTIF($D$6:$D722,Consulta!$S$3),""))</f>
        <v/>
      </c>
      <c r="M722" s="48" t="str">
        <f aca="false">IF($N722="","",IF(AND($N722='Comprovante DEV'!$D$6,$G722='Comprovante DEV'!$D$7),COUNTIFS($N$6:$N722,'Comprovante DEV'!$D$6,$G$6:$G722,'Comprovante DEV'!$D$7),""))</f>
        <v/>
      </c>
      <c r="N722" s="48" t="str">
        <f aca="false">IF($F722="","",IFERROR(VLOOKUP($F722,Apelidos_Tecnico!$A:$B,2,0),$F722))</f>
        <v/>
      </c>
    </row>
    <row r="723" customFormat="false" ht="15" hidden="false" customHeight="false" outlineLevel="0" collapsed="false">
      <c r="A723" s="25"/>
      <c r="B723" s="25"/>
      <c r="C723" s="26"/>
      <c r="D723" s="25"/>
      <c r="E723" s="25"/>
      <c r="F723" s="25"/>
      <c r="G723" s="27"/>
      <c r="H723" s="25"/>
      <c r="I723" s="26"/>
      <c r="J723" s="48" t="str">
        <f aca="false">IF($N723="","",IF(AND($N723=Consulta!$C$3,$G723&lt;&gt;"",$G723&gt;=Consulta!$C$4,$G723&lt;=Consulta!$C$5),COUNTIFS($N$6:$N723,Consulta!$C$3,$G$6:$G723,"&gt;="&amp;Consulta!$C$4,$G$6:$G723,"&lt;="&amp;Consulta!$C$5),""))</f>
        <v/>
      </c>
      <c r="K723" s="48" t="str">
        <f aca="false">IF($C723="","",IF(AND($C723=Consulta!$L$3,$G723&lt;&gt;"",$G723&gt;=Consulta!$L$4,$G723&lt;=Consulta!$L$5),COUNTIFS($C$6:$C723,Consulta!$L$3,$G$6:$G723,"&gt;="&amp;Consulta!$L$4,$G$6:$G723,"&lt;="&amp;Consulta!$L$5),""))</f>
        <v/>
      </c>
      <c r="L723" s="48" t="str">
        <f aca="false">IF($D723="","",IF($D723=Consulta!$S$3,COUNTIF($D$6:$D723,Consulta!$S$3),""))</f>
        <v/>
      </c>
      <c r="M723" s="48" t="str">
        <f aca="false">IF($N723="","",IF(AND($N723='Comprovante DEV'!$D$6,$G723='Comprovante DEV'!$D$7),COUNTIFS($N$6:$N723,'Comprovante DEV'!$D$6,$G$6:$G723,'Comprovante DEV'!$D$7),""))</f>
        <v/>
      </c>
      <c r="N723" s="48" t="str">
        <f aca="false">IF($F723="","",IFERROR(VLOOKUP($F723,Apelidos_Tecnico!$A:$B,2,0),$F723))</f>
        <v/>
      </c>
    </row>
    <row r="724" customFormat="false" ht="15" hidden="false" customHeight="false" outlineLevel="0" collapsed="false">
      <c r="A724" s="25"/>
      <c r="B724" s="25"/>
      <c r="C724" s="26"/>
      <c r="D724" s="25"/>
      <c r="E724" s="25"/>
      <c r="F724" s="25"/>
      <c r="G724" s="27"/>
      <c r="H724" s="25"/>
      <c r="I724" s="26"/>
      <c r="J724" s="48" t="str">
        <f aca="false">IF($N724="","",IF(AND($N724=Consulta!$C$3,$G724&lt;&gt;"",$G724&gt;=Consulta!$C$4,$G724&lt;=Consulta!$C$5),COUNTIFS($N$6:$N724,Consulta!$C$3,$G$6:$G724,"&gt;="&amp;Consulta!$C$4,$G$6:$G724,"&lt;="&amp;Consulta!$C$5),""))</f>
        <v/>
      </c>
      <c r="K724" s="48" t="str">
        <f aca="false">IF($C724="","",IF(AND($C724=Consulta!$L$3,$G724&lt;&gt;"",$G724&gt;=Consulta!$L$4,$G724&lt;=Consulta!$L$5),COUNTIFS($C$6:$C724,Consulta!$L$3,$G$6:$G724,"&gt;="&amp;Consulta!$L$4,$G$6:$G724,"&lt;="&amp;Consulta!$L$5),""))</f>
        <v/>
      </c>
      <c r="L724" s="48" t="str">
        <f aca="false">IF($D724="","",IF($D724=Consulta!$S$3,COUNTIF($D$6:$D724,Consulta!$S$3),""))</f>
        <v/>
      </c>
      <c r="M724" s="48" t="str">
        <f aca="false">IF($N724="","",IF(AND($N724='Comprovante DEV'!$D$6,$G724='Comprovante DEV'!$D$7),COUNTIFS($N$6:$N724,'Comprovante DEV'!$D$6,$G$6:$G724,'Comprovante DEV'!$D$7),""))</f>
        <v/>
      </c>
      <c r="N724" s="48" t="str">
        <f aca="false">IF($F724="","",IFERROR(VLOOKUP($F724,Apelidos_Tecnico!$A:$B,2,0),$F724))</f>
        <v/>
      </c>
    </row>
    <row r="725" customFormat="false" ht="15" hidden="false" customHeight="false" outlineLevel="0" collapsed="false">
      <c r="A725" s="25"/>
      <c r="B725" s="25"/>
      <c r="C725" s="26"/>
      <c r="D725" s="25"/>
      <c r="E725" s="25"/>
      <c r="F725" s="25"/>
      <c r="G725" s="27"/>
      <c r="H725" s="25"/>
      <c r="I725" s="26"/>
      <c r="J725" s="48" t="str">
        <f aca="false">IF($N725="","",IF(AND($N725=Consulta!$C$3,$G725&lt;&gt;"",$G725&gt;=Consulta!$C$4,$G725&lt;=Consulta!$C$5),COUNTIFS($N$6:$N725,Consulta!$C$3,$G$6:$G725,"&gt;="&amp;Consulta!$C$4,$G$6:$G725,"&lt;="&amp;Consulta!$C$5),""))</f>
        <v/>
      </c>
      <c r="K725" s="48" t="str">
        <f aca="false">IF($C725="","",IF(AND($C725=Consulta!$L$3,$G725&lt;&gt;"",$G725&gt;=Consulta!$L$4,$G725&lt;=Consulta!$L$5),COUNTIFS($C$6:$C725,Consulta!$L$3,$G$6:$G725,"&gt;="&amp;Consulta!$L$4,$G$6:$G725,"&lt;="&amp;Consulta!$L$5),""))</f>
        <v/>
      </c>
      <c r="L725" s="48" t="str">
        <f aca="false">IF($D725="","",IF($D725=Consulta!$S$3,COUNTIF($D$6:$D725,Consulta!$S$3),""))</f>
        <v/>
      </c>
      <c r="M725" s="48" t="str">
        <f aca="false">IF($N725="","",IF(AND($N725='Comprovante DEV'!$D$6,$G725='Comprovante DEV'!$D$7),COUNTIFS($N$6:$N725,'Comprovante DEV'!$D$6,$G$6:$G725,'Comprovante DEV'!$D$7),""))</f>
        <v/>
      </c>
      <c r="N725" s="48" t="str">
        <f aca="false">IF($F725="","",IFERROR(VLOOKUP($F725,Apelidos_Tecnico!$A:$B,2,0),$F725))</f>
        <v/>
      </c>
    </row>
    <row r="726" customFormat="false" ht="15" hidden="false" customHeight="false" outlineLevel="0" collapsed="false">
      <c r="A726" s="25"/>
      <c r="B726" s="25"/>
      <c r="C726" s="26"/>
      <c r="D726" s="25"/>
      <c r="E726" s="25"/>
      <c r="F726" s="25"/>
      <c r="G726" s="27"/>
      <c r="H726" s="25"/>
      <c r="I726" s="26"/>
      <c r="J726" s="48" t="str">
        <f aca="false">IF($N726="","",IF(AND($N726=Consulta!$C$3,$G726&lt;&gt;"",$G726&gt;=Consulta!$C$4,$G726&lt;=Consulta!$C$5),COUNTIFS($N$6:$N726,Consulta!$C$3,$G$6:$G726,"&gt;="&amp;Consulta!$C$4,$G$6:$G726,"&lt;="&amp;Consulta!$C$5),""))</f>
        <v/>
      </c>
      <c r="K726" s="48" t="str">
        <f aca="false">IF($C726="","",IF(AND($C726=Consulta!$L$3,$G726&lt;&gt;"",$G726&gt;=Consulta!$L$4,$G726&lt;=Consulta!$L$5),COUNTIFS($C$6:$C726,Consulta!$L$3,$G$6:$G726,"&gt;="&amp;Consulta!$L$4,$G$6:$G726,"&lt;="&amp;Consulta!$L$5),""))</f>
        <v/>
      </c>
      <c r="L726" s="48" t="str">
        <f aca="false">IF($D726="","",IF($D726=Consulta!$S$3,COUNTIF($D$6:$D726,Consulta!$S$3),""))</f>
        <v/>
      </c>
      <c r="M726" s="48" t="str">
        <f aca="false">IF($N726="","",IF(AND($N726='Comprovante DEV'!$D$6,$G726='Comprovante DEV'!$D$7),COUNTIFS($N$6:$N726,'Comprovante DEV'!$D$6,$G$6:$G726,'Comprovante DEV'!$D$7),""))</f>
        <v/>
      </c>
      <c r="N726" s="48" t="str">
        <f aca="false">IF($F726="","",IFERROR(VLOOKUP($F726,Apelidos_Tecnico!$A:$B,2,0),$F726))</f>
        <v/>
      </c>
    </row>
    <row r="727" customFormat="false" ht="15" hidden="false" customHeight="false" outlineLevel="0" collapsed="false">
      <c r="A727" s="25"/>
      <c r="B727" s="25"/>
      <c r="C727" s="26"/>
      <c r="D727" s="25"/>
      <c r="E727" s="25"/>
      <c r="F727" s="25"/>
      <c r="G727" s="27"/>
      <c r="H727" s="25"/>
      <c r="I727" s="26"/>
      <c r="J727" s="48" t="str">
        <f aca="false">IF($N727="","",IF(AND($N727=Consulta!$C$3,$G727&lt;&gt;"",$G727&gt;=Consulta!$C$4,$G727&lt;=Consulta!$C$5),COUNTIFS($N$6:$N727,Consulta!$C$3,$G$6:$G727,"&gt;="&amp;Consulta!$C$4,$G$6:$G727,"&lt;="&amp;Consulta!$C$5),""))</f>
        <v/>
      </c>
      <c r="K727" s="48" t="str">
        <f aca="false">IF($C727="","",IF(AND($C727=Consulta!$L$3,$G727&lt;&gt;"",$G727&gt;=Consulta!$L$4,$G727&lt;=Consulta!$L$5),COUNTIFS($C$6:$C727,Consulta!$L$3,$G$6:$G727,"&gt;="&amp;Consulta!$L$4,$G$6:$G727,"&lt;="&amp;Consulta!$L$5),""))</f>
        <v/>
      </c>
      <c r="L727" s="48" t="str">
        <f aca="false">IF($D727="","",IF($D727=Consulta!$S$3,COUNTIF($D$6:$D727,Consulta!$S$3),""))</f>
        <v/>
      </c>
      <c r="M727" s="48" t="str">
        <f aca="false">IF($N727="","",IF(AND($N727='Comprovante DEV'!$D$6,$G727='Comprovante DEV'!$D$7),COUNTIFS($N$6:$N727,'Comprovante DEV'!$D$6,$G$6:$G727,'Comprovante DEV'!$D$7),""))</f>
        <v/>
      </c>
      <c r="N727" s="48" t="str">
        <f aca="false">IF($F727="","",IFERROR(VLOOKUP($F727,Apelidos_Tecnico!$A:$B,2,0),$F727))</f>
        <v/>
      </c>
    </row>
    <row r="728" customFormat="false" ht="15" hidden="false" customHeight="false" outlineLevel="0" collapsed="false">
      <c r="A728" s="25"/>
      <c r="B728" s="25"/>
      <c r="C728" s="26"/>
      <c r="D728" s="25"/>
      <c r="E728" s="25"/>
      <c r="F728" s="25"/>
      <c r="G728" s="27"/>
      <c r="H728" s="25"/>
      <c r="I728" s="26"/>
      <c r="J728" s="48" t="str">
        <f aca="false">IF($N728="","",IF(AND($N728=Consulta!$C$3,$G728&lt;&gt;"",$G728&gt;=Consulta!$C$4,$G728&lt;=Consulta!$C$5),COUNTIFS($N$6:$N728,Consulta!$C$3,$G$6:$G728,"&gt;="&amp;Consulta!$C$4,$G$6:$G728,"&lt;="&amp;Consulta!$C$5),""))</f>
        <v/>
      </c>
      <c r="K728" s="48" t="str">
        <f aca="false">IF($C728="","",IF(AND($C728=Consulta!$L$3,$G728&lt;&gt;"",$G728&gt;=Consulta!$L$4,$G728&lt;=Consulta!$L$5),COUNTIFS($C$6:$C728,Consulta!$L$3,$G$6:$G728,"&gt;="&amp;Consulta!$L$4,$G$6:$G728,"&lt;="&amp;Consulta!$L$5),""))</f>
        <v/>
      </c>
      <c r="L728" s="48" t="str">
        <f aca="false">IF($D728="","",IF($D728=Consulta!$S$3,COUNTIF($D$6:$D728,Consulta!$S$3),""))</f>
        <v/>
      </c>
      <c r="M728" s="48" t="str">
        <f aca="false">IF($N728="","",IF(AND($N728='Comprovante DEV'!$D$6,$G728='Comprovante DEV'!$D$7),COUNTIFS($N$6:$N728,'Comprovante DEV'!$D$6,$G$6:$G728,'Comprovante DEV'!$D$7),""))</f>
        <v/>
      </c>
      <c r="N728" s="48" t="str">
        <f aca="false">IF($F728="","",IFERROR(VLOOKUP($F728,Apelidos_Tecnico!$A:$B,2,0),$F728))</f>
        <v/>
      </c>
    </row>
    <row r="729" customFormat="false" ht="15" hidden="false" customHeight="false" outlineLevel="0" collapsed="false">
      <c r="A729" s="25"/>
      <c r="B729" s="25"/>
      <c r="C729" s="26"/>
      <c r="D729" s="25"/>
      <c r="E729" s="25"/>
      <c r="F729" s="25"/>
      <c r="G729" s="27"/>
      <c r="H729" s="25"/>
      <c r="I729" s="26"/>
      <c r="J729" s="48" t="str">
        <f aca="false">IF($N729="","",IF(AND($N729=Consulta!$C$3,$G729&lt;&gt;"",$G729&gt;=Consulta!$C$4,$G729&lt;=Consulta!$C$5),COUNTIFS($N$6:$N729,Consulta!$C$3,$G$6:$G729,"&gt;="&amp;Consulta!$C$4,$G$6:$G729,"&lt;="&amp;Consulta!$C$5),""))</f>
        <v/>
      </c>
      <c r="K729" s="48" t="str">
        <f aca="false">IF($C729="","",IF(AND($C729=Consulta!$L$3,$G729&lt;&gt;"",$G729&gt;=Consulta!$L$4,$G729&lt;=Consulta!$L$5),COUNTIFS($C$6:$C729,Consulta!$L$3,$G$6:$G729,"&gt;="&amp;Consulta!$L$4,$G$6:$G729,"&lt;="&amp;Consulta!$L$5),""))</f>
        <v/>
      </c>
      <c r="L729" s="48" t="str">
        <f aca="false">IF($D729="","",IF($D729=Consulta!$S$3,COUNTIF($D$6:$D729,Consulta!$S$3),""))</f>
        <v/>
      </c>
      <c r="M729" s="48" t="str">
        <f aca="false">IF($N729="","",IF(AND($N729='Comprovante DEV'!$D$6,$G729='Comprovante DEV'!$D$7),COUNTIFS($N$6:$N729,'Comprovante DEV'!$D$6,$G$6:$G729,'Comprovante DEV'!$D$7),""))</f>
        <v/>
      </c>
      <c r="N729" s="48" t="str">
        <f aca="false">IF($F729="","",IFERROR(VLOOKUP($F729,Apelidos_Tecnico!$A:$B,2,0),$F729))</f>
        <v/>
      </c>
    </row>
    <row r="730" customFormat="false" ht="15" hidden="false" customHeight="false" outlineLevel="0" collapsed="false">
      <c r="A730" s="25"/>
      <c r="B730" s="25"/>
      <c r="C730" s="26"/>
      <c r="D730" s="25"/>
      <c r="E730" s="25"/>
      <c r="F730" s="25"/>
      <c r="G730" s="27"/>
      <c r="H730" s="25"/>
      <c r="I730" s="26"/>
      <c r="J730" s="48" t="str">
        <f aca="false">IF($N730="","",IF(AND($N730=Consulta!$C$3,$G730&lt;&gt;"",$G730&gt;=Consulta!$C$4,$G730&lt;=Consulta!$C$5),COUNTIFS($N$6:$N730,Consulta!$C$3,$G$6:$G730,"&gt;="&amp;Consulta!$C$4,$G$6:$G730,"&lt;="&amp;Consulta!$C$5),""))</f>
        <v/>
      </c>
      <c r="K730" s="48" t="str">
        <f aca="false">IF($C730="","",IF(AND($C730=Consulta!$L$3,$G730&lt;&gt;"",$G730&gt;=Consulta!$L$4,$G730&lt;=Consulta!$L$5),COUNTIFS($C$6:$C730,Consulta!$L$3,$G$6:$G730,"&gt;="&amp;Consulta!$L$4,$G$6:$G730,"&lt;="&amp;Consulta!$L$5),""))</f>
        <v/>
      </c>
      <c r="L730" s="48" t="str">
        <f aca="false">IF($D730="","",IF($D730=Consulta!$S$3,COUNTIF($D$6:$D730,Consulta!$S$3),""))</f>
        <v/>
      </c>
      <c r="M730" s="48" t="str">
        <f aca="false">IF($N730="","",IF(AND($N730='Comprovante DEV'!$D$6,$G730='Comprovante DEV'!$D$7),COUNTIFS($N$6:$N730,'Comprovante DEV'!$D$6,$G$6:$G730,'Comprovante DEV'!$D$7),""))</f>
        <v/>
      </c>
      <c r="N730" s="48" t="str">
        <f aca="false">IF($F730="","",IFERROR(VLOOKUP($F730,Apelidos_Tecnico!$A:$B,2,0),$F730))</f>
        <v/>
      </c>
    </row>
    <row r="731" customFormat="false" ht="15" hidden="false" customHeight="false" outlineLevel="0" collapsed="false">
      <c r="A731" s="25"/>
      <c r="B731" s="25"/>
      <c r="C731" s="26"/>
      <c r="D731" s="25"/>
      <c r="E731" s="25"/>
      <c r="F731" s="25"/>
      <c r="G731" s="27"/>
      <c r="H731" s="25"/>
      <c r="I731" s="26"/>
      <c r="J731" s="48" t="str">
        <f aca="false">IF($N731="","",IF(AND($N731=Consulta!$C$3,$G731&lt;&gt;"",$G731&gt;=Consulta!$C$4,$G731&lt;=Consulta!$C$5),COUNTIFS($N$6:$N731,Consulta!$C$3,$G$6:$G731,"&gt;="&amp;Consulta!$C$4,$G$6:$G731,"&lt;="&amp;Consulta!$C$5),""))</f>
        <v/>
      </c>
      <c r="K731" s="48" t="str">
        <f aca="false">IF($C731="","",IF(AND($C731=Consulta!$L$3,$G731&lt;&gt;"",$G731&gt;=Consulta!$L$4,$G731&lt;=Consulta!$L$5),COUNTIFS($C$6:$C731,Consulta!$L$3,$G$6:$G731,"&gt;="&amp;Consulta!$L$4,$G$6:$G731,"&lt;="&amp;Consulta!$L$5),""))</f>
        <v/>
      </c>
      <c r="L731" s="48" t="str">
        <f aca="false">IF($D731="","",IF($D731=Consulta!$S$3,COUNTIF($D$6:$D731,Consulta!$S$3),""))</f>
        <v/>
      </c>
      <c r="M731" s="48" t="str">
        <f aca="false">IF($N731="","",IF(AND($N731='Comprovante DEV'!$D$6,$G731='Comprovante DEV'!$D$7),COUNTIFS($N$6:$N731,'Comprovante DEV'!$D$6,$G$6:$G731,'Comprovante DEV'!$D$7),""))</f>
        <v/>
      </c>
      <c r="N731" s="48" t="str">
        <f aca="false">IF($F731="","",IFERROR(VLOOKUP($F731,Apelidos_Tecnico!$A:$B,2,0),$F731))</f>
        <v/>
      </c>
    </row>
    <row r="732" customFormat="false" ht="15" hidden="false" customHeight="false" outlineLevel="0" collapsed="false">
      <c r="A732" s="25"/>
      <c r="B732" s="25"/>
      <c r="C732" s="26"/>
      <c r="D732" s="25"/>
      <c r="E732" s="25"/>
      <c r="F732" s="25"/>
      <c r="G732" s="27"/>
      <c r="H732" s="25"/>
      <c r="I732" s="26"/>
      <c r="J732" s="48" t="str">
        <f aca="false">IF($N732="","",IF(AND($N732=Consulta!$C$3,$G732&lt;&gt;"",$G732&gt;=Consulta!$C$4,$G732&lt;=Consulta!$C$5),COUNTIFS($N$6:$N732,Consulta!$C$3,$G$6:$G732,"&gt;="&amp;Consulta!$C$4,$G$6:$G732,"&lt;="&amp;Consulta!$C$5),""))</f>
        <v/>
      </c>
      <c r="K732" s="48" t="str">
        <f aca="false">IF($C732="","",IF(AND($C732=Consulta!$L$3,$G732&lt;&gt;"",$G732&gt;=Consulta!$L$4,$G732&lt;=Consulta!$L$5),COUNTIFS($C$6:$C732,Consulta!$L$3,$G$6:$G732,"&gt;="&amp;Consulta!$L$4,$G$6:$G732,"&lt;="&amp;Consulta!$L$5),""))</f>
        <v/>
      </c>
      <c r="L732" s="48" t="str">
        <f aca="false">IF($D732="","",IF($D732=Consulta!$S$3,COUNTIF($D$6:$D732,Consulta!$S$3),""))</f>
        <v/>
      </c>
      <c r="M732" s="48" t="str">
        <f aca="false">IF($N732="","",IF(AND($N732='Comprovante DEV'!$D$6,$G732='Comprovante DEV'!$D$7),COUNTIFS($N$6:$N732,'Comprovante DEV'!$D$6,$G$6:$G732,'Comprovante DEV'!$D$7),""))</f>
        <v/>
      </c>
      <c r="N732" s="48" t="str">
        <f aca="false">IF($F732="","",IFERROR(VLOOKUP($F732,Apelidos_Tecnico!$A:$B,2,0),$F732))</f>
        <v/>
      </c>
    </row>
    <row r="733" customFormat="false" ht="15" hidden="false" customHeight="false" outlineLevel="0" collapsed="false">
      <c r="A733" s="25"/>
      <c r="B733" s="25"/>
      <c r="C733" s="26"/>
      <c r="D733" s="25"/>
      <c r="E733" s="25"/>
      <c r="F733" s="25"/>
      <c r="G733" s="27"/>
      <c r="H733" s="25"/>
      <c r="I733" s="26"/>
      <c r="J733" s="48" t="str">
        <f aca="false">IF($N733="","",IF(AND($N733=Consulta!$C$3,$G733&lt;&gt;"",$G733&gt;=Consulta!$C$4,$G733&lt;=Consulta!$C$5),COUNTIFS($N$6:$N733,Consulta!$C$3,$G$6:$G733,"&gt;="&amp;Consulta!$C$4,$G$6:$G733,"&lt;="&amp;Consulta!$C$5),""))</f>
        <v/>
      </c>
      <c r="K733" s="48" t="str">
        <f aca="false">IF($C733="","",IF(AND($C733=Consulta!$L$3,$G733&lt;&gt;"",$G733&gt;=Consulta!$L$4,$G733&lt;=Consulta!$L$5),COUNTIFS($C$6:$C733,Consulta!$L$3,$G$6:$G733,"&gt;="&amp;Consulta!$L$4,$G$6:$G733,"&lt;="&amp;Consulta!$L$5),""))</f>
        <v/>
      </c>
      <c r="L733" s="48" t="str">
        <f aca="false">IF($D733="","",IF($D733=Consulta!$S$3,COUNTIF($D$6:$D733,Consulta!$S$3),""))</f>
        <v/>
      </c>
      <c r="M733" s="48" t="str">
        <f aca="false">IF($N733="","",IF(AND($N733='Comprovante DEV'!$D$6,$G733='Comprovante DEV'!$D$7),COUNTIFS($N$6:$N733,'Comprovante DEV'!$D$6,$G$6:$G733,'Comprovante DEV'!$D$7),""))</f>
        <v/>
      </c>
      <c r="N733" s="48" t="str">
        <f aca="false">IF($F733="","",IFERROR(VLOOKUP($F733,Apelidos_Tecnico!$A:$B,2,0),$F733))</f>
        <v/>
      </c>
    </row>
    <row r="734" customFormat="false" ht="15" hidden="false" customHeight="false" outlineLevel="0" collapsed="false">
      <c r="A734" s="25"/>
      <c r="B734" s="25"/>
      <c r="C734" s="26"/>
      <c r="D734" s="25"/>
      <c r="E734" s="25"/>
      <c r="F734" s="25"/>
      <c r="G734" s="27"/>
      <c r="H734" s="25"/>
      <c r="I734" s="26"/>
      <c r="J734" s="48" t="str">
        <f aca="false">IF($N734="","",IF(AND($N734=Consulta!$C$3,$G734&lt;&gt;"",$G734&gt;=Consulta!$C$4,$G734&lt;=Consulta!$C$5),COUNTIFS($N$6:$N734,Consulta!$C$3,$G$6:$G734,"&gt;="&amp;Consulta!$C$4,$G$6:$G734,"&lt;="&amp;Consulta!$C$5),""))</f>
        <v/>
      </c>
      <c r="K734" s="48" t="str">
        <f aca="false">IF($C734="","",IF(AND($C734=Consulta!$L$3,$G734&lt;&gt;"",$G734&gt;=Consulta!$L$4,$G734&lt;=Consulta!$L$5),COUNTIFS($C$6:$C734,Consulta!$L$3,$G$6:$G734,"&gt;="&amp;Consulta!$L$4,$G$6:$G734,"&lt;="&amp;Consulta!$L$5),""))</f>
        <v/>
      </c>
      <c r="L734" s="48" t="str">
        <f aca="false">IF($D734="","",IF($D734=Consulta!$S$3,COUNTIF($D$6:$D734,Consulta!$S$3),""))</f>
        <v/>
      </c>
      <c r="M734" s="48" t="str">
        <f aca="false">IF($N734="","",IF(AND($N734='Comprovante DEV'!$D$6,$G734='Comprovante DEV'!$D$7),COUNTIFS($N$6:$N734,'Comprovante DEV'!$D$6,$G$6:$G734,'Comprovante DEV'!$D$7),""))</f>
        <v/>
      </c>
      <c r="N734" s="48" t="str">
        <f aca="false">IF($F734="","",IFERROR(VLOOKUP($F734,Apelidos_Tecnico!$A:$B,2,0),$F734))</f>
        <v/>
      </c>
    </row>
    <row r="735" customFormat="false" ht="15" hidden="false" customHeight="false" outlineLevel="0" collapsed="false">
      <c r="A735" s="25"/>
      <c r="B735" s="25"/>
      <c r="C735" s="26"/>
      <c r="D735" s="25"/>
      <c r="E735" s="25"/>
      <c r="F735" s="25"/>
      <c r="G735" s="27"/>
      <c r="H735" s="25"/>
      <c r="I735" s="26"/>
      <c r="J735" s="48" t="str">
        <f aca="false">IF($N735="","",IF(AND($N735=Consulta!$C$3,$G735&lt;&gt;"",$G735&gt;=Consulta!$C$4,$G735&lt;=Consulta!$C$5),COUNTIFS($N$6:$N735,Consulta!$C$3,$G$6:$G735,"&gt;="&amp;Consulta!$C$4,$G$6:$G735,"&lt;="&amp;Consulta!$C$5),""))</f>
        <v/>
      </c>
      <c r="K735" s="48" t="str">
        <f aca="false">IF($C735="","",IF(AND($C735=Consulta!$L$3,$G735&lt;&gt;"",$G735&gt;=Consulta!$L$4,$G735&lt;=Consulta!$L$5),COUNTIFS($C$6:$C735,Consulta!$L$3,$G$6:$G735,"&gt;="&amp;Consulta!$L$4,$G$6:$G735,"&lt;="&amp;Consulta!$L$5),""))</f>
        <v/>
      </c>
      <c r="L735" s="48" t="str">
        <f aca="false">IF($D735="","",IF($D735=Consulta!$S$3,COUNTIF($D$6:$D735,Consulta!$S$3),""))</f>
        <v/>
      </c>
      <c r="M735" s="48" t="str">
        <f aca="false">IF($N735="","",IF(AND($N735='Comprovante DEV'!$D$6,$G735='Comprovante DEV'!$D$7),COUNTIFS($N$6:$N735,'Comprovante DEV'!$D$6,$G$6:$G735,'Comprovante DEV'!$D$7),""))</f>
        <v/>
      </c>
      <c r="N735" s="48" t="str">
        <f aca="false">IF($F735="","",IFERROR(VLOOKUP($F735,Apelidos_Tecnico!$A:$B,2,0),$F735))</f>
        <v/>
      </c>
    </row>
    <row r="736" customFormat="false" ht="15" hidden="false" customHeight="false" outlineLevel="0" collapsed="false">
      <c r="A736" s="25"/>
      <c r="B736" s="25"/>
      <c r="C736" s="26"/>
      <c r="D736" s="25"/>
      <c r="E736" s="25"/>
      <c r="F736" s="25"/>
      <c r="G736" s="27"/>
      <c r="H736" s="25"/>
      <c r="I736" s="26"/>
      <c r="J736" s="48" t="str">
        <f aca="false">IF($N736="","",IF(AND($N736=Consulta!$C$3,$G736&lt;&gt;"",$G736&gt;=Consulta!$C$4,$G736&lt;=Consulta!$C$5),COUNTIFS($N$6:$N736,Consulta!$C$3,$G$6:$G736,"&gt;="&amp;Consulta!$C$4,$G$6:$G736,"&lt;="&amp;Consulta!$C$5),""))</f>
        <v/>
      </c>
      <c r="K736" s="48" t="str">
        <f aca="false">IF($C736="","",IF(AND($C736=Consulta!$L$3,$G736&lt;&gt;"",$G736&gt;=Consulta!$L$4,$G736&lt;=Consulta!$L$5),COUNTIFS($C$6:$C736,Consulta!$L$3,$G$6:$G736,"&gt;="&amp;Consulta!$L$4,$G$6:$G736,"&lt;="&amp;Consulta!$L$5),""))</f>
        <v/>
      </c>
      <c r="L736" s="48" t="str">
        <f aca="false">IF($D736="","",IF($D736=Consulta!$S$3,COUNTIF($D$6:$D736,Consulta!$S$3),""))</f>
        <v/>
      </c>
      <c r="M736" s="48" t="str">
        <f aca="false">IF($N736="","",IF(AND($N736='Comprovante DEV'!$D$6,$G736='Comprovante DEV'!$D$7),COUNTIFS($N$6:$N736,'Comprovante DEV'!$D$6,$G$6:$G736,'Comprovante DEV'!$D$7),""))</f>
        <v/>
      </c>
      <c r="N736" s="48" t="str">
        <f aca="false">IF($F736="","",IFERROR(VLOOKUP($F736,Apelidos_Tecnico!$A:$B,2,0),$F736))</f>
        <v/>
      </c>
    </row>
    <row r="737" customFormat="false" ht="15" hidden="false" customHeight="false" outlineLevel="0" collapsed="false">
      <c r="A737" s="25"/>
      <c r="B737" s="25"/>
      <c r="C737" s="26"/>
      <c r="D737" s="25"/>
      <c r="E737" s="25"/>
      <c r="F737" s="25"/>
      <c r="G737" s="27"/>
      <c r="H737" s="25"/>
      <c r="I737" s="26"/>
      <c r="J737" s="48" t="str">
        <f aca="false">IF($N737="","",IF(AND($N737=Consulta!$C$3,$G737&lt;&gt;"",$G737&gt;=Consulta!$C$4,$G737&lt;=Consulta!$C$5),COUNTIFS($N$6:$N737,Consulta!$C$3,$G$6:$G737,"&gt;="&amp;Consulta!$C$4,$G$6:$G737,"&lt;="&amp;Consulta!$C$5),""))</f>
        <v/>
      </c>
      <c r="K737" s="48" t="str">
        <f aca="false">IF($C737="","",IF(AND($C737=Consulta!$L$3,$G737&lt;&gt;"",$G737&gt;=Consulta!$L$4,$G737&lt;=Consulta!$L$5),COUNTIFS($C$6:$C737,Consulta!$L$3,$G$6:$G737,"&gt;="&amp;Consulta!$L$4,$G$6:$G737,"&lt;="&amp;Consulta!$L$5),""))</f>
        <v/>
      </c>
      <c r="L737" s="48" t="str">
        <f aca="false">IF($D737="","",IF($D737=Consulta!$S$3,COUNTIF($D$6:$D737,Consulta!$S$3),""))</f>
        <v/>
      </c>
      <c r="M737" s="48" t="str">
        <f aca="false">IF($N737="","",IF(AND($N737='Comprovante DEV'!$D$6,$G737='Comprovante DEV'!$D$7),COUNTIFS($N$6:$N737,'Comprovante DEV'!$D$6,$G$6:$G737,'Comprovante DEV'!$D$7),""))</f>
        <v/>
      </c>
      <c r="N737" s="48" t="str">
        <f aca="false">IF($F737="","",IFERROR(VLOOKUP($F737,Apelidos_Tecnico!$A:$B,2,0),$F737))</f>
        <v/>
      </c>
    </row>
    <row r="738" customFormat="false" ht="15" hidden="false" customHeight="false" outlineLevel="0" collapsed="false">
      <c r="A738" s="25"/>
      <c r="B738" s="25"/>
      <c r="C738" s="26"/>
      <c r="D738" s="25"/>
      <c r="E738" s="25"/>
      <c r="F738" s="25"/>
      <c r="G738" s="27"/>
      <c r="H738" s="25"/>
      <c r="I738" s="26"/>
      <c r="J738" s="48" t="str">
        <f aca="false">IF($N738="","",IF(AND($N738=Consulta!$C$3,$G738&lt;&gt;"",$G738&gt;=Consulta!$C$4,$G738&lt;=Consulta!$C$5),COUNTIFS($N$6:$N738,Consulta!$C$3,$G$6:$G738,"&gt;="&amp;Consulta!$C$4,$G$6:$G738,"&lt;="&amp;Consulta!$C$5),""))</f>
        <v/>
      </c>
      <c r="K738" s="48" t="str">
        <f aca="false">IF($C738="","",IF(AND($C738=Consulta!$L$3,$G738&lt;&gt;"",$G738&gt;=Consulta!$L$4,$G738&lt;=Consulta!$L$5),COUNTIFS($C$6:$C738,Consulta!$L$3,$G$6:$G738,"&gt;="&amp;Consulta!$L$4,$G$6:$G738,"&lt;="&amp;Consulta!$L$5),""))</f>
        <v/>
      </c>
      <c r="L738" s="48" t="str">
        <f aca="false">IF($D738="","",IF($D738=Consulta!$S$3,COUNTIF($D$6:$D738,Consulta!$S$3),""))</f>
        <v/>
      </c>
      <c r="M738" s="48" t="str">
        <f aca="false">IF($N738="","",IF(AND($N738='Comprovante DEV'!$D$6,$G738='Comprovante DEV'!$D$7),COUNTIFS($N$6:$N738,'Comprovante DEV'!$D$6,$G$6:$G738,'Comprovante DEV'!$D$7),""))</f>
        <v/>
      </c>
      <c r="N738" s="48" t="str">
        <f aca="false">IF($F738="","",IFERROR(VLOOKUP($F738,Apelidos_Tecnico!$A:$B,2,0),$F738))</f>
        <v/>
      </c>
    </row>
    <row r="739" customFormat="false" ht="15" hidden="false" customHeight="false" outlineLevel="0" collapsed="false">
      <c r="A739" s="25"/>
      <c r="B739" s="25"/>
      <c r="C739" s="26"/>
      <c r="D739" s="25"/>
      <c r="E739" s="25"/>
      <c r="F739" s="25"/>
      <c r="G739" s="27"/>
      <c r="H739" s="25"/>
      <c r="I739" s="26"/>
      <c r="J739" s="48" t="str">
        <f aca="false">IF($N739="","",IF(AND($N739=Consulta!$C$3,$G739&lt;&gt;"",$G739&gt;=Consulta!$C$4,$G739&lt;=Consulta!$C$5),COUNTIFS($N$6:$N739,Consulta!$C$3,$G$6:$G739,"&gt;="&amp;Consulta!$C$4,$G$6:$G739,"&lt;="&amp;Consulta!$C$5),""))</f>
        <v/>
      </c>
      <c r="K739" s="48" t="str">
        <f aca="false">IF($C739="","",IF(AND($C739=Consulta!$L$3,$G739&lt;&gt;"",$G739&gt;=Consulta!$L$4,$G739&lt;=Consulta!$L$5),COUNTIFS($C$6:$C739,Consulta!$L$3,$G$6:$G739,"&gt;="&amp;Consulta!$L$4,$G$6:$G739,"&lt;="&amp;Consulta!$L$5),""))</f>
        <v/>
      </c>
      <c r="L739" s="48" t="str">
        <f aca="false">IF($D739="","",IF($D739=Consulta!$S$3,COUNTIF($D$6:$D739,Consulta!$S$3),""))</f>
        <v/>
      </c>
      <c r="M739" s="48" t="str">
        <f aca="false">IF($N739="","",IF(AND($N739='Comprovante DEV'!$D$6,$G739='Comprovante DEV'!$D$7),COUNTIFS($N$6:$N739,'Comprovante DEV'!$D$6,$G$6:$G739,'Comprovante DEV'!$D$7),""))</f>
        <v/>
      </c>
      <c r="N739" s="48" t="str">
        <f aca="false">IF($F739="","",IFERROR(VLOOKUP($F739,Apelidos_Tecnico!$A:$B,2,0),$F739))</f>
        <v/>
      </c>
    </row>
    <row r="740" customFormat="false" ht="15" hidden="false" customHeight="false" outlineLevel="0" collapsed="false">
      <c r="A740" s="25"/>
      <c r="B740" s="25"/>
      <c r="C740" s="26"/>
      <c r="D740" s="25"/>
      <c r="E740" s="25"/>
      <c r="F740" s="25"/>
      <c r="G740" s="27"/>
      <c r="H740" s="25"/>
      <c r="I740" s="26"/>
      <c r="J740" s="48" t="str">
        <f aca="false">IF($N740="","",IF(AND($N740=Consulta!$C$3,$G740&lt;&gt;"",$G740&gt;=Consulta!$C$4,$G740&lt;=Consulta!$C$5),COUNTIFS($N$6:$N740,Consulta!$C$3,$G$6:$G740,"&gt;="&amp;Consulta!$C$4,$G$6:$G740,"&lt;="&amp;Consulta!$C$5),""))</f>
        <v/>
      </c>
      <c r="K740" s="48" t="str">
        <f aca="false">IF($C740="","",IF(AND($C740=Consulta!$L$3,$G740&lt;&gt;"",$G740&gt;=Consulta!$L$4,$G740&lt;=Consulta!$L$5),COUNTIFS($C$6:$C740,Consulta!$L$3,$G$6:$G740,"&gt;="&amp;Consulta!$L$4,$G$6:$G740,"&lt;="&amp;Consulta!$L$5),""))</f>
        <v/>
      </c>
      <c r="L740" s="48" t="str">
        <f aca="false">IF($D740="","",IF($D740=Consulta!$S$3,COUNTIF($D$6:$D740,Consulta!$S$3),""))</f>
        <v/>
      </c>
      <c r="M740" s="48" t="str">
        <f aca="false">IF($N740="","",IF(AND($N740='Comprovante DEV'!$D$6,$G740='Comprovante DEV'!$D$7),COUNTIFS($N$6:$N740,'Comprovante DEV'!$D$6,$G$6:$G740,'Comprovante DEV'!$D$7),""))</f>
        <v/>
      </c>
      <c r="N740" s="48" t="str">
        <f aca="false">IF($F740="","",IFERROR(VLOOKUP($F740,Apelidos_Tecnico!$A:$B,2,0),$F740))</f>
        <v/>
      </c>
    </row>
    <row r="741" customFormat="false" ht="15" hidden="false" customHeight="false" outlineLevel="0" collapsed="false">
      <c r="A741" s="25"/>
      <c r="B741" s="25"/>
      <c r="C741" s="26"/>
      <c r="D741" s="25"/>
      <c r="E741" s="25"/>
      <c r="F741" s="25"/>
      <c r="G741" s="27"/>
      <c r="H741" s="25"/>
      <c r="I741" s="26"/>
      <c r="J741" s="48" t="str">
        <f aca="false">IF($N741="","",IF(AND($N741=Consulta!$C$3,$G741&lt;&gt;"",$G741&gt;=Consulta!$C$4,$G741&lt;=Consulta!$C$5),COUNTIFS($N$6:$N741,Consulta!$C$3,$G$6:$G741,"&gt;="&amp;Consulta!$C$4,$G$6:$G741,"&lt;="&amp;Consulta!$C$5),""))</f>
        <v/>
      </c>
      <c r="K741" s="48" t="str">
        <f aca="false">IF($C741="","",IF(AND($C741=Consulta!$L$3,$G741&lt;&gt;"",$G741&gt;=Consulta!$L$4,$G741&lt;=Consulta!$L$5),COUNTIFS($C$6:$C741,Consulta!$L$3,$G$6:$G741,"&gt;="&amp;Consulta!$L$4,$G$6:$G741,"&lt;="&amp;Consulta!$L$5),""))</f>
        <v/>
      </c>
      <c r="L741" s="48" t="str">
        <f aca="false">IF($D741="","",IF($D741=Consulta!$S$3,COUNTIF($D$6:$D741,Consulta!$S$3),""))</f>
        <v/>
      </c>
      <c r="M741" s="48" t="str">
        <f aca="false">IF($N741="","",IF(AND($N741='Comprovante DEV'!$D$6,$G741='Comprovante DEV'!$D$7),COUNTIFS($N$6:$N741,'Comprovante DEV'!$D$6,$G$6:$G741,'Comprovante DEV'!$D$7),""))</f>
        <v/>
      </c>
      <c r="N741" s="48" t="str">
        <f aca="false">IF($F741="","",IFERROR(VLOOKUP($F741,Apelidos_Tecnico!$A:$B,2,0),$F741))</f>
        <v/>
      </c>
    </row>
    <row r="742" customFormat="false" ht="15" hidden="false" customHeight="false" outlineLevel="0" collapsed="false">
      <c r="A742" s="25"/>
      <c r="B742" s="25"/>
      <c r="C742" s="26"/>
      <c r="D742" s="25"/>
      <c r="E742" s="25"/>
      <c r="F742" s="25"/>
      <c r="G742" s="27"/>
      <c r="H742" s="25"/>
      <c r="I742" s="26"/>
      <c r="J742" s="48" t="str">
        <f aca="false">IF($N742="","",IF(AND($N742=Consulta!$C$3,$G742&lt;&gt;"",$G742&gt;=Consulta!$C$4,$G742&lt;=Consulta!$C$5),COUNTIFS($N$6:$N742,Consulta!$C$3,$G$6:$G742,"&gt;="&amp;Consulta!$C$4,$G$6:$G742,"&lt;="&amp;Consulta!$C$5),""))</f>
        <v/>
      </c>
      <c r="K742" s="48" t="str">
        <f aca="false">IF($C742="","",IF(AND($C742=Consulta!$L$3,$G742&lt;&gt;"",$G742&gt;=Consulta!$L$4,$G742&lt;=Consulta!$L$5),COUNTIFS($C$6:$C742,Consulta!$L$3,$G$6:$G742,"&gt;="&amp;Consulta!$L$4,$G$6:$G742,"&lt;="&amp;Consulta!$L$5),""))</f>
        <v/>
      </c>
      <c r="L742" s="48" t="str">
        <f aca="false">IF($D742="","",IF($D742=Consulta!$S$3,COUNTIF($D$6:$D742,Consulta!$S$3),""))</f>
        <v/>
      </c>
      <c r="M742" s="48" t="str">
        <f aca="false">IF($N742="","",IF(AND($N742='Comprovante DEV'!$D$6,$G742='Comprovante DEV'!$D$7),COUNTIFS($N$6:$N742,'Comprovante DEV'!$D$6,$G$6:$G742,'Comprovante DEV'!$D$7),""))</f>
        <v/>
      </c>
      <c r="N742" s="48" t="str">
        <f aca="false">IF($F742="","",IFERROR(VLOOKUP($F742,Apelidos_Tecnico!$A:$B,2,0),$F742))</f>
        <v/>
      </c>
    </row>
    <row r="743" customFormat="false" ht="15" hidden="false" customHeight="false" outlineLevel="0" collapsed="false">
      <c r="A743" s="25"/>
      <c r="B743" s="25"/>
      <c r="C743" s="26"/>
      <c r="D743" s="25"/>
      <c r="E743" s="25"/>
      <c r="F743" s="25"/>
      <c r="G743" s="27"/>
      <c r="H743" s="25"/>
      <c r="I743" s="26"/>
      <c r="J743" s="48" t="str">
        <f aca="false">IF($N743="","",IF(AND($N743=Consulta!$C$3,$G743&lt;&gt;"",$G743&gt;=Consulta!$C$4,$G743&lt;=Consulta!$C$5),COUNTIFS($N$6:$N743,Consulta!$C$3,$G$6:$G743,"&gt;="&amp;Consulta!$C$4,$G$6:$G743,"&lt;="&amp;Consulta!$C$5),""))</f>
        <v/>
      </c>
      <c r="K743" s="48" t="str">
        <f aca="false">IF($C743="","",IF(AND($C743=Consulta!$L$3,$G743&lt;&gt;"",$G743&gt;=Consulta!$L$4,$G743&lt;=Consulta!$L$5),COUNTIFS($C$6:$C743,Consulta!$L$3,$G$6:$G743,"&gt;="&amp;Consulta!$L$4,$G$6:$G743,"&lt;="&amp;Consulta!$L$5),""))</f>
        <v/>
      </c>
      <c r="L743" s="48" t="str">
        <f aca="false">IF($D743="","",IF($D743=Consulta!$S$3,COUNTIF($D$6:$D743,Consulta!$S$3),""))</f>
        <v/>
      </c>
      <c r="M743" s="48" t="str">
        <f aca="false">IF($N743="","",IF(AND($N743='Comprovante DEV'!$D$6,$G743='Comprovante DEV'!$D$7),COUNTIFS($N$6:$N743,'Comprovante DEV'!$D$6,$G$6:$G743,'Comprovante DEV'!$D$7),""))</f>
        <v/>
      </c>
      <c r="N743" s="48" t="str">
        <f aca="false">IF($F743="","",IFERROR(VLOOKUP($F743,Apelidos_Tecnico!$A:$B,2,0),$F743))</f>
        <v/>
      </c>
    </row>
    <row r="744" customFormat="false" ht="15" hidden="false" customHeight="false" outlineLevel="0" collapsed="false">
      <c r="A744" s="25"/>
      <c r="B744" s="25"/>
      <c r="C744" s="26"/>
      <c r="D744" s="25"/>
      <c r="E744" s="25"/>
      <c r="F744" s="25"/>
      <c r="G744" s="27"/>
      <c r="H744" s="25"/>
      <c r="I744" s="26"/>
      <c r="J744" s="48" t="str">
        <f aca="false">IF($N744="","",IF(AND($N744=Consulta!$C$3,$G744&lt;&gt;"",$G744&gt;=Consulta!$C$4,$G744&lt;=Consulta!$C$5),COUNTIFS($N$6:$N744,Consulta!$C$3,$G$6:$G744,"&gt;="&amp;Consulta!$C$4,$G$6:$G744,"&lt;="&amp;Consulta!$C$5),""))</f>
        <v/>
      </c>
      <c r="K744" s="48" t="str">
        <f aca="false">IF($C744="","",IF(AND($C744=Consulta!$L$3,$G744&lt;&gt;"",$G744&gt;=Consulta!$L$4,$G744&lt;=Consulta!$L$5),COUNTIFS($C$6:$C744,Consulta!$L$3,$G$6:$G744,"&gt;="&amp;Consulta!$L$4,$G$6:$G744,"&lt;="&amp;Consulta!$L$5),""))</f>
        <v/>
      </c>
      <c r="L744" s="48" t="str">
        <f aca="false">IF($D744="","",IF($D744=Consulta!$S$3,COUNTIF($D$6:$D744,Consulta!$S$3),""))</f>
        <v/>
      </c>
      <c r="M744" s="48" t="str">
        <f aca="false">IF($N744="","",IF(AND($N744='Comprovante DEV'!$D$6,$G744='Comprovante DEV'!$D$7),COUNTIFS($N$6:$N744,'Comprovante DEV'!$D$6,$G$6:$G744,'Comprovante DEV'!$D$7),""))</f>
        <v/>
      </c>
      <c r="N744" s="48" t="str">
        <f aca="false">IF($F744="","",IFERROR(VLOOKUP($F744,Apelidos_Tecnico!$A:$B,2,0),$F744))</f>
        <v/>
      </c>
    </row>
    <row r="745" customFormat="false" ht="15" hidden="false" customHeight="false" outlineLevel="0" collapsed="false">
      <c r="A745" s="25"/>
      <c r="B745" s="25"/>
      <c r="C745" s="26"/>
      <c r="D745" s="25"/>
      <c r="E745" s="25"/>
      <c r="F745" s="25"/>
      <c r="G745" s="27"/>
      <c r="H745" s="25"/>
      <c r="I745" s="26"/>
      <c r="J745" s="48" t="str">
        <f aca="false">IF($N745="","",IF(AND($N745=Consulta!$C$3,$G745&lt;&gt;"",$G745&gt;=Consulta!$C$4,$G745&lt;=Consulta!$C$5),COUNTIFS($N$6:$N745,Consulta!$C$3,$G$6:$G745,"&gt;="&amp;Consulta!$C$4,$G$6:$G745,"&lt;="&amp;Consulta!$C$5),""))</f>
        <v/>
      </c>
      <c r="K745" s="48" t="str">
        <f aca="false">IF($C745="","",IF(AND($C745=Consulta!$L$3,$G745&lt;&gt;"",$G745&gt;=Consulta!$L$4,$G745&lt;=Consulta!$L$5),COUNTIFS($C$6:$C745,Consulta!$L$3,$G$6:$G745,"&gt;="&amp;Consulta!$L$4,$G$6:$G745,"&lt;="&amp;Consulta!$L$5),""))</f>
        <v/>
      </c>
      <c r="L745" s="48" t="str">
        <f aca="false">IF($D745="","",IF($D745=Consulta!$S$3,COUNTIF($D$6:$D745,Consulta!$S$3),""))</f>
        <v/>
      </c>
      <c r="M745" s="48" t="str">
        <f aca="false">IF($N745="","",IF(AND($N745='Comprovante DEV'!$D$6,$G745='Comprovante DEV'!$D$7),COUNTIFS($N$6:$N745,'Comprovante DEV'!$D$6,$G$6:$G745,'Comprovante DEV'!$D$7),""))</f>
        <v/>
      </c>
      <c r="N745" s="48" t="str">
        <f aca="false">IF($F745="","",IFERROR(VLOOKUP($F745,Apelidos_Tecnico!$A:$B,2,0),$F745))</f>
        <v/>
      </c>
    </row>
    <row r="746" customFormat="false" ht="15" hidden="false" customHeight="false" outlineLevel="0" collapsed="false">
      <c r="A746" s="25"/>
      <c r="B746" s="25"/>
      <c r="C746" s="26"/>
      <c r="D746" s="25"/>
      <c r="E746" s="25"/>
      <c r="F746" s="25"/>
      <c r="G746" s="27"/>
      <c r="H746" s="25"/>
      <c r="I746" s="26"/>
      <c r="J746" s="48" t="str">
        <f aca="false">IF($N746="","",IF(AND($N746=Consulta!$C$3,$G746&lt;&gt;"",$G746&gt;=Consulta!$C$4,$G746&lt;=Consulta!$C$5),COUNTIFS($N$6:$N746,Consulta!$C$3,$G$6:$G746,"&gt;="&amp;Consulta!$C$4,$G$6:$G746,"&lt;="&amp;Consulta!$C$5),""))</f>
        <v/>
      </c>
      <c r="K746" s="48" t="str">
        <f aca="false">IF($C746="","",IF(AND($C746=Consulta!$L$3,$G746&lt;&gt;"",$G746&gt;=Consulta!$L$4,$G746&lt;=Consulta!$L$5),COUNTIFS($C$6:$C746,Consulta!$L$3,$G$6:$G746,"&gt;="&amp;Consulta!$L$4,$G$6:$G746,"&lt;="&amp;Consulta!$L$5),""))</f>
        <v/>
      </c>
      <c r="L746" s="48" t="str">
        <f aca="false">IF($D746="","",IF($D746=Consulta!$S$3,COUNTIF($D$6:$D746,Consulta!$S$3),""))</f>
        <v/>
      </c>
      <c r="M746" s="48" t="str">
        <f aca="false">IF($N746="","",IF(AND($N746='Comprovante DEV'!$D$6,$G746='Comprovante DEV'!$D$7),COUNTIFS($N$6:$N746,'Comprovante DEV'!$D$6,$G$6:$G746,'Comprovante DEV'!$D$7),""))</f>
        <v/>
      </c>
      <c r="N746" s="48" t="str">
        <f aca="false">IF($F746="","",IFERROR(VLOOKUP($F746,Apelidos_Tecnico!$A:$B,2,0),$F746))</f>
        <v/>
      </c>
    </row>
    <row r="747" customFormat="false" ht="15" hidden="false" customHeight="false" outlineLevel="0" collapsed="false">
      <c r="A747" s="25"/>
      <c r="B747" s="25"/>
      <c r="C747" s="26"/>
      <c r="D747" s="25"/>
      <c r="E747" s="25"/>
      <c r="F747" s="25"/>
      <c r="G747" s="27"/>
      <c r="H747" s="25"/>
      <c r="I747" s="26"/>
      <c r="J747" s="48" t="str">
        <f aca="false">IF($N747="","",IF(AND($N747=Consulta!$C$3,$G747&lt;&gt;"",$G747&gt;=Consulta!$C$4,$G747&lt;=Consulta!$C$5),COUNTIFS($N$6:$N747,Consulta!$C$3,$G$6:$G747,"&gt;="&amp;Consulta!$C$4,$G$6:$G747,"&lt;="&amp;Consulta!$C$5),""))</f>
        <v/>
      </c>
      <c r="K747" s="48" t="str">
        <f aca="false">IF($C747="","",IF(AND($C747=Consulta!$L$3,$G747&lt;&gt;"",$G747&gt;=Consulta!$L$4,$G747&lt;=Consulta!$L$5),COUNTIFS($C$6:$C747,Consulta!$L$3,$G$6:$G747,"&gt;="&amp;Consulta!$L$4,$G$6:$G747,"&lt;="&amp;Consulta!$L$5),""))</f>
        <v/>
      </c>
      <c r="L747" s="48" t="str">
        <f aca="false">IF($D747="","",IF($D747=Consulta!$S$3,COUNTIF($D$6:$D747,Consulta!$S$3),""))</f>
        <v/>
      </c>
      <c r="M747" s="48" t="str">
        <f aca="false">IF($N747="","",IF(AND($N747='Comprovante DEV'!$D$6,$G747='Comprovante DEV'!$D$7),COUNTIFS($N$6:$N747,'Comprovante DEV'!$D$6,$G$6:$G747,'Comprovante DEV'!$D$7),""))</f>
        <v/>
      </c>
      <c r="N747" s="48" t="str">
        <f aca="false">IF($F747="","",IFERROR(VLOOKUP($F747,Apelidos_Tecnico!$A:$B,2,0),$F747))</f>
        <v/>
      </c>
    </row>
    <row r="748" customFormat="false" ht="15" hidden="false" customHeight="false" outlineLevel="0" collapsed="false">
      <c r="A748" s="25"/>
      <c r="B748" s="25"/>
      <c r="C748" s="26"/>
      <c r="D748" s="25"/>
      <c r="E748" s="25"/>
      <c r="F748" s="25"/>
      <c r="G748" s="27"/>
      <c r="H748" s="25"/>
      <c r="I748" s="26"/>
      <c r="J748" s="48" t="str">
        <f aca="false">IF($N748="","",IF(AND($N748=Consulta!$C$3,$G748&lt;&gt;"",$G748&gt;=Consulta!$C$4,$G748&lt;=Consulta!$C$5),COUNTIFS($N$6:$N748,Consulta!$C$3,$G$6:$G748,"&gt;="&amp;Consulta!$C$4,$G$6:$G748,"&lt;="&amp;Consulta!$C$5),""))</f>
        <v/>
      </c>
      <c r="K748" s="48" t="str">
        <f aca="false">IF($C748="","",IF(AND($C748=Consulta!$L$3,$G748&lt;&gt;"",$G748&gt;=Consulta!$L$4,$G748&lt;=Consulta!$L$5),COUNTIFS($C$6:$C748,Consulta!$L$3,$G$6:$G748,"&gt;="&amp;Consulta!$L$4,$G$6:$G748,"&lt;="&amp;Consulta!$L$5),""))</f>
        <v/>
      </c>
      <c r="L748" s="48" t="str">
        <f aca="false">IF($D748="","",IF($D748=Consulta!$S$3,COUNTIF($D$6:$D748,Consulta!$S$3),""))</f>
        <v/>
      </c>
      <c r="M748" s="48" t="str">
        <f aca="false">IF($N748="","",IF(AND($N748='Comprovante DEV'!$D$6,$G748='Comprovante DEV'!$D$7),COUNTIFS($N$6:$N748,'Comprovante DEV'!$D$6,$G$6:$G748,'Comprovante DEV'!$D$7),""))</f>
        <v/>
      </c>
      <c r="N748" s="48" t="str">
        <f aca="false">IF($F748="","",IFERROR(VLOOKUP($F748,Apelidos_Tecnico!$A:$B,2,0),$F748))</f>
        <v/>
      </c>
    </row>
    <row r="749" customFormat="false" ht="15" hidden="false" customHeight="false" outlineLevel="0" collapsed="false">
      <c r="A749" s="25"/>
      <c r="B749" s="25"/>
      <c r="C749" s="26"/>
      <c r="D749" s="25"/>
      <c r="E749" s="25"/>
      <c r="F749" s="25"/>
      <c r="G749" s="27"/>
      <c r="H749" s="25"/>
      <c r="I749" s="26"/>
      <c r="J749" s="48" t="str">
        <f aca="false">IF($N749="","",IF(AND($N749=Consulta!$C$3,$G749&lt;&gt;"",$G749&gt;=Consulta!$C$4,$G749&lt;=Consulta!$C$5),COUNTIFS($N$6:$N749,Consulta!$C$3,$G$6:$G749,"&gt;="&amp;Consulta!$C$4,$G$6:$G749,"&lt;="&amp;Consulta!$C$5),""))</f>
        <v/>
      </c>
      <c r="K749" s="48" t="str">
        <f aca="false">IF($C749="","",IF(AND($C749=Consulta!$L$3,$G749&lt;&gt;"",$G749&gt;=Consulta!$L$4,$G749&lt;=Consulta!$L$5),COUNTIFS($C$6:$C749,Consulta!$L$3,$G$6:$G749,"&gt;="&amp;Consulta!$L$4,$G$6:$G749,"&lt;="&amp;Consulta!$L$5),""))</f>
        <v/>
      </c>
      <c r="L749" s="48" t="str">
        <f aca="false">IF($D749="","",IF($D749=Consulta!$S$3,COUNTIF($D$6:$D749,Consulta!$S$3),""))</f>
        <v/>
      </c>
      <c r="M749" s="48" t="str">
        <f aca="false">IF($N749="","",IF(AND($N749='Comprovante DEV'!$D$6,$G749='Comprovante DEV'!$D$7),COUNTIFS($N$6:$N749,'Comprovante DEV'!$D$6,$G$6:$G749,'Comprovante DEV'!$D$7),""))</f>
        <v/>
      </c>
      <c r="N749" s="48" t="str">
        <f aca="false">IF($F749="","",IFERROR(VLOOKUP($F749,Apelidos_Tecnico!$A:$B,2,0),$F749))</f>
        <v/>
      </c>
    </row>
    <row r="750" customFormat="false" ht="15" hidden="false" customHeight="false" outlineLevel="0" collapsed="false">
      <c r="A750" s="25"/>
      <c r="B750" s="25"/>
      <c r="C750" s="26"/>
      <c r="D750" s="25"/>
      <c r="E750" s="25"/>
      <c r="F750" s="25"/>
      <c r="G750" s="27"/>
      <c r="H750" s="25"/>
      <c r="I750" s="26"/>
      <c r="J750" s="48" t="str">
        <f aca="false">IF($N750="","",IF(AND($N750=Consulta!$C$3,$G750&lt;&gt;"",$G750&gt;=Consulta!$C$4,$G750&lt;=Consulta!$C$5),COUNTIFS($N$6:$N750,Consulta!$C$3,$G$6:$G750,"&gt;="&amp;Consulta!$C$4,$G$6:$G750,"&lt;="&amp;Consulta!$C$5),""))</f>
        <v/>
      </c>
      <c r="K750" s="48" t="str">
        <f aca="false">IF($C750="","",IF(AND($C750=Consulta!$L$3,$G750&lt;&gt;"",$G750&gt;=Consulta!$L$4,$G750&lt;=Consulta!$L$5),COUNTIFS($C$6:$C750,Consulta!$L$3,$G$6:$G750,"&gt;="&amp;Consulta!$L$4,$G$6:$G750,"&lt;="&amp;Consulta!$L$5),""))</f>
        <v/>
      </c>
      <c r="L750" s="48" t="str">
        <f aca="false">IF($D750="","",IF($D750=Consulta!$S$3,COUNTIF($D$6:$D750,Consulta!$S$3),""))</f>
        <v/>
      </c>
      <c r="M750" s="48" t="str">
        <f aca="false">IF($N750="","",IF(AND($N750='Comprovante DEV'!$D$6,$G750='Comprovante DEV'!$D$7),COUNTIFS($N$6:$N750,'Comprovante DEV'!$D$6,$G$6:$G750,'Comprovante DEV'!$D$7),""))</f>
        <v/>
      </c>
      <c r="N750" s="48" t="str">
        <f aca="false">IF($F750="","",IFERROR(VLOOKUP($F750,Apelidos_Tecnico!$A:$B,2,0),$F750))</f>
        <v/>
      </c>
    </row>
    <row r="751" customFormat="false" ht="15" hidden="false" customHeight="false" outlineLevel="0" collapsed="false">
      <c r="A751" s="25"/>
      <c r="B751" s="25"/>
      <c r="C751" s="26"/>
      <c r="D751" s="25"/>
      <c r="E751" s="25"/>
      <c r="F751" s="25"/>
      <c r="G751" s="27"/>
      <c r="H751" s="25"/>
      <c r="I751" s="26"/>
      <c r="J751" s="48" t="str">
        <f aca="false">IF($N751="","",IF(AND($N751=Consulta!$C$3,$G751&lt;&gt;"",$G751&gt;=Consulta!$C$4,$G751&lt;=Consulta!$C$5),COUNTIFS($N$6:$N751,Consulta!$C$3,$G$6:$G751,"&gt;="&amp;Consulta!$C$4,$G$6:$G751,"&lt;="&amp;Consulta!$C$5),""))</f>
        <v/>
      </c>
      <c r="K751" s="48" t="str">
        <f aca="false">IF($C751="","",IF(AND($C751=Consulta!$L$3,$G751&lt;&gt;"",$G751&gt;=Consulta!$L$4,$G751&lt;=Consulta!$L$5),COUNTIFS($C$6:$C751,Consulta!$L$3,$G$6:$G751,"&gt;="&amp;Consulta!$L$4,$G$6:$G751,"&lt;="&amp;Consulta!$L$5),""))</f>
        <v/>
      </c>
      <c r="L751" s="48" t="str">
        <f aca="false">IF($D751="","",IF($D751=Consulta!$S$3,COUNTIF($D$6:$D751,Consulta!$S$3),""))</f>
        <v/>
      </c>
      <c r="M751" s="48" t="str">
        <f aca="false">IF($N751="","",IF(AND($N751='Comprovante DEV'!$D$6,$G751='Comprovante DEV'!$D$7),COUNTIFS($N$6:$N751,'Comprovante DEV'!$D$6,$G$6:$G751,'Comprovante DEV'!$D$7),""))</f>
        <v/>
      </c>
      <c r="N751" s="48" t="str">
        <f aca="false">IF($F751="","",IFERROR(VLOOKUP($F751,Apelidos_Tecnico!$A:$B,2,0),$F751))</f>
        <v/>
      </c>
    </row>
    <row r="752" customFormat="false" ht="15" hidden="false" customHeight="false" outlineLevel="0" collapsed="false">
      <c r="A752" s="25"/>
      <c r="B752" s="25"/>
      <c r="C752" s="26"/>
      <c r="D752" s="25"/>
      <c r="E752" s="25"/>
      <c r="F752" s="25"/>
      <c r="G752" s="27"/>
      <c r="H752" s="25"/>
      <c r="I752" s="26"/>
      <c r="J752" s="48" t="str">
        <f aca="false">IF($N752="","",IF(AND($N752=Consulta!$C$3,$G752&lt;&gt;"",$G752&gt;=Consulta!$C$4,$G752&lt;=Consulta!$C$5),COUNTIFS($N$6:$N752,Consulta!$C$3,$G$6:$G752,"&gt;="&amp;Consulta!$C$4,$G$6:$G752,"&lt;="&amp;Consulta!$C$5),""))</f>
        <v/>
      </c>
      <c r="K752" s="48" t="str">
        <f aca="false">IF($C752="","",IF(AND($C752=Consulta!$L$3,$G752&lt;&gt;"",$G752&gt;=Consulta!$L$4,$G752&lt;=Consulta!$L$5),COUNTIFS($C$6:$C752,Consulta!$L$3,$G$6:$G752,"&gt;="&amp;Consulta!$L$4,$G$6:$G752,"&lt;="&amp;Consulta!$L$5),""))</f>
        <v/>
      </c>
      <c r="L752" s="48" t="str">
        <f aca="false">IF($D752="","",IF($D752=Consulta!$S$3,COUNTIF($D$6:$D752,Consulta!$S$3),""))</f>
        <v/>
      </c>
      <c r="M752" s="48" t="str">
        <f aca="false">IF($N752="","",IF(AND($N752='Comprovante DEV'!$D$6,$G752='Comprovante DEV'!$D$7),COUNTIFS($N$6:$N752,'Comprovante DEV'!$D$6,$G$6:$G752,'Comprovante DEV'!$D$7),""))</f>
        <v/>
      </c>
      <c r="N752" s="48" t="str">
        <f aca="false">IF($F752="","",IFERROR(VLOOKUP($F752,Apelidos_Tecnico!$A:$B,2,0),$F752))</f>
        <v/>
      </c>
    </row>
    <row r="753" customFormat="false" ht="15" hidden="false" customHeight="false" outlineLevel="0" collapsed="false">
      <c r="A753" s="25"/>
      <c r="B753" s="25"/>
      <c r="C753" s="26"/>
      <c r="D753" s="25"/>
      <c r="E753" s="25"/>
      <c r="F753" s="25"/>
      <c r="G753" s="27"/>
      <c r="H753" s="25"/>
      <c r="I753" s="26"/>
      <c r="J753" s="48" t="str">
        <f aca="false">IF($N753="","",IF(AND($N753=Consulta!$C$3,$G753&lt;&gt;"",$G753&gt;=Consulta!$C$4,$G753&lt;=Consulta!$C$5),COUNTIFS($N$6:$N753,Consulta!$C$3,$G$6:$G753,"&gt;="&amp;Consulta!$C$4,$G$6:$G753,"&lt;="&amp;Consulta!$C$5),""))</f>
        <v/>
      </c>
      <c r="K753" s="48" t="str">
        <f aca="false">IF($C753="","",IF(AND($C753=Consulta!$L$3,$G753&lt;&gt;"",$G753&gt;=Consulta!$L$4,$G753&lt;=Consulta!$L$5),COUNTIFS($C$6:$C753,Consulta!$L$3,$G$6:$G753,"&gt;="&amp;Consulta!$L$4,$G$6:$G753,"&lt;="&amp;Consulta!$L$5),""))</f>
        <v/>
      </c>
      <c r="L753" s="48" t="str">
        <f aca="false">IF($D753="","",IF($D753=Consulta!$S$3,COUNTIF($D$6:$D753,Consulta!$S$3),""))</f>
        <v/>
      </c>
      <c r="M753" s="48" t="str">
        <f aca="false">IF($N753="","",IF(AND($N753='Comprovante DEV'!$D$6,$G753='Comprovante DEV'!$D$7),COUNTIFS($N$6:$N753,'Comprovante DEV'!$D$6,$G$6:$G753,'Comprovante DEV'!$D$7),""))</f>
        <v/>
      </c>
      <c r="N753" s="48" t="str">
        <f aca="false">IF($F753="","",IFERROR(VLOOKUP($F753,Apelidos_Tecnico!$A:$B,2,0),$F753))</f>
        <v/>
      </c>
    </row>
    <row r="754" customFormat="false" ht="15" hidden="false" customHeight="false" outlineLevel="0" collapsed="false">
      <c r="A754" s="25"/>
      <c r="B754" s="25"/>
      <c r="C754" s="26"/>
      <c r="D754" s="25"/>
      <c r="E754" s="25"/>
      <c r="F754" s="25"/>
      <c r="G754" s="27"/>
      <c r="H754" s="25"/>
      <c r="I754" s="26"/>
      <c r="J754" s="48" t="str">
        <f aca="false">IF($N754="","",IF(AND($N754=Consulta!$C$3,$G754&lt;&gt;"",$G754&gt;=Consulta!$C$4,$G754&lt;=Consulta!$C$5),COUNTIFS($N$6:$N754,Consulta!$C$3,$G$6:$G754,"&gt;="&amp;Consulta!$C$4,$G$6:$G754,"&lt;="&amp;Consulta!$C$5),""))</f>
        <v/>
      </c>
      <c r="K754" s="48" t="str">
        <f aca="false">IF($C754="","",IF(AND($C754=Consulta!$L$3,$G754&lt;&gt;"",$G754&gt;=Consulta!$L$4,$G754&lt;=Consulta!$L$5),COUNTIFS($C$6:$C754,Consulta!$L$3,$G$6:$G754,"&gt;="&amp;Consulta!$L$4,$G$6:$G754,"&lt;="&amp;Consulta!$L$5),""))</f>
        <v/>
      </c>
      <c r="L754" s="48" t="str">
        <f aca="false">IF($D754="","",IF($D754=Consulta!$S$3,COUNTIF($D$6:$D754,Consulta!$S$3),""))</f>
        <v/>
      </c>
      <c r="M754" s="48" t="str">
        <f aca="false">IF($N754="","",IF(AND($N754='Comprovante DEV'!$D$6,$G754='Comprovante DEV'!$D$7),COUNTIFS($N$6:$N754,'Comprovante DEV'!$D$6,$G$6:$G754,'Comprovante DEV'!$D$7),""))</f>
        <v/>
      </c>
      <c r="N754" s="48" t="str">
        <f aca="false">IF($F754="","",IFERROR(VLOOKUP($F754,Apelidos_Tecnico!$A:$B,2,0),$F754))</f>
        <v/>
      </c>
    </row>
    <row r="755" customFormat="false" ht="15" hidden="false" customHeight="false" outlineLevel="0" collapsed="false">
      <c r="A755" s="25"/>
      <c r="B755" s="25"/>
      <c r="C755" s="26"/>
      <c r="D755" s="25"/>
      <c r="E755" s="25"/>
      <c r="F755" s="25"/>
      <c r="G755" s="27"/>
      <c r="H755" s="25"/>
      <c r="I755" s="26"/>
      <c r="J755" s="48" t="str">
        <f aca="false">IF($N755="","",IF(AND($N755=Consulta!$C$3,$G755&lt;&gt;"",$G755&gt;=Consulta!$C$4,$G755&lt;=Consulta!$C$5),COUNTIFS($N$6:$N755,Consulta!$C$3,$G$6:$G755,"&gt;="&amp;Consulta!$C$4,$G$6:$G755,"&lt;="&amp;Consulta!$C$5),""))</f>
        <v/>
      </c>
      <c r="K755" s="48" t="str">
        <f aca="false">IF($C755="","",IF(AND($C755=Consulta!$L$3,$G755&lt;&gt;"",$G755&gt;=Consulta!$L$4,$G755&lt;=Consulta!$L$5),COUNTIFS($C$6:$C755,Consulta!$L$3,$G$6:$G755,"&gt;="&amp;Consulta!$L$4,$G$6:$G755,"&lt;="&amp;Consulta!$L$5),""))</f>
        <v/>
      </c>
      <c r="L755" s="48" t="str">
        <f aca="false">IF($D755="","",IF($D755=Consulta!$S$3,COUNTIF($D$6:$D755,Consulta!$S$3),""))</f>
        <v/>
      </c>
      <c r="M755" s="48" t="str">
        <f aca="false">IF($N755="","",IF(AND($N755='Comprovante DEV'!$D$6,$G755='Comprovante DEV'!$D$7),COUNTIFS($N$6:$N755,'Comprovante DEV'!$D$6,$G$6:$G755,'Comprovante DEV'!$D$7),""))</f>
        <v/>
      </c>
      <c r="N755" s="48" t="str">
        <f aca="false">IF($F755="","",IFERROR(VLOOKUP($F755,Apelidos_Tecnico!$A:$B,2,0),$F755))</f>
        <v/>
      </c>
    </row>
    <row r="756" customFormat="false" ht="15" hidden="false" customHeight="false" outlineLevel="0" collapsed="false">
      <c r="A756" s="25"/>
      <c r="B756" s="25"/>
      <c r="C756" s="26"/>
      <c r="D756" s="25"/>
      <c r="E756" s="25"/>
      <c r="F756" s="25"/>
      <c r="G756" s="27"/>
      <c r="H756" s="25"/>
      <c r="I756" s="26"/>
      <c r="J756" s="48" t="str">
        <f aca="false">IF($N756="","",IF(AND($N756=Consulta!$C$3,$G756&lt;&gt;"",$G756&gt;=Consulta!$C$4,$G756&lt;=Consulta!$C$5),COUNTIFS($N$6:$N756,Consulta!$C$3,$G$6:$G756,"&gt;="&amp;Consulta!$C$4,$G$6:$G756,"&lt;="&amp;Consulta!$C$5),""))</f>
        <v/>
      </c>
      <c r="K756" s="48" t="str">
        <f aca="false">IF($C756="","",IF(AND($C756=Consulta!$L$3,$G756&lt;&gt;"",$G756&gt;=Consulta!$L$4,$G756&lt;=Consulta!$L$5),COUNTIFS($C$6:$C756,Consulta!$L$3,$G$6:$G756,"&gt;="&amp;Consulta!$L$4,$G$6:$G756,"&lt;="&amp;Consulta!$L$5),""))</f>
        <v/>
      </c>
      <c r="L756" s="48" t="str">
        <f aca="false">IF($D756="","",IF($D756=Consulta!$S$3,COUNTIF($D$6:$D756,Consulta!$S$3),""))</f>
        <v/>
      </c>
      <c r="M756" s="48" t="str">
        <f aca="false">IF($N756="","",IF(AND($N756='Comprovante DEV'!$D$6,$G756='Comprovante DEV'!$D$7),COUNTIFS($N$6:$N756,'Comprovante DEV'!$D$6,$G$6:$G756,'Comprovante DEV'!$D$7),""))</f>
        <v/>
      </c>
      <c r="N756" s="48" t="str">
        <f aca="false">IF($F756="","",IFERROR(VLOOKUP($F756,Apelidos_Tecnico!$A:$B,2,0),$F756))</f>
        <v/>
      </c>
    </row>
    <row r="757" customFormat="false" ht="15" hidden="false" customHeight="false" outlineLevel="0" collapsed="false">
      <c r="A757" s="25"/>
      <c r="B757" s="25"/>
      <c r="C757" s="26"/>
      <c r="D757" s="25"/>
      <c r="E757" s="25"/>
      <c r="F757" s="25"/>
      <c r="G757" s="27"/>
      <c r="H757" s="25"/>
      <c r="I757" s="26"/>
      <c r="J757" s="48" t="str">
        <f aca="false">IF($N757="","",IF(AND($N757=Consulta!$C$3,$G757&lt;&gt;"",$G757&gt;=Consulta!$C$4,$G757&lt;=Consulta!$C$5),COUNTIFS($N$6:$N757,Consulta!$C$3,$G$6:$G757,"&gt;="&amp;Consulta!$C$4,$G$6:$G757,"&lt;="&amp;Consulta!$C$5),""))</f>
        <v/>
      </c>
      <c r="K757" s="48" t="str">
        <f aca="false">IF($C757="","",IF(AND($C757=Consulta!$L$3,$G757&lt;&gt;"",$G757&gt;=Consulta!$L$4,$G757&lt;=Consulta!$L$5),COUNTIFS($C$6:$C757,Consulta!$L$3,$G$6:$G757,"&gt;="&amp;Consulta!$L$4,$G$6:$G757,"&lt;="&amp;Consulta!$L$5),""))</f>
        <v/>
      </c>
      <c r="L757" s="48" t="str">
        <f aca="false">IF($D757="","",IF($D757=Consulta!$S$3,COUNTIF($D$6:$D757,Consulta!$S$3),""))</f>
        <v/>
      </c>
      <c r="M757" s="48" t="str">
        <f aca="false">IF($N757="","",IF(AND($N757='Comprovante DEV'!$D$6,$G757='Comprovante DEV'!$D$7),COUNTIFS($N$6:$N757,'Comprovante DEV'!$D$6,$G$6:$G757,'Comprovante DEV'!$D$7),""))</f>
        <v/>
      </c>
      <c r="N757" s="48" t="str">
        <f aca="false">IF($F757="","",IFERROR(VLOOKUP($F757,Apelidos_Tecnico!$A:$B,2,0),$F757))</f>
        <v/>
      </c>
    </row>
    <row r="758" customFormat="false" ht="15" hidden="false" customHeight="false" outlineLevel="0" collapsed="false">
      <c r="A758" s="25"/>
      <c r="B758" s="25"/>
      <c r="C758" s="26"/>
      <c r="D758" s="25"/>
      <c r="E758" s="25"/>
      <c r="F758" s="25"/>
      <c r="G758" s="27"/>
      <c r="H758" s="25"/>
      <c r="I758" s="26"/>
      <c r="J758" s="48" t="str">
        <f aca="false">IF($N758="","",IF(AND($N758=Consulta!$C$3,$G758&lt;&gt;"",$G758&gt;=Consulta!$C$4,$G758&lt;=Consulta!$C$5),COUNTIFS($N$6:$N758,Consulta!$C$3,$G$6:$G758,"&gt;="&amp;Consulta!$C$4,$G$6:$G758,"&lt;="&amp;Consulta!$C$5),""))</f>
        <v/>
      </c>
      <c r="K758" s="48" t="str">
        <f aca="false">IF($C758="","",IF(AND($C758=Consulta!$L$3,$G758&lt;&gt;"",$G758&gt;=Consulta!$L$4,$G758&lt;=Consulta!$L$5),COUNTIFS($C$6:$C758,Consulta!$L$3,$G$6:$G758,"&gt;="&amp;Consulta!$L$4,$G$6:$G758,"&lt;="&amp;Consulta!$L$5),""))</f>
        <v/>
      </c>
      <c r="L758" s="48" t="str">
        <f aca="false">IF($D758="","",IF($D758=Consulta!$S$3,COUNTIF($D$6:$D758,Consulta!$S$3),""))</f>
        <v/>
      </c>
      <c r="M758" s="48" t="str">
        <f aca="false">IF($N758="","",IF(AND($N758='Comprovante DEV'!$D$6,$G758='Comprovante DEV'!$D$7),COUNTIFS($N$6:$N758,'Comprovante DEV'!$D$6,$G$6:$G758,'Comprovante DEV'!$D$7),""))</f>
        <v/>
      </c>
      <c r="N758" s="48" t="str">
        <f aca="false">IF($F758="","",IFERROR(VLOOKUP($F758,Apelidos_Tecnico!$A:$B,2,0),$F758))</f>
        <v/>
      </c>
    </row>
    <row r="759" customFormat="false" ht="15" hidden="false" customHeight="false" outlineLevel="0" collapsed="false">
      <c r="A759" s="25"/>
      <c r="B759" s="25"/>
      <c r="C759" s="26"/>
      <c r="D759" s="25"/>
      <c r="E759" s="25"/>
      <c r="F759" s="25"/>
      <c r="G759" s="27"/>
      <c r="H759" s="25"/>
      <c r="I759" s="26"/>
      <c r="J759" s="48" t="str">
        <f aca="false">IF($N759="","",IF(AND($N759=Consulta!$C$3,$G759&lt;&gt;"",$G759&gt;=Consulta!$C$4,$G759&lt;=Consulta!$C$5),COUNTIFS($N$6:$N759,Consulta!$C$3,$G$6:$G759,"&gt;="&amp;Consulta!$C$4,$G$6:$G759,"&lt;="&amp;Consulta!$C$5),""))</f>
        <v/>
      </c>
      <c r="K759" s="48" t="str">
        <f aca="false">IF($C759="","",IF(AND($C759=Consulta!$L$3,$G759&lt;&gt;"",$G759&gt;=Consulta!$L$4,$G759&lt;=Consulta!$L$5),COUNTIFS($C$6:$C759,Consulta!$L$3,$G$6:$G759,"&gt;="&amp;Consulta!$L$4,$G$6:$G759,"&lt;="&amp;Consulta!$L$5),""))</f>
        <v/>
      </c>
      <c r="L759" s="48" t="str">
        <f aca="false">IF($D759="","",IF($D759=Consulta!$S$3,COUNTIF($D$6:$D759,Consulta!$S$3),""))</f>
        <v/>
      </c>
      <c r="M759" s="48" t="str">
        <f aca="false">IF($N759="","",IF(AND($N759='Comprovante DEV'!$D$6,$G759='Comprovante DEV'!$D$7),COUNTIFS($N$6:$N759,'Comprovante DEV'!$D$6,$G$6:$G759,'Comprovante DEV'!$D$7),""))</f>
        <v/>
      </c>
      <c r="N759" s="48" t="str">
        <f aca="false">IF($F759="","",IFERROR(VLOOKUP($F759,Apelidos_Tecnico!$A:$B,2,0),$F759))</f>
        <v/>
      </c>
    </row>
    <row r="760" customFormat="false" ht="15" hidden="false" customHeight="false" outlineLevel="0" collapsed="false">
      <c r="A760" s="25"/>
      <c r="B760" s="25"/>
      <c r="C760" s="26"/>
      <c r="D760" s="25"/>
      <c r="E760" s="25"/>
      <c r="F760" s="25"/>
      <c r="G760" s="27"/>
      <c r="H760" s="25"/>
      <c r="I760" s="26"/>
      <c r="J760" s="48" t="str">
        <f aca="false">IF($N760="","",IF(AND($N760=Consulta!$C$3,$G760&lt;&gt;"",$G760&gt;=Consulta!$C$4,$G760&lt;=Consulta!$C$5),COUNTIFS($N$6:$N760,Consulta!$C$3,$G$6:$G760,"&gt;="&amp;Consulta!$C$4,$G$6:$G760,"&lt;="&amp;Consulta!$C$5),""))</f>
        <v/>
      </c>
      <c r="K760" s="48" t="str">
        <f aca="false">IF($C760="","",IF(AND($C760=Consulta!$L$3,$G760&lt;&gt;"",$G760&gt;=Consulta!$L$4,$G760&lt;=Consulta!$L$5),COUNTIFS($C$6:$C760,Consulta!$L$3,$G$6:$G760,"&gt;="&amp;Consulta!$L$4,$G$6:$G760,"&lt;="&amp;Consulta!$L$5),""))</f>
        <v/>
      </c>
      <c r="L760" s="48" t="str">
        <f aca="false">IF($D760="","",IF($D760=Consulta!$S$3,COUNTIF($D$6:$D760,Consulta!$S$3),""))</f>
        <v/>
      </c>
      <c r="M760" s="48" t="str">
        <f aca="false">IF($N760="","",IF(AND($N760='Comprovante DEV'!$D$6,$G760='Comprovante DEV'!$D$7),COUNTIFS($N$6:$N760,'Comprovante DEV'!$D$6,$G$6:$G760,'Comprovante DEV'!$D$7),""))</f>
        <v/>
      </c>
      <c r="N760" s="48" t="str">
        <f aca="false">IF($F760="","",IFERROR(VLOOKUP($F760,Apelidos_Tecnico!$A:$B,2,0),$F760))</f>
        <v/>
      </c>
    </row>
    <row r="761" customFormat="false" ht="15" hidden="false" customHeight="false" outlineLevel="0" collapsed="false">
      <c r="A761" s="25"/>
      <c r="B761" s="25"/>
      <c r="C761" s="26"/>
      <c r="D761" s="25"/>
      <c r="E761" s="25"/>
      <c r="F761" s="25"/>
      <c r="G761" s="27"/>
      <c r="H761" s="25"/>
      <c r="I761" s="26"/>
      <c r="J761" s="48" t="str">
        <f aca="false">IF($N761="","",IF(AND($N761=Consulta!$C$3,$G761&lt;&gt;"",$G761&gt;=Consulta!$C$4,$G761&lt;=Consulta!$C$5),COUNTIFS($N$6:$N761,Consulta!$C$3,$G$6:$G761,"&gt;="&amp;Consulta!$C$4,$G$6:$G761,"&lt;="&amp;Consulta!$C$5),""))</f>
        <v/>
      </c>
      <c r="K761" s="48" t="str">
        <f aca="false">IF($C761="","",IF(AND($C761=Consulta!$L$3,$G761&lt;&gt;"",$G761&gt;=Consulta!$L$4,$G761&lt;=Consulta!$L$5),COUNTIFS($C$6:$C761,Consulta!$L$3,$G$6:$G761,"&gt;="&amp;Consulta!$L$4,$G$6:$G761,"&lt;="&amp;Consulta!$L$5),""))</f>
        <v/>
      </c>
      <c r="L761" s="48" t="str">
        <f aca="false">IF($D761="","",IF($D761=Consulta!$S$3,COUNTIF($D$6:$D761,Consulta!$S$3),""))</f>
        <v/>
      </c>
      <c r="M761" s="48" t="str">
        <f aca="false">IF($N761="","",IF(AND($N761='Comprovante DEV'!$D$6,$G761='Comprovante DEV'!$D$7),COUNTIFS($N$6:$N761,'Comprovante DEV'!$D$6,$G$6:$G761,'Comprovante DEV'!$D$7),""))</f>
        <v/>
      </c>
      <c r="N761" s="48" t="str">
        <f aca="false">IF($F761="","",IFERROR(VLOOKUP($F761,Apelidos_Tecnico!$A:$B,2,0),$F761))</f>
        <v/>
      </c>
    </row>
    <row r="762" customFormat="false" ht="15" hidden="false" customHeight="false" outlineLevel="0" collapsed="false">
      <c r="A762" s="25"/>
      <c r="B762" s="25"/>
      <c r="C762" s="26"/>
      <c r="D762" s="25"/>
      <c r="E762" s="25"/>
      <c r="F762" s="25"/>
      <c r="G762" s="27"/>
      <c r="H762" s="25"/>
      <c r="I762" s="26"/>
      <c r="J762" s="48" t="str">
        <f aca="false">IF($N762="","",IF(AND($N762=Consulta!$C$3,$G762&lt;&gt;"",$G762&gt;=Consulta!$C$4,$G762&lt;=Consulta!$C$5),COUNTIFS($N$6:$N762,Consulta!$C$3,$G$6:$G762,"&gt;="&amp;Consulta!$C$4,$G$6:$G762,"&lt;="&amp;Consulta!$C$5),""))</f>
        <v/>
      </c>
      <c r="K762" s="48" t="str">
        <f aca="false">IF($C762="","",IF(AND($C762=Consulta!$L$3,$G762&lt;&gt;"",$G762&gt;=Consulta!$L$4,$G762&lt;=Consulta!$L$5),COUNTIFS($C$6:$C762,Consulta!$L$3,$G$6:$G762,"&gt;="&amp;Consulta!$L$4,$G$6:$G762,"&lt;="&amp;Consulta!$L$5),""))</f>
        <v/>
      </c>
      <c r="L762" s="48" t="str">
        <f aca="false">IF($D762="","",IF($D762=Consulta!$S$3,COUNTIF($D$6:$D762,Consulta!$S$3),""))</f>
        <v/>
      </c>
      <c r="M762" s="48" t="str">
        <f aca="false">IF($N762="","",IF(AND($N762='Comprovante DEV'!$D$6,$G762='Comprovante DEV'!$D$7),COUNTIFS($N$6:$N762,'Comprovante DEV'!$D$6,$G$6:$G762,'Comprovante DEV'!$D$7),""))</f>
        <v/>
      </c>
      <c r="N762" s="48" t="str">
        <f aca="false">IF($F762="","",IFERROR(VLOOKUP($F762,Apelidos_Tecnico!$A:$B,2,0),$F762))</f>
        <v/>
      </c>
    </row>
    <row r="763" customFormat="false" ht="15" hidden="false" customHeight="false" outlineLevel="0" collapsed="false">
      <c r="A763" s="25"/>
      <c r="B763" s="25"/>
      <c r="C763" s="26"/>
      <c r="D763" s="25"/>
      <c r="E763" s="25"/>
      <c r="F763" s="25"/>
      <c r="G763" s="27"/>
      <c r="H763" s="25"/>
      <c r="I763" s="26"/>
      <c r="J763" s="48" t="str">
        <f aca="false">IF($N763="","",IF(AND($N763=Consulta!$C$3,$G763&lt;&gt;"",$G763&gt;=Consulta!$C$4,$G763&lt;=Consulta!$C$5),COUNTIFS($N$6:$N763,Consulta!$C$3,$G$6:$G763,"&gt;="&amp;Consulta!$C$4,$G$6:$G763,"&lt;="&amp;Consulta!$C$5),""))</f>
        <v/>
      </c>
      <c r="K763" s="48" t="str">
        <f aca="false">IF($C763="","",IF(AND($C763=Consulta!$L$3,$G763&lt;&gt;"",$G763&gt;=Consulta!$L$4,$G763&lt;=Consulta!$L$5),COUNTIFS($C$6:$C763,Consulta!$L$3,$G$6:$G763,"&gt;="&amp;Consulta!$L$4,$G$6:$G763,"&lt;="&amp;Consulta!$L$5),""))</f>
        <v/>
      </c>
      <c r="L763" s="48" t="str">
        <f aca="false">IF($D763="","",IF($D763=Consulta!$S$3,COUNTIF($D$6:$D763,Consulta!$S$3),""))</f>
        <v/>
      </c>
      <c r="M763" s="48" t="str">
        <f aca="false">IF($N763="","",IF(AND($N763='Comprovante DEV'!$D$6,$G763='Comprovante DEV'!$D$7),COUNTIFS($N$6:$N763,'Comprovante DEV'!$D$6,$G$6:$G763,'Comprovante DEV'!$D$7),""))</f>
        <v/>
      </c>
      <c r="N763" s="48" t="str">
        <f aca="false">IF($F763="","",IFERROR(VLOOKUP($F763,Apelidos_Tecnico!$A:$B,2,0),$F763))</f>
        <v/>
      </c>
    </row>
    <row r="764" customFormat="false" ht="15" hidden="false" customHeight="false" outlineLevel="0" collapsed="false">
      <c r="A764" s="25"/>
      <c r="B764" s="25"/>
      <c r="C764" s="26"/>
      <c r="D764" s="25"/>
      <c r="E764" s="25"/>
      <c r="F764" s="25"/>
      <c r="G764" s="27"/>
      <c r="H764" s="25"/>
      <c r="I764" s="26"/>
      <c r="J764" s="48" t="str">
        <f aca="false">IF($N764="","",IF(AND($N764=Consulta!$C$3,$G764&lt;&gt;"",$G764&gt;=Consulta!$C$4,$G764&lt;=Consulta!$C$5),COUNTIFS($N$6:$N764,Consulta!$C$3,$G$6:$G764,"&gt;="&amp;Consulta!$C$4,$G$6:$G764,"&lt;="&amp;Consulta!$C$5),""))</f>
        <v/>
      </c>
      <c r="K764" s="48" t="str">
        <f aca="false">IF($C764="","",IF(AND($C764=Consulta!$L$3,$G764&lt;&gt;"",$G764&gt;=Consulta!$L$4,$G764&lt;=Consulta!$L$5),COUNTIFS($C$6:$C764,Consulta!$L$3,$G$6:$G764,"&gt;="&amp;Consulta!$L$4,$G$6:$G764,"&lt;="&amp;Consulta!$L$5),""))</f>
        <v/>
      </c>
      <c r="L764" s="48" t="str">
        <f aca="false">IF($D764="","",IF($D764=Consulta!$S$3,COUNTIF($D$6:$D764,Consulta!$S$3),""))</f>
        <v/>
      </c>
      <c r="M764" s="48" t="str">
        <f aca="false">IF($N764="","",IF(AND($N764='Comprovante DEV'!$D$6,$G764='Comprovante DEV'!$D$7),COUNTIFS($N$6:$N764,'Comprovante DEV'!$D$6,$G$6:$G764,'Comprovante DEV'!$D$7),""))</f>
        <v/>
      </c>
      <c r="N764" s="48" t="str">
        <f aca="false">IF($F764="","",IFERROR(VLOOKUP($F764,Apelidos_Tecnico!$A:$B,2,0),$F764))</f>
        <v/>
      </c>
    </row>
    <row r="765" customFormat="false" ht="15" hidden="false" customHeight="false" outlineLevel="0" collapsed="false">
      <c r="A765" s="25"/>
      <c r="B765" s="25"/>
      <c r="C765" s="26"/>
      <c r="D765" s="25"/>
      <c r="E765" s="25"/>
      <c r="F765" s="25"/>
      <c r="G765" s="27"/>
      <c r="H765" s="25"/>
      <c r="I765" s="26"/>
      <c r="J765" s="48" t="str">
        <f aca="false">IF($N765="","",IF(AND($N765=Consulta!$C$3,$G765&lt;&gt;"",$G765&gt;=Consulta!$C$4,$G765&lt;=Consulta!$C$5),COUNTIFS($N$6:$N765,Consulta!$C$3,$G$6:$G765,"&gt;="&amp;Consulta!$C$4,$G$6:$G765,"&lt;="&amp;Consulta!$C$5),""))</f>
        <v/>
      </c>
      <c r="K765" s="48" t="str">
        <f aca="false">IF($C765="","",IF(AND($C765=Consulta!$L$3,$G765&lt;&gt;"",$G765&gt;=Consulta!$L$4,$G765&lt;=Consulta!$L$5),COUNTIFS($C$6:$C765,Consulta!$L$3,$G$6:$G765,"&gt;="&amp;Consulta!$L$4,$G$6:$G765,"&lt;="&amp;Consulta!$L$5),""))</f>
        <v/>
      </c>
      <c r="L765" s="48" t="str">
        <f aca="false">IF($D765="","",IF($D765=Consulta!$S$3,COUNTIF($D$6:$D765,Consulta!$S$3),""))</f>
        <v/>
      </c>
      <c r="M765" s="48" t="str">
        <f aca="false">IF($N765="","",IF(AND($N765='Comprovante DEV'!$D$6,$G765='Comprovante DEV'!$D$7),COUNTIFS($N$6:$N765,'Comprovante DEV'!$D$6,$G$6:$G765,'Comprovante DEV'!$D$7),""))</f>
        <v/>
      </c>
      <c r="N765" s="48" t="str">
        <f aca="false">IF($F765="","",IFERROR(VLOOKUP($F765,Apelidos_Tecnico!$A:$B,2,0),$F765))</f>
        <v/>
      </c>
    </row>
    <row r="766" customFormat="false" ht="15" hidden="false" customHeight="false" outlineLevel="0" collapsed="false">
      <c r="A766" s="25"/>
      <c r="B766" s="25"/>
      <c r="C766" s="26"/>
      <c r="D766" s="25"/>
      <c r="E766" s="25"/>
      <c r="F766" s="25"/>
      <c r="G766" s="27"/>
      <c r="H766" s="25"/>
      <c r="I766" s="26"/>
      <c r="J766" s="48" t="str">
        <f aca="false">IF($N766="","",IF(AND($N766=Consulta!$C$3,$G766&lt;&gt;"",$G766&gt;=Consulta!$C$4,$G766&lt;=Consulta!$C$5),COUNTIFS($N$6:$N766,Consulta!$C$3,$G$6:$G766,"&gt;="&amp;Consulta!$C$4,$G$6:$G766,"&lt;="&amp;Consulta!$C$5),""))</f>
        <v/>
      </c>
      <c r="K766" s="48" t="str">
        <f aca="false">IF($C766="","",IF(AND($C766=Consulta!$L$3,$G766&lt;&gt;"",$G766&gt;=Consulta!$L$4,$G766&lt;=Consulta!$L$5),COUNTIFS($C$6:$C766,Consulta!$L$3,$G$6:$G766,"&gt;="&amp;Consulta!$L$4,$G$6:$G766,"&lt;="&amp;Consulta!$L$5),""))</f>
        <v/>
      </c>
      <c r="L766" s="48" t="str">
        <f aca="false">IF($D766="","",IF($D766=Consulta!$S$3,COUNTIF($D$6:$D766,Consulta!$S$3),""))</f>
        <v/>
      </c>
      <c r="M766" s="48" t="str">
        <f aca="false">IF($N766="","",IF(AND($N766='Comprovante DEV'!$D$6,$G766='Comprovante DEV'!$D$7),COUNTIFS($N$6:$N766,'Comprovante DEV'!$D$6,$G$6:$G766,'Comprovante DEV'!$D$7),""))</f>
        <v/>
      </c>
      <c r="N766" s="48" t="str">
        <f aca="false">IF($F766="","",IFERROR(VLOOKUP($F766,Apelidos_Tecnico!$A:$B,2,0),$F766))</f>
        <v/>
      </c>
    </row>
    <row r="767" customFormat="false" ht="15" hidden="false" customHeight="false" outlineLevel="0" collapsed="false">
      <c r="A767" s="25"/>
      <c r="B767" s="25"/>
      <c r="C767" s="26"/>
      <c r="D767" s="25"/>
      <c r="E767" s="25"/>
      <c r="F767" s="25"/>
      <c r="G767" s="27"/>
      <c r="H767" s="25"/>
      <c r="I767" s="26"/>
      <c r="J767" s="48" t="str">
        <f aca="false">IF($N767="","",IF(AND($N767=Consulta!$C$3,$G767&lt;&gt;"",$G767&gt;=Consulta!$C$4,$G767&lt;=Consulta!$C$5),COUNTIFS($N$6:$N767,Consulta!$C$3,$G$6:$G767,"&gt;="&amp;Consulta!$C$4,$G$6:$G767,"&lt;="&amp;Consulta!$C$5),""))</f>
        <v/>
      </c>
      <c r="K767" s="48" t="str">
        <f aca="false">IF($C767="","",IF(AND($C767=Consulta!$L$3,$G767&lt;&gt;"",$G767&gt;=Consulta!$L$4,$G767&lt;=Consulta!$L$5),COUNTIFS($C$6:$C767,Consulta!$L$3,$G$6:$G767,"&gt;="&amp;Consulta!$L$4,$G$6:$G767,"&lt;="&amp;Consulta!$L$5),""))</f>
        <v/>
      </c>
      <c r="L767" s="48" t="str">
        <f aca="false">IF($D767="","",IF($D767=Consulta!$S$3,COUNTIF($D$6:$D767,Consulta!$S$3),""))</f>
        <v/>
      </c>
      <c r="M767" s="48" t="str">
        <f aca="false">IF($N767="","",IF(AND($N767='Comprovante DEV'!$D$6,$G767='Comprovante DEV'!$D$7),COUNTIFS($N$6:$N767,'Comprovante DEV'!$D$6,$G$6:$G767,'Comprovante DEV'!$D$7),""))</f>
        <v/>
      </c>
      <c r="N767" s="48" t="str">
        <f aca="false">IF($F767="","",IFERROR(VLOOKUP($F767,Apelidos_Tecnico!$A:$B,2,0),$F767))</f>
        <v/>
      </c>
    </row>
    <row r="768" customFormat="false" ht="15" hidden="false" customHeight="false" outlineLevel="0" collapsed="false">
      <c r="A768" s="25"/>
      <c r="B768" s="25"/>
      <c r="C768" s="26"/>
      <c r="D768" s="25"/>
      <c r="E768" s="25"/>
      <c r="F768" s="25"/>
      <c r="G768" s="27"/>
      <c r="H768" s="25"/>
      <c r="I768" s="26"/>
      <c r="J768" s="48" t="str">
        <f aca="false">IF($N768="","",IF(AND($N768=Consulta!$C$3,$G768&lt;&gt;"",$G768&gt;=Consulta!$C$4,$G768&lt;=Consulta!$C$5),COUNTIFS($N$6:$N768,Consulta!$C$3,$G$6:$G768,"&gt;="&amp;Consulta!$C$4,$G$6:$G768,"&lt;="&amp;Consulta!$C$5),""))</f>
        <v/>
      </c>
      <c r="K768" s="48" t="str">
        <f aca="false">IF($C768="","",IF(AND($C768=Consulta!$L$3,$G768&lt;&gt;"",$G768&gt;=Consulta!$L$4,$G768&lt;=Consulta!$L$5),COUNTIFS($C$6:$C768,Consulta!$L$3,$G$6:$G768,"&gt;="&amp;Consulta!$L$4,$G$6:$G768,"&lt;="&amp;Consulta!$L$5),""))</f>
        <v/>
      </c>
      <c r="L768" s="48" t="str">
        <f aca="false">IF($D768="","",IF($D768=Consulta!$S$3,COUNTIF($D$6:$D768,Consulta!$S$3),""))</f>
        <v/>
      </c>
      <c r="M768" s="48" t="str">
        <f aca="false">IF($N768="","",IF(AND($N768='Comprovante DEV'!$D$6,$G768='Comprovante DEV'!$D$7),COUNTIFS($N$6:$N768,'Comprovante DEV'!$D$6,$G$6:$G768,'Comprovante DEV'!$D$7),""))</f>
        <v/>
      </c>
      <c r="N768" s="48" t="str">
        <f aca="false">IF($F768="","",IFERROR(VLOOKUP($F768,Apelidos_Tecnico!$A:$B,2,0),$F768))</f>
        <v/>
      </c>
    </row>
    <row r="769" customFormat="false" ht="15" hidden="false" customHeight="false" outlineLevel="0" collapsed="false">
      <c r="A769" s="25"/>
      <c r="B769" s="25"/>
      <c r="C769" s="26"/>
      <c r="D769" s="25"/>
      <c r="E769" s="25"/>
      <c r="F769" s="25"/>
      <c r="G769" s="27"/>
      <c r="H769" s="25"/>
      <c r="I769" s="26"/>
      <c r="J769" s="48" t="str">
        <f aca="false">IF($N769="","",IF(AND($N769=Consulta!$C$3,$G769&lt;&gt;"",$G769&gt;=Consulta!$C$4,$G769&lt;=Consulta!$C$5),COUNTIFS($N$6:$N769,Consulta!$C$3,$G$6:$G769,"&gt;="&amp;Consulta!$C$4,$G$6:$G769,"&lt;="&amp;Consulta!$C$5),""))</f>
        <v/>
      </c>
      <c r="K769" s="48" t="str">
        <f aca="false">IF($C769="","",IF(AND($C769=Consulta!$L$3,$G769&lt;&gt;"",$G769&gt;=Consulta!$L$4,$G769&lt;=Consulta!$L$5),COUNTIFS($C$6:$C769,Consulta!$L$3,$G$6:$G769,"&gt;="&amp;Consulta!$L$4,$G$6:$G769,"&lt;="&amp;Consulta!$L$5),""))</f>
        <v/>
      </c>
      <c r="L769" s="48" t="str">
        <f aca="false">IF($D769="","",IF($D769=Consulta!$S$3,COUNTIF($D$6:$D769,Consulta!$S$3),""))</f>
        <v/>
      </c>
      <c r="M769" s="48" t="str">
        <f aca="false">IF($N769="","",IF(AND($N769='Comprovante DEV'!$D$6,$G769='Comprovante DEV'!$D$7),COUNTIFS($N$6:$N769,'Comprovante DEV'!$D$6,$G$6:$G769,'Comprovante DEV'!$D$7),""))</f>
        <v/>
      </c>
      <c r="N769" s="48" t="str">
        <f aca="false">IF($F769="","",IFERROR(VLOOKUP($F769,Apelidos_Tecnico!$A:$B,2,0),$F769))</f>
        <v/>
      </c>
    </row>
    <row r="770" customFormat="false" ht="15" hidden="false" customHeight="false" outlineLevel="0" collapsed="false">
      <c r="A770" s="25"/>
      <c r="B770" s="25"/>
      <c r="C770" s="26"/>
      <c r="D770" s="25"/>
      <c r="E770" s="25"/>
      <c r="F770" s="25"/>
      <c r="G770" s="27"/>
      <c r="H770" s="25"/>
      <c r="I770" s="26"/>
      <c r="J770" s="48" t="str">
        <f aca="false">IF($N770="","",IF(AND($N770=Consulta!$C$3,$G770&lt;&gt;"",$G770&gt;=Consulta!$C$4,$G770&lt;=Consulta!$C$5),COUNTIFS($N$6:$N770,Consulta!$C$3,$G$6:$G770,"&gt;="&amp;Consulta!$C$4,$G$6:$G770,"&lt;="&amp;Consulta!$C$5),""))</f>
        <v/>
      </c>
      <c r="K770" s="48" t="str">
        <f aca="false">IF($C770="","",IF(AND($C770=Consulta!$L$3,$G770&lt;&gt;"",$G770&gt;=Consulta!$L$4,$G770&lt;=Consulta!$L$5),COUNTIFS($C$6:$C770,Consulta!$L$3,$G$6:$G770,"&gt;="&amp;Consulta!$L$4,$G$6:$G770,"&lt;="&amp;Consulta!$L$5),""))</f>
        <v/>
      </c>
      <c r="L770" s="48" t="str">
        <f aca="false">IF($D770="","",IF($D770=Consulta!$S$3,COUNTIF($D$6:$D770,Consulta!$S$3),""))</f>
        <v/>
      </c>
      <c r="M770" s="48" t="str">
        <f aca="false">IF($N770="","",IF(AND($N770='Comprovante DEV'!$D$6,$G770='Comprovante DEV'!$D$7),COUNTIFS($N$6:$N770,'Comprovante DEV'!$D$6,$G$6:$G770,'Comprovante DEV'!$D$7),""))</f>
        <v/>
      </c>
      <c r="N770" s="48" t="str">
        <f aca="false">IF($F770="","",IFERROR(VLOOKUP($F770,Apelidos_Tecnico!$A:$B,2,0),$F770))</f>
        <v/>
      </c>
    </row>
    <row r="771" customFormat="false" ht="15" hidden="false" customHeight="false" outlineLevel="0" collapsed="false">
      <c r="A771" s="25"/>
      <c r="B771" s="25"/>
      <c r="C771" s="26"/>
      <c r="D771" s="25"/>
      <c r="E771" s="25"/>
      <c r="F771" s="25"/>
      <c r="G771" s="27"/>
      <c r="H771" s="25"/>
      <c r="I771" s="26"/>
      <c r="J771" s="48" t="str">
        <f aca="false">IF($N771="","",IF(AND($N771=Consulta!$C$3,$G771&lt;&gt;"",$G771&gt;=Consulta!$C$4,$G771&lt;=Consulta!$C$5),COUNTIFS($N$6:$N771,Consulta!$C$3,$G$6:$G771,"&gt;="&amp;Consulta!$C$4,$G$6:$G771,"&lt;="&amp;Consulta!$C$5),""))</f>
        <v/>
      </c>
      <c r="K771" s="48" t="str">
        <f aca="false">IF($C771="","",IF(AND($C771=Consulta!$L$3,$G771&lt;&gt;"",$G771&gt;=Consulta!$L$4,$G771&lt;=Consulta!$L$5),COUNTIFS($C$6:$C771,Consulta!$L$3,$G$6:$G771,"&gt;="&amp;Consulta!$L$4,$G$6:$G771,"&lt;="&amp;Consulta!$L$5),""))</f>
        <v/>
      </c>
      <c r="L771" s="48" t="str">
        <f aca="false">IF($D771="","",IF($D771=Consulta!$S$3,COUNTIF($D$6:$D771,Consulta!$S$3),""))</f>
        <v/>
      </c>
      <c r="M771" s="48" t="str">
        <f aca="false">IF($N771="","",IF(AND($N771='Comprovante DEV'!$D$6,$G771='Comprovante DEV'!$D$7),COUNTIFS($N$6:$N771,'Comprovante DEV'!$D$6,$G$6:$G771,'Comprovante DEV'!$D$7),""))</f>
        <v/>
      </c>
      <c r="N771" s="48" t="str">
        <f aca="false">IF($F771="","",IFERROR(VLOOKUP($F771,Apelidos_Tecnico!$A:$B,2,0),$F771))</f>
        <v/>
      </c>
    </row>
    <row r="772" customFormat="false" ht="15" hidden="false" customHeight="false" outlineLevel="0" collapsed="false">
      <c r="A772" s="25"/>
      <c r="B772" s="25"/>
      <c r="C772" s="26"/>
      <c r="D772" s="25"/>
      <c r="E772" s="25"/>
      <c r="F772" s="25"/>
      <c r="G772" s="27"/>
      <c r="H772" s="25"/>
      <c r="I772" s="26"/>
      <c r="J772" s="48" t="str">
        <f aca="false">IF($N772="","",IF(AND($N772=Consulta!$C$3,$G772&lt;&gt;"",$G772&gt;=Consulta!$C$4,$G772&lt;=Consulta!$C$5),COUNTIFS($N$6:$N772,Consulta!$C$3,$G$6:$G772,"&gt;="&amp;Consulta!$C$4,$G$6:$G772,"&lt;="&amp;Consulta!$C$5),""))</f>
        <v/>
      </c>
      <c r="K772" s="48" t="str">
        <f aca="false">IF($C772="","",IF(AND($C772=Consulta!$L$3,$G772&lt;&gt;"",$G772&gt;=Consulta!$L$4,$G772&lt;=Consulta!$L$5),COUNTIFS($C$6:$C772,Consulta!$L$3,$G$6:$G772,"&gt;="&amp;Consulta!$L$4,$G$6:$G772,"&lt;="&amp;Consulta!$L$5),""))</f>
        <v/>
      </c>
      <c r="L772" s="48" t="str">
        <f aca="false">IF($D772="","",IF($D772=Consulta!$S$3,COUNTIF($D$6:$D772,Consulta!$S$3),""))</f>
        <v/>
      </c>
      <c r="M772" s="48" t="str">
        <f aca="false">IF($N772="","",IF(AND($N772='Comprovante DEV'!$D$6,$G772='Comprovante DEV'!$D$7),COUNTIFS($N$6:$N772,'Comprovante DEV'!$D$6,$G$6:$G772,'Comprovante DEV'!$D$7),""))</f>
        <v/>
      </c>
      <c r="N772" s="48" t="str">
        <f aca="false">IF($F772="","",IFERROR(VLOOKUP($F772,Apelidos_Tecnico!$A:$B,2,0),$F772))</f>
        <v/>
      </c>
    </row>
    <row r="773" customFormat="false" ht="15" hidden="false" customHeight="false" outlineLevel="0" collapsed="false">
      <c r="A773" s="25"/>
      <c r="B773" s="25"/>
      <c r="C773" s="26"/>
      <c r="D773" s="25"/>
      <c r="E773" s="25"/>
      <c r="F773" s="25"/>
      <c r="G773" s="27"/>
      <c r="H773" s="25"/>
      <c r="I773" s="26"/>
      <c r="J773" s="48" t="str">
        <f aca="false">IF($N773="","",IF(AND($N773=Consulta!$C$3,$G773&lt;&gt;"",$G773&gt;=Consulta!$C$4,$G773&lt;=Consulta!$C$5),COUNTIFS($N$6:$N773,Consulta!$C$3,$G$6:$G773,"&gt;="&amp;Consulta!$C$4,$G$6:$G773,"&lt;="&amp;Consulta!$C$5),""))</f>
        <v/>
      </c>
      <c r="K773" s="48" t="str">
        <f aca="false">IF($C773="","",IF(AND($C773=Consulta!$L$3,$G773&lt;&gt;"",$G773&gt;=Consulta!$L$4,$G773&lt;=Consulta!$L$5),COUNTIFS($C$6:$C773,Consulta!$L$3,$G$6:$G773,"&gt;="&amp;Consulta!$L$4,$G$6:$G773,"&lt;="&amp;Consulta!$L$5),""))</f>
        <v/>
      </c>
      <c r="L773" s="48" t="str">
        <f aca="false">IF($D773="","",IF($D773=Consulta!$S$3,COUNTIF($D$6:$D773,Consulta!$S$3),""))</f>
        <v/>
      </c>
      <c r="M773" s="48" t="str">
        <f aca="false">IF($N773="","",IF(AND($N773='Comprovante DEV'!$D$6,$G773='Comprovante DEV'!$D$7),COUNTIFS($N$6:$N773,'Comprovante DEV'!$D$6,$G$6:$G773,'Comprovante DEV'!$D$7),""))</f>
        <v/>
      </c>
      <c r="N773" s="48" t="str">
        <f aca="false">IF($F773="","",IFERROR(VLOOKUP($F773,Apelidos_Tecnico!$A:$B,2,0),$F773))</f>
        <v/>
      </c>
    </row>
    <row r="774" customFormat="false" ht="15" hidden="false" customHeight="false" outlineLevel="0" collapsed="false">
      <c r="A774" s="25"/>
      <c r="B774" s="25"/>
      <c r="C774" s="26"/>
      <c r="D774" s="25"/>
      <c r="E774" s="25"/>
      <c r="F774" s="25"/>
      <c r="G774" s="27"/>
      <c r="H774" s="25"/>
      <c r="I774" s="26"/>
      <c r="J774" s="48" t="str">
        <f aca="false">IF($N774="","",IF(AND($N774=Consulta!$C$3,$G774&lt;&gt;"",$G774&gt;=Consulta!$C$4,$G774&lt;=Consulta!$C$5),COUNTIFS($N$6:$N774,Consulta!$C$3,$G$6:$G774,"&gt;="&amp;Consulta!$C$4,$G$6:$G774,"&lt;="&amp;Consulta!$C$5),""))</f>
        <v/>
      </c>
      <c r="K774" s="48" t="str">
        <f aca="false">IF($C774="","",IF(AND($C774=Consulta!$L$3,$G774&lt;&gt;"",$G774&gt;=Consulta!$L$4,$G774&lt;=Consulta!$L$5),COUNTIFS($C$6:$C774,Consulta!$L$3,$G$6:$G774,"&gt;="&amp;Consulta!$L$4,$G$6:$G774,"&lt;="&amp;Consulta!$L$5),""))</f>
        <v/>
      </c>
      <c r="L774" s="48" t="str">
        <f aca="false">IF($D774="","",IF($D774=Consulta!$S$3,COUNTIF($D$6:$D774,Consulta!$S$3),""))</f>
        <v/>
      </c>
      <c r="M774" s="48" t="str">
        <f aca="false">IF($N774="","",IF(AND($N774='Comprovante DEV'!$D$6,$G774='Comprovante DEV'!$D$7),COUNTIFS($N$6:$N774,'Comprovante DEV'!$D$6,$G$6:$G774,'Comprovante DEV'!$D$7),""))</f>
        <v/>
      </c>
      <c r="N774" s="48" t="str">
        <f aca="false">IF($F774="","",IFERROR(VLOOKUP($F774,Apelidos_Tecnico!$A:$B,2,0),$F774))</f>
        <v/>
      </c>
    </row>
    <row r="775" customFormat="false" ht="15" hidden="false" customHeight="false" outlineLevel="0" collapsed="false">
      <c r="A775" s="25"/>
      <c r="B775" s="25"/>
      <c r="C775" s="26"/>
      <c r="D775" s="25"/>
      <c r="E775" s="25"/>
      <c r="F775" s="25"/>
      <c r="G775" s="27"/>
      <c r="H775" s="25"/>
      <c r="I775" s="26"/>
      <c r="J775" s="48" t="str">
        <f aca="false">IF($N775="","",IF(AND($N775=Consulta!$C$3,$G775&lt;&gt;"",$G775&gt;=Consulta!$C$4,$G775&lt;=Consulta!$C$5),COUNTIFS($N$6:$N775,Consulta!$C$3,$G$6:$G775,"&gt;="&amp;Consulta!$C$4,$G$6:$G775,"&lt;="&amp;Consulta!$C$5),""))</f>
        <v/>
      </c>
      <c r="K775" s="48" t="str">
        <f aca="false">IF($C775="","",IF(AND($C775=Consulta!$L$3,$G775&lt;&gt;"",$G775&gt;=Consulta!$L$4,$G775&lt;=Consulta!$L$5),COUNTIFS($C$6:$C775,Consulta!$L$3,$G$6:$G775,"&gt;="&amp;Consulta!$L$4,$G$6:$G775,"&lt;="&amp;Consulta!$L$5),""))</f>
        <v/>
      </c>
      <c r="L775" s="48" t="str">
        <f aca="false">IF($D775="","",IF($D775=Consulta!$S$3,COUNTIF($D$6:$D775,Consulta!$S$3),""))</f>
        <v/>
      </c>
      <c r="M775" s="48" t="str">
        <f aca="false">IF($N775="","",IF(AND($N775='Comprovante DEV'!$D$6,$G775='Comprovante DEV'!$D$7),COUNTIFS($N$6:$N775,'Comprovante DEV'!$D$6,$G$6:$G775,'Comprovante DEV'!$D$7),""))</f>
        <v/>
      </c>
      <c r="N775" s="48" t="str">
        <f aca="false">IF($F775="","",IFERROR(VLOOKUP($F775,Apelidos_Tecnico!$A:$B,2,0),$F775))</f>
        <v/>
      </c>
    </row>
    <row r="776" customFormat="false" ht="15" hidden="false" customHeight="false" outlineLevel="0" collapsed="false">
      <c r="A776" s="25"/>
      <c r="B776" s="25"/>
      <c r="C776" s="26"/>
      <c r="D776" s="25"/>
      <c r="E776" s="25"/>
      <c r="F776" s="25"/>
      <c r="G776" s="27"/>
      <c r="H776" s="25"/>
      <c r="I776" s="26"/>
      <c r="J776" s="48" t="str">
        <f aca="false">IF($N776="","",IF(AND($N776=Consulta!$C$3,$G776&lt;&gt;"",$G776&gt;=Consulta!$C$4,$G776&lt;=Consulta!$C$5),COUNTIFS($N$6:$N776,Consulta!$C$3,$G$6:$G776,"&gt;="&amp;Consulta!$C$4,$G$6:$G776,"&lt;="&amp;Consulta!$C$5),""))</f>
        <v/>
      </c>
      <c r="K776" s="48" t="str">
        <f aca="false">IF($C776="","",IF(AND($C776=Consulta!$L$3,$G776&lt;&gt;"",$G776&gt;=Consulta!$L$4,$G776&lt;=Consulta!$L$5),COUNTIFS($C$6:$C776,Consulta!$L$3,$G$6:$G776,"&gt;="&amp;Consulta!$L$4,$G$6:$G776,"&lt;="&amp;Consulta!$L$5),""))</f>
        <v/>
      </c>
      <c r="L776" s="48" t="str">
        <f aca="false">IF($D776="","",IF($D776=Consulta!$S$3,COUNTIF($D$6:$D776,Consulta!$S$3),""))</f>
        <v/>
      </c>
      <c r="M776" s="48" t="str">
        <f aca="false">IF($N776="","",IF(AND($N776='Comprovante DEV'!$D$6,$G776='Comprovante DEV'!$D$7),COUNTIFS($N$6:$N776,'Comprovante DEV'!$D$6,$G$6:$G776,'Comprovante DEV'!$D$7),""))</f>
        <v/>
      </c>
      <c r="N776" s="48" t="str">
        <f aca="false">IF($F776="","",IFERROR(VLOOKUP($F776,Apelidos_Tecnico!$A:$B,2,0),$F776))</f>
        <v/>
      </c>
    </row>
    <row r="777" customFormat="false" ht="15" hidden="false" customHeight="false" outlineLevel="0" collapsed="false">
      <c r="A777" s="25"/>
      <c r="B777" s="25"/>
      <c r="C777" s="26"/>
      <c r="D777" s="25"/>
      <c r="E777" s="25"/>
      <c r="F777" s="25"/>
      <c r="G777" s="27"/>
      <c r="H777" s="25"/>
      <c r="I777" s="26"/>
      <c r="J777" s="48" t="str">
        <f aca="false">IF($N777="","",IF(AND($N777=Consulta!$C$3,$G777&lt;&gt;"",$G777&gt;=Consulta!$C$4,$G777&lt;=Consulta!$C$5),COUNTIFS($N$6:$N777,Consulta!$C$3,$G$6:$G777,"&gt;="&amp;Consulta!$C$4,$G$6:$G777,"&lt;="&amp;Consulta!$C$5),""))</f>
        <v/>
      </c>
      <c r="K777" s="48" t="str">
        <f aca="false">IF($C777="","",IF(AND($C777=Consulta!$L$3,$G777&lt;&gt;"",$G777&gt;=Consulta!$L$4,$G777&lt;=Consulta!$L$5),COUNTIFS($C$6:$C777,Consulta!$L$3,$G$6:$G777,"&gt;="&amp;Consulta!$L$4,$G$6:$G777,"&lt;="&amp;Consulta!$L$5),""))</f>
        <v/>
      </c>
      <c r="L777" s="48" t="str">
        <f aca="false">IF($D777="","",IF($D777=Consulta!$S$3,COUNTIF($D$6:$D777,Consulta!$S$3),""))</f>
        <v/>
      </c>
      <c r="M777" s="48" t="str">
        <f aca="false">IF($N777="","",IF(AND($N777='Comprovante DEV'!$D$6,$G777='Comprovante DEV'!$D$7),COUNTIFS($N$6:$N777,'Comprovante DEV'!$D$6,$G$6:$G777,'Comprovante DEV'!$D$7),""))</f>
        <v/>
      </c>
      <c r="N777" s="48" t="str">
        <f aca="false">IF($F777="","",IFERROR(VLOOKUP($F777,Apelidos_Tecnico!$A:$B,2,0),$F777))</f>
        <v/>
      </c>
    </row>
    <row r="778" customFormat="false" ht="15" hidden="false" customHeight="false" outlineLevel="0" collapsed="false">
      <c r="A778" s="25"/>
      <c r="B778" s="25"/>
      <c r="C778" s="26"/>
      <c r="D778" s="25"/>
      <c r="E778" s="25"/>
      <c r="F778" s="25"/>
      <c r="G778" s="27"/>
      <c r="H778" s="25"/>
      <c r="I778" s="26"/>
      <c r="J778" s="48" t="str">
        <f aca="false">IF($N778="","",IF(AND($N778=Consulta!$C$3,$G778&lt;&gt;"",$G778&gt;=Consulta!$C$4,$G778&lt;=Consulta!$C$5),COUNTIFS($N$6:$N778,Consulta!$C$3,$G$6:$G778,"&gt;="&amp;Consulta!$C$4,$G$6:$G778,"&lt;="&amp;Consulta!$C$5),""))</f>
        <v/>
      </c>
      <c r="K778" s="48" t="str">
        <f aca="false">IF($C778="","",IF(AND($C778=Consulta!$L$3,$G778&lt;&gt;"",$G778&gt;=Consulta!$L$4,$G778&lt;=Consulta!$L$5),COUNTIFS($C$6:$C778,Consulta!$L$3,$G$6:$G778,"&gt;="&amp;Consulta!$L$4,$G$6:$G778,"&lt;="&amp;Consulta!$L$5),""))</f>
        <v/>
      </c>
      <c r="L778" s="48" t="str">
        <f aca="false">IF($D778="","",IF($D778=Consulta!$S$3,COUNTIF($D$6:$D778,Consulta!$S$3),""))</f>
        <v/>
      </c>
      <c r="M778" s="48" t="str">
        <f aca="false">IF($N778="","",IF(AND($N778='Comprovante DEV'!$D$6,$G778='Comprovante DEV'!$D$7),COUNTIFS($N$6:$N778,'Comprovante DEV'!$D$6,$G$6:$G778,'Comprovante DEV'!$D$7),""))</f>
        <v/>
      </c>
      <c r="N778" s="48" t="str">
        <f aca="false">IF($F778="","",IFERROR(VLOOKUP($F778,Apelidos_Tecnico!$A:$B,2,0),$F778))</f>
        <v/>
      </c>
    </row>
    <row r="779" customFormat="false" ht="15" hidden="false" customHeight="false" outlineLevel="0" collapsed="false">
      <c r="A779" s="25"/>
      <c r="B779" s="25"/>
      <c r="C779" s="26"/>
      <c r="D779" s="25"/>
      <c r="E779" s="25"/>
      <c r="F779" s="25"/>
      <c r="G779" s="27"/>
      <c r="H779" s="25"/>
      <c r="I779" s="26"/>
      <c r="J779" s="48" t="str">
        <f aca="false">IF($N779="","",IF(AND($N779=Consulta!$C$3,$G779&lt;&gt;"",$G779&gt;=Consulta!$C$4,$G779&lt;=Consulta!$C$5),COUNTIFS($N$6:$N779,Consulta!$C$3,$G$6:$G779,"&gt;="&amp;Consulta!$C$4,$G$6:$G779,"&lt;="&amp;Consulta!$C$5),""))</f>
        <v/>
      </c>
      <c r="K779" s="48" t="str">
        <f aca="false">IF($C779="","",IF(AND($C779=Consulta!$L$3,$G779&lt;&gt;"",$G779&gt;=Consulta!$L$4,$G779&lt;=Consulta!$L$5),COUNTIFS($C$6:$C779,Consulta!$L$3,$G$6:$G779,"&gt;="&amp;Consulta!$L$4,$G$6:$G779,"&lt;="&amp;Consulta!$L$5),""))</f>
        <v/>
      </c>
      <c r="L779" s="48" t="str">
        <f aca="false">IF($D779="","",IF($D779=Consulta!$S$3,COUNTIF($D$6:$D779,Consulta!$S$3),""))</f>
        <v/>
      </c>
      <c r="M779" s="48" t="str">
        <f aca="false">IF($N779="","",IF(AND($N779='Comprovante DEV'!$D$6,$G779='Comprovante DEV'!$D$7),COUNTIFS($N$6:$N779,'Comprovante DEV'!$D$6,$G$6:$G779,'Comprovante DEV'!$D$7),""))</f>
        <v/>
      </c>
      <c r="N779" s="48" t="str">
        <f aca="false">IF($F779="","",IFERROR(VLOOKUP($F779,Apelidos_Tecnico!$A:$B,2,0),$F779))</f>
        <v/>
      </c>
    </row>
    <row r="780" customFormat="false" ht="15" hidden="false" customHeight="false" outlineLevel="0" collapsed="false">
      <c r="A780" s="25"/>
      <c r="B780" s="25"/>
      <c r="C780" s="26"/>
      <c r="D780" s="25"/>
      <c r="E780" s="25"/>
      <c r="F780" s="25"/>
      <c r="G780" s="27"/>
      <c r="H780" s="25"/>
      <c r="I780" s="26"/>
      <c r="J780" s="48" t="str">
        <f aca="false">IF($N780="","",IF(AND($N780=Consulta!$C$3,$G780&lt;&gt;"",$G780&gt;=Consulta!$C$4,$G780&lt;=Consulta!$C$5),COUNTIFS($N$6:$N780,Consulta!$C$3,$G$6:$G780,"&gt;="&amp;Consulta!$C$4,$G$6:$G780,"&lt;="&amp;Consulta!$C$5),""))</f>
        <v/>
      </c>
      <c r="K780" s="48" t="str">
        <f aca="false">IF($C780="","",IF(AND($C780=Consulta!$L$3,$G780&lt;&gt;"",$G780&gt;=Consulta!$L$4,$G780&lt;=Consulta!$L$5),COUNTIFS($C$6:$C780,Consulta!$L$3,$G$6:$G780,"&gt;="&amp;Consulta!$L$4,$G$6:$G780,"&lt;="&amp;Consulta!$L$5),""))</f>
        <v/>
      </c>
      <c r="L780" s="48" t="str">
        <f aca="false">IF($D780="","",IF($D780=Consulta!$S$3,COUNTIF($D$6:$D780,Consulta!$S$3),""))</f>
        <v/>
      </c>
      <c r="M780" s="48" t="str">
        <f aca="false">IF($N780="","",IF(AND($N780='Comprovante DEV'!$D$6,$G780='Comprovante DEV'!$D$7),COUNTIFS($N$6:$N780,'Comprovante DEV'!$D$6,$G$6:$G780,'Comprovante DEV'!$D$7),""))</f>
        <v/>
      </c>
      <c r="N780" s="48" t="str">
        <f aca="false">IF($F780="","",IFERROR(VLOOKUP($F780,Apelidos_Tecnico!$A:$B,2,0),$F780))</f>
        <v/>
      </c>
    </row>
    <row r="781" customFormat="false" ht="15" hidden="false" customHeight="false" outlineLevel="0" collapsed="false">
      <c r="A781" s="25"/>
      <c r="B781" s="25"/>
      <c r="C781" s="26"/>
      <c r="D781" s="25"/>
      <c r="E781" s="25"/>
      <c r="F781" s="25"/>
      <c r="G781" s="27"/>
      <c r="H781" s="25"/>
      <c r="I781" s="26"/>
      <c r="J781" s="48" t="str">
        <f aca="false">IF($N781="","",IF(AND($N781=Consulta!$C$3,$G781&lt;&gt;"",$G781&gt;=Consulta!$C$4,$G781&lt;=Consulta!$C$5),COUNTIFS($N$6:$N781,Consulta!$C$3,$G$6:$G781,"&gt;="&amp;Consulta!$C$4,$G$6:$G781,"&lt;="&amp;Consulta!$C$5),""))</f>
        <v/>
      </c>
      <c r="K781" s="48" t="str">
        <f aca="false">IF($C781="","",IF(AND($C781=Consulta!$L$3,$G781&lt;&gt;"",$G781&gt;=Consulta!$L$4,$G781&lt;=Consulta!$L$5),COUNTIFS($C$6:$C781,Consulta!$L$3,$G$6:$G781,"&gt;="&amp;Consulta!$L$4,$G$6:$G781,"&lt;="&amp;Consulta!$L$5),""))</f>
        <v/>
      </c>
      <c r="L781" s="48" t="str">
        <f aca="false">IF($D781="","",IF($D781=Consulta!$S$3,COUNTIF($D$6:$D781,Consulta!$S$3),""))</f>
        <v/>
      </c>
      <c r="M781" s="48" t="str">
        <f aca="false">IF($N781="","",IF(AND($N781='Comprovante DEV'!$D$6,$G781='Comprovante DEV'!$D$7),COUNTIFS($N$6:$N781,'Comprovante DEV'!$D$6,$G$6:$G781,'Comprovante DEV'!$D$7),""))</f>
        <v/>
      </c>
      <c r="N781" s="48" t="str">
        <f aca="false">IF($F781="","",IFERROR(VLOOKUP($F781,Apelidos_Tecnico!$A:$B,2,0),$F781))</f>
        <v/>
      </c>
    </row>
    <row r="782" customFormat="false" ht="15" hidden="false" customHeight="false" outlineLevel="0" collapsed="false">
      <c r="A782" s="25"/>
      <c r="B782" s="25"/>
      <c r="C782" s="26"/>
      <c r="D782" s="25"/>
      <c r="E782" s="25"/>
      <c r="F782" s="25"/>
      <c r="G782" s="27"/>
      <c r="H782" s="25"/>
      <c r="I782" s="26"/>
      <c r="J782" s="48" t="str">
        <f aca="false">IF($N782="","",IF(AND($N782=Consulta!$C$3,$G782&lt;&gt;"",$G782&gt;=Consulta!$C$4,$G782&lt;=Consulta!$C$5),COUNTIFS($N$6:$N782,Consulta!$C$3,$G$6:$G782,"&gt;="&amp;Consulta!$C$4,$G$6:$G782,"&lt;="&amp;Consulta!$C$5),""))</f>
        <v/>
      </c>
      <c r="K782" s="48" t="str">
        <f aca="false">IF($C782="","",IF(AND($C782=Consulta!$L$3,$G782&lt;&gt;"",$G782&gt;=Consulta!$L$4,$G782&lt;=Consulta!$L$5),COUNTIFS($C$6:$C782,Consulta!$L$3,$G$6:$G782,"&gt;="&amp;Consulta!$L$4,$G$6:$G782,"&lt;="&amp;Consulta!$L$5),""))</f>
        <v/>
      </c>
      <c r="L782" s="48" t="str">
        <f aca="false">IF($D782="","",IF($D782=Consulta!$S$3,COUNTIF($D$6:$D782,Consulta!$S$3),""))</f>
        <v/>
      </c>
      <c r="M782" s="48" t="str">
        <f aca="false">IF($N782="","",IF(AND($N782='Comprovante DEV'!$D$6,$G782='Comprovante DEV'!$D$7),COUNTIFS($N$6:$N782,'Comprovante DEV'!$D$6,$G$6:$G782,'Comprovante DEV'!$D$7),""))</f>
        <v/>
      </c>
      <c r="N782" s="48" t="str">
        <f aca="false">IF($F782="","",IFERROR(VLOOKUP($F782,Apelidos_Tecnico!$A:$B,2,0),$F782))</f>
        <v/>
      </c>
    </row>
    <row r="783" customFormat="false" ht="15" hidden="false" customHeight="false" outlineLevel="0" collapsed="false">
      <c r="A783" s="25"/>
      <c r="B783" s="25"/>
      <c r="C783" s="26"/>
      <c r="D783" s="25"/>
      <c r="E783" s="25"/>
      <c r="F783" s="25"/>
      <c r="G783" s="27"/>
      <c r="H783" s="25"/>
      <c r="I783" s="26"/>
      <c r="J783" s="48" t="str">
        <f aca="false">IF($N783="","",IF(AND($N783=Consulta!$C$3,$G783&lt;&gt;"",$G783&gt;=Consulta!$C$4,$G783&lt;=Consulta!$C$5),COUNTIFS($N$6:$N783,Consulta!$C$3,$G$6:$G783,"&gt;="&amp;Consulta!$C$4,$G$6:$G783,"&lt;="&amp;Consulta!$C$5),""))</f>
        <v/>
      </c>
      <c r="K783" s="48" t="str">
        <f aca="false">IF($C783="","",IF(AND($C783=Consulta!$L$3,$G783&lt;&gt;"",$G783&gt;=Consulta!$L$4,$G783&lt;=Consulta!$L$5),COUNTIFS($C$6:$C783,Consulta!$L$3,$G$6:$G783,"&gt;="&amp;Consulta!$L$4,$G$6:$G783,"&lt;="&amp;Consulta!$L$5),""))</f>
        <v/>
      </c>
      <c r="L783" s="48" t="str">
        <f aca="false">IF($D783="","",IF($D783=Consulta!$S$3,COUNTIF($D$6:$D783,Consulta!$S$3),""))</f>
        <v/>
      </c>
      <c r="M783" s="48" t="str">
        <f aca="false">IF($N783="","",IF(AND($N783='Comprovante DEV'!$D$6,$G783='Comprovante DEV'!$D$7),COUNTIFS($N$6:$N783,'Comprovante DEV'!$D$6,$G$6:$G783,'Comprovante DEV'!$D$7),""))</f>
        <v/>
      </c>
      <c r="N783" s="48" t="str">
        <f aca="false">IF($F783="","",IFERROR(VLOOKUP($F783,Apelidos_Tecnico!$A:$B,2,0),$F783))</f>
        <v/>
      </c>
    </row>
    <row r="784" customFormat="false" ht="15" hidden="false" customHeight="false" outlineLevel="0" collapsed="false">
      <c r="A784" s="25"/>
      <c r="B784" s="25"/>
      <c r="C784" s="26"/>
      <c r="D784" s="25"/>
      <c r="E784" s="25"/>
      <c r="F784" s="25"/>
      <c r="G784" s="27"/>
      <c r="H784" s="25"/>
      <c r="I784" s="26"/>
      <c r="J784" s="48" t="str">
        <f aca="false">IF($N784="","",IF(AND($N784=Consulta!$C$3,$G784&lt;&gt;"",$G784&gt;=Consulta!$C$4,$G784&lt;=Consulta!$C$5),COUNTIFS($N$6:$N784,Consulta!$C$3,$G$6:$G784,"&gt;="&amp;Consulta!$C$4,$G$6:$G784,"&lt;="&amp;Consulta!$C$5),""))</f>
        <v/>
      </c>
      <c r="K784" s="48" t="str">
        <f aca="false">IF($C784="","",IF(AND($C784=Consulta!$L$3,$G784&lt;&gt;"",$G784&gt;=Consulta!$L$4,$G784&lt;=Consulta!$L$5),COUNTIFS($C$6:$C784,Consulta!$L$3,$G$6:$G784,"&gt;="&amp;Consulta!$L$4,$G$6:$G784,"&lt;="&amp;Consulta!$L$5),""))</f>
        <v/>
      </c>
      <c r="L784" s="48" t="str">
        <f aca="false">IF($D784="","",IF($D784=Consulta!$S$3,COUNTIF($D$6:$D784,Consulta!$S$3),""))</f>
        <v/>
      </c>
      <c r="M784" s="48" t="str">
        <f aca="false">IF($N784="","",IF(AND($N784='Comprovante DEV'!$D$6,$G784='Comprovante DEV'!$D$7),COUNTIFS($N$6:$N784,'Comprovante DEV'!$D$6,$G$6:$G784,'Comprovante DEV'!$D$7),""))</f>
        <v/>
      </c>
      <c r="N784" s="48" t="str">
        <f aca="false">IF($F784="","",IFERROR(VLOOKUP($F784,Apelidos_Tecnico!$A:$B,2,0),$F784))</f>
        <v/>
      </c>
    </row>
    <row r="785" customFormat="false" ht="15" hidden="false" customHeight="false" outlineLevel="0" collapsed="false">
      <c r="A785" s="25"/>
      <c r="B785" s="25"/>
      <c r="C785" s="26"/>
      <c r="D785" s="25"/>
      <c r="E785" s="25"/>
      <c r="F785" s="25"/>
      <c r="G785" s="27"/>
      <c r="H785" s="25"/>
      <c r="I785" s="26"/>
      <c r="J785" s="48" t="str">
        <f aca="false">IF($N785="","",IF(AND($N785=Consulta!$C$3,$G785&lt;&gt;"",$G785&gt;=Consulta!$C$4,$G785&lt;=Consulta!$C$5),COUNTIFS($N$6:$N785,Consulta!$C$3,$G$6:$G785,"&gt;="&amp;Consulta!$C$4,$G$6:$G785,"&lt;="&amp;Consulta!$C$5),""))</f>
        <v/>
      </c>
      <c r="K785" s="48" t="str">
        <f aca="false">IF($C785="","",IF(AND($C785=Consulta!$L$3,$G785&lt;&gt;"",$G785&gt;=Consulta!$L$4,$G785&lt;=Consulta!$L$5),COUNTIFS($C$6:$C785,Consulta!$L$3,$G$6:$G785,"&gt;="&amp;Consulta!$L$4,$G$6:$G785,"&lt;="&amp;Consulta!$L$5),""))</f>
        <v/>
      </c>
      <c r="L785" s="48" t="str">
        <f aca="false">IF($D785="","",IF($D785=Consulta!$S$3,COUNTIF($D$6:$D785,Consulta!$S$3),""))</f>
        <v/>
      </c>
      <c r="M785" s="48" t="str">
        <f aca="false">IF($N785="","",IF(AND($N785='Comprovante DEV'!$D$6,$G785='Comprovante DEV'!$D$7),COUNTIFS($N$6:$N785,'Comprovante DEV'!$D$6,$G$6:$G785,'Comprovante DEV'!$D$7),""))</f>
        <v/>
      </c>
      <c r="N785" s="48" t="str">
        <f aca="false">IF($F785="","",IFERROR(VLOOKUP($F785,Apelidos_Tecnico!$A:$B,2,0),$F785))</f>
        <v/>
      </c>
    </row>
    <row r="786" customFormat="false" ht="15" hidden="false" customHeight="false" outlineLevel="0" collapsed="false">
      <c r="A786" s="25"/>
      <c r="B786" s="25"/>
      <c r="C786" s="26"/>
      <c r="D786" s="25"/>
      <c r="E786" s="25"/>
      <c r="F786" s="25"/>
      <c r="G786" s="27"/>
      <c r="H786" s="25"/>
      <c r="I786" s="26"/>
      <c r="J786" s="48" t="str">
        <f aca="false">IF($N786="","",IF(AND($N786=Consulta!$C$3,$G786&lt;&gt;"",$G786&gt;=Consulta!$C$4,$G786&lt;=Consulta!$C$5),COUNTIFS($N$6:$N786,Consulta!$C$3,$G$6:$G786,"&gt;="&amp;Consulta!$C$4,$G$6:$G786,"&lt;="&amp;Consulta!$C$5),""))</f>
        <v/>
      </c>
      <c r="K786" s="48" t="str">
        <f aca="false">IF($C786="","",IF(AND($C786=Consulta!$L$3,$G786&lt;&gt;"",$G786&gt;=Consulta!$L$4,$G786&lt;=Consulta!$L$5),COUNTIFS($C$6:$C786,Consulta!$L$3,$G$6:$G786,"&gt;="&amp;Consulta!$L$4,$G$6:$G786,"&lt;="&amp;Consulta!$L$5),""))</f>
        <v/>
      </c>
      <c r="L786" s="48" t="str">
        <f aca="false">IF($D786="","",IF($D786=Consulta!$S$3,COUNTIF($D$6:$D786,Consulta!$S$3),""))</f>
        <v/>
      </c>
      <c r="M786" s="48" t="str">
        <f aca="false">IF($N786="","",IF(AND($N786='Comprovante DEV'!$D$6,$G786='Comprovante DEV'!$D$7),COUNTIFS($N$6:$N786,'Comprovante DEV'!$D$6,$G$6:$G786,'Comprovante DEV'!$D$7),""))</f>
        <v/>
      </c>
      <c r="N786" s="48" t="str">
        <f aca="false">IF($F786="","",IFERROR(VLOOKUP($F786,Apelidos_Tecnico!$A:$B,2,0),$F786))</f>
        <v/>
      </c>
    </row>
    <row r="787" customFormat="false" ht="15" hidden="false" customHeight="false" outlineLevel="0" collapsed="false">
      <c r="A787" s="25"/>
      <c r="B787" s="25"/>
      <c r="C787" s="26"/>
      <c r="D787" s="25"/>
      <c r="E787" s="25"/>
      <c r="F787" s="25"/>
      <c r="G787" s="27"/>
      <c r="H787" s="25"/>
      <c r="I787" s="26"/>
      <c r="J787" s="48" t="str">
        <f aca="false">IF($N787="","",IF(AND($N787=Consulta!$C$3,$G787&lt;&gt;"",$G787&gt;=Consulta!$C$4,$G787&lt;=Consulta!$C$5),COUNTIFS($N$6:$N787,Consulta!$C$3,$G$6:$G787,"&gt;="&amp;Consulta!$C$4,$G$6:$G787,"&lt;="&amp;Consulta!$C$5),""))</f>
        <v/>
      </c>
      <c r="K787" s="48" t="str">
        <f aca="false">IF($C787="","",IF(AND($C787=Consulta!$L$3,$G787&lt;&gt;"",$G787&gt;=Consulta!$L$4,$G787&lt;=Consulta!$L$5),COUNTIFS($C$6:$C787,Consulta!$L$3,$G$6:$G787,"&gt;="&amp;Consulta!$L$4,$G$6:$G787,"&lt;="&amp;Consulta!$L$5),""))</f>
        <v/>
      </c>
      <c r="L787" s="48" t="str">
        <f aca="false">IF($D787="","",IF($D787=Consulta!$S$3,COUNTIF($D$6:$D787,Consulta!$S$3),""))</f>
        <v/>
      </c>
      <c r="M787" s="48" t="str">
        <f aca="false">IF($N787="","",IF(AND($N787='Comprovante DEV'!$D$6,$G787='Comprovante DEV'!$D$7),COUNTIFS($N$6:$N787,'Comprovante DEV'!$D$6,$G$6:$G787,'Comprovante DEV'!$D$7),""))</f>
        <v/>
      </c>
      <c r="N787" s="48" t="str">
        <f aca="false">IF($F787="","",IFERROR(VLOOKUP($F787,Apelidos_Tecnico!$A:$B,2,0),$F787))</f>
        <v/>
      </c>
    </row>
    <row r="788" customFormat="false" ht="15" hidden="false" customHeight="false" outlineLevel="0" collapsed="false">
      <c r="A788" s="25"/>
      <c r="B788" s="25"/>
      <c r="C788" s="26"/>
      <c r="D788" s="25"/>
      <c r="E788" s="25"/>
      <c r="F788" s="25"/>
      <c r="G788" s="27"/>
      <c r="H788" s="25"/>
      <c r="I788" s="26"/>
      <c r="J788" s="48" t="str">
        <f aca="false">IF($N788="","",IF(AND($N788=Consulta!$C$3,$G788&lt;&gt;"",$G788&gt;=Consulta!$C$4,$G788&lt;=Consulta!$C$5),COUNTIFS($N$6:$N788,Consulta!$C$3,$G$6:$G788,"&gt;="&amp;Consulta!$C$4,$G$6:$G788,"&lt;="&amp;Consulta!$C$5),""))</f>
        <v/>
      </c>
      <c r="K788" s="48" t="str">
        <f aca="false">IF($C788="","",IF(AND($C788=Consulta!$L$3,$G788&lt;&gt;"",$G788&gt;=Consulta!$L$4,$G788&lt;=Consulta!$L$5),COUNTIFS($C$6:$C788,Consulta!$L$3,$G$6:$G788,"&gt;="&amp;Consulta!$L$4,$G$6:$G788,"&lt;="&amp;Consulta!$L$5),""))</f>
        <v/>
      </c>
      <c r="L788" s="48" t="str">
        <f aca="false">IF($D788="","",IF($D788=Consulta!$S$3,COUNTIF($D$6:$D788,Consulta!$S$3),""))</f>
        <v/>
      </c>
      <c r="M788" s="48" t="str">
        <f aca="false">IF($N788="","",IF(AND($N788='Comprovante DEV'!$D$6,$G788='Comprovante DEV'!$D$7),COUNTIFS($N$6:$N788,'Comprovante DEV'!$D$6,$G$6:$G788,'Comprovante DEV'!$D$7),""))</f>
        <v/>
      </c>
      <c r="N788" s="48" t="str">
        <f aca="false">IF($F788="","",IFERROR(VLOOKUP($F788,Apelidos_Tecnico!$A:$B,2,0),$F788))</f>
        <v/>
      </c>
    </row>
    <row r="789" customFormat="false" ht="15" hidden="false" customHeight="false" outlineLevel="0" collapsed="false">
      <c r="A789" s="25"/>
      <c r="B789" s="25"/>
      <c r="C789" s="26"/>
      <c r="D789" s="25"/>
      <c r="E789" s="25"/>
      <c r="F789" s="25"/>
      <c r="G789" s="27"/>
      <c r="H789" s="25"/>
      <c r="I789" s="26"/>
      <c r="J789" s="48" t="str">
        <f aca="false">IF($N789="","",IF(AND($N789=Consulta!$C$3,$G789&lt;&gt;"",$G789&gt;=Consulta!$C$4,$G789&lt;=Consulta!$C$5),COUNTIFS($N$6:$N789,Consulta!$C$3,$G$6:$G789,"&gt;="&amp;Consulta!$C$4,$G$6:$G789,"&lt;="&amp;Consulta!$C$5),""))</f>
        <v/>
      </c>
      <c r="K789" s="48" t="str">
        <f aca="false">IF($C789="","",IF(AND($C789=Consulta!$L$3,$G789&lt;&gt;"",$G789&gt;=Consulta!$L$4,$G789&lt;=Consulta!$L$5),COUNTIFS($C$6:$C789,Consulta!$L$3,$G$6:$G789,"&gt;="&amp;Consulta!$L$4,$G$6:$G789,"&lt;="&amp;Consulta!$L$5),""))</f>
        <v/>
      </c>
      <c r="L789" s="48" t="str">
        <f aca="false">IF($D789="","",IF($D789=Consulta!$S$3,COUNTIF($D$6:$D789,Consulta!$S$3),""))</f>
        <v/>
      </c>
      <c r="M789" s="48" t="str">
        <f aca="false">IF($N789="","",IF(AND($N789='Comprovante DEV'!$D$6,$G789='Comprovante DEV'!$D$7),COUNTIFS($N$6:$N789,'Comprovante DEV'!$D$6,$G$6:$G789,'Comprovante DEV'!$D$7),""))</f>
        <v/>
      </c>
      <c r="N789" s="48" t="str">
        <f aca="false">IF($F789="","",IFERROR(VLOOKUP($F789,Apelidos_Tecnico!$A:$B,2,0),$F789))</f>
        <v/>
      </c>
    </row>
    <row r="790" customFormat="false" ht="15" hidden="false" customHeight="false" outlineLevel="0" collapsed="false">
      <c r="A790" s="25"/>
      <c r="B790" s="25"/>
      <c r="C790" s="26"/>
      <c r="D790" s="25"/>
      <c r="E790" s="25"/>
      <c r="F790" s="25"/>
      <c r="G790" s="27"/>
      <c r="H790" s="25"/>
      <c r="I790" s="26"/>
      <c r="J790" s="48" t="str">
        <f aca="false">IF($N790="","",IF(AND($N790=Consulta!$C$3,$G790&lt;&gt;"",$G790&gt;=Consulta!$C$4,$G790&lt;=Consulta!$C$5),COUNTIFS($N$6:$N790,Consulta!$C$3,$G$6:$G790,"&gt;="&amp;Consulta!$C$4,$G$6:$G790,"&lt;="&amp;Consulta!$C$5),""))</f>
        <v/>
      </c>
      <c r="K790" s="48" t="str">
        <f aca="false">IF($C790="","",IF(AND($C790=Consulta!$L$3,$G790&lt;&gt;"",$G790&gt;=Consulta!$L$4,$G790&lt;=Consulta!$L$5),COUNTIFS($C$6:$C790,Consulta!$L$3,$G$6:$G790,"&gt;="&amp;Consulta!$L$4,$G$6:$G790,"&lt;="&amp;Consulta!$L$5),""))</f>
        <v/>
      </c>
      <c r="L790" s="48" t="str">
        <f aca="false">IF($D790="","",IF($D790=Consulta!$S$3,COUNTIF($D$6:$D790,Consulta!$S$3),""))</f>
        <v/>
      </c>
      <c r="M790" s="48" t="str">
        <f aca="false">IF($N790="","",IF(AND($N790='Comprovante DEV'!$D$6,$G790='Comprovante DEV'!$D$7),COUNTIFS($N$6:$N790,'Comprovante DEV'!$D$6,$G$6:$G790,'Comprovante DEV'!$D$7),""))</f>
        <v/>
      </c>
      <c r="N790" s="48" t="str">
        <f aca="false">IF($F790="","",IFERROR(VLOOKUP($F790,Apelidos_Tecnico!$A:$B,2,0),$F790))</f>
        <v/>
      </c>
    </row>
    <row r="791" customFormat="false" ht="15" hidden="false" customHeight="false" outlineLevel="0" collapsed="false">
      <c r="A791" s="25"/>
      <c r="B791" s="25"/>
      <c r="C791" s="26"/>
      <c r="D791" s="25"/>
      <c r="E791" s="25"/>
      <c r="F791" s="25"/>
      <c r="G791" s="27"/>
      <c r="H791" s="25"/>
      <c r="I791" s="26"/>
      <c r="J791" s="48" t="str">
        <f aca="false">IF($N791="","",IF(AND($N791=Consulta!$C$3,$G791&lt;&gt;"",$G791&gt;=Consulta!$C$4,$G791&lt;=Consulta!$C$5),COUNTIFS($N$6:$N791,Consulta!$C$3,$G$6:$G791,"&gt;="&amp;Consulta!$C$4,$G$6:$G791,"&lt;="&amp;Consulta!$C$5),""))</f>
        <v/>
      </c>
      <c r="K791" s="48" t="str">
        <f aca="false">IF($C791="","",IF(AND($C791=Consulta!$L$3,$G791&lt;&gt;"",$G791&gt;=Consulta!$L$4,$G791&lt;=Consulta!$L$5),COUNTIFS($C$6:$C791,Consulta!$L$3,$G$6:$G791,"&gt;="&amp;Consulta!$L$4,$G$6:$G791,"&lt;="&amp;Consulta!$L$5),""))</f>
        <v/>
      </c>
      <c r="L791" s="48" t="str">
        <f aca="false">IF($D791="","",IF($D791=Consulta!$S$3,COUNTIF($D$6:$D791,Consulta!$S$3),""))</f>
        <v/>
      </c>
      <c r="M791" s="48" t="str">
        <f aca="false">IF($N791="","",IF(AND($N791='Comprovante DEV'!$D$6,$G791='Comprovante DEV'!$D$7),COUNTIFS($N$6:$N791,'Comprovante DEV'!$D$6,$G$6:$G791,'Comprovante DEV'!$D$7),""))</f>
        <v/>
      </c>
      <c r="N791" s="48" t="str">
        <f aca="false">IF($F791="","",IFERROR(VLOOKUP($F791,Apelidos_Tecnico!$A:$B,2,0),$F791))</f>
        <v/>
      </c>
    </row>
    <row r="792" customFormat="false" ht="15" hidden="false" customHeight="false" outlineLevel="0" collapsed="false">
      <c r="A792" s="25"/>
      <c r="B792" s="25"/>
      <c r="C792" s="26"/>
      <c r="D792" s="25"/>
      <c r="E792" s="25"/>
      <c r="F792" s="25"/>
      <c r="G792" s="27"/>
      <c r="H792" s="25"/>
      <c r="I792" s="26"/>
      <c r="J792" s="48" t="str">
        <f aca="false">IF($N792="","",IF(AND($N792=Consulta!$C$3,$G792&lt;&gt;"",$G792&gt;=Consulta!$C$4,$G792&lt;=Consulta!$C$5),COUNTIFS($N$6:$N792,Consulta!$C$3,$G$6:$G792,"&gt;="&amp;Consulta!$C$4,$G$6:$G792,"&lt;="&amp;Consulta!$C$5),""))</f>
        <v/>
      </c>
      <c r="K792" s="48" t="str">
        <f aca="false">IF($C792="","",IF(AND($C792=Consulta!$L$3,$G792&lt;&gt;"",$G792&gt;=Consulta!$L$4,$G792&lt;=Consulta!$L$5),COUNTIFS($C$6:$C792,Consulta!$L$3,$G$6:$G792,"&gt;="&amp;Consulta!$L$4,$G$6:$G792,"&lt;="&amp;Consulta!$L$5),""))</f>
        <v/>
      </c>
      <c r="L792" s="48" t="str">
        <f aca="false">IF($D792="","",IF($D792=Consulta!$S$3,COUNTIF($D$6:$D792,Consulta!$S$3),""))</f>
        <v/>
      </c>
      <c r="M792" s="48" t="str">
        <f aca="false">IF($N792="","",IF(AND($N792='Comprovante DEV'!$D$6,$G792='Comprovante DEV'!$D$7),COUNTIFS($N$6:$N792,'Comprovante DEV'!$D$6,$G$6:$G792,'Comprovante DEV'!$D$7),""))</f>
        <v/>
      </c>
      <c r="N792" s="48" t="str">
        <f aca="false">IF($F792="","",IFERROR(VLOOKUP($F792,Apelidos_Tecnico!$A:$B,2,0),$F792))</f>
        <v/>
      </c>
    </row>
    <row r="793" customFormat="false" ht="15" hidden="false" customHeight="false" outlineLevel="0" collapsed="false">
      <c r="A793" s="25"/>
      <c r="B793" s="25"/>
      <c r="C793" s="26"/>
      <c r="D793" s="25"/>
      <c r="E793" s="25"/>
      <c r="F793" s="25"/>
      <c r="G793" s="27"/>
      <c r="H793" s="25"/>
      <c r="I793" s="26"/>
      <c r="J793" s="48" t="str">
        <f aca="false">IF($N793="","",IF(AND($N793=Consulta!$C$3,$G793&lt;&gt;"",$G793&gt;=Consulta!$C$4,$G793&lt;=Consulta!$C$5),COUNTIFS($N$6:$N793,Consulta!$C$3,$G$6:$G793,"&gt;="&amp;Consulta!$C$4,$G$6:$G793,"&lt;="&amp;Consulta!$C$5),""))</f>
        <v/>
      </c>
      <c r="K793" s="48" t="str">
        <f aca="false">IF($C793="","",IF(AND($C793=Consulta!$L$3,$G793&lt;&gt;"",$G793&gt;=Consulta!$L$4,$G793&lt;=Consulta!$L$5),COUNTIFS($C$6:$C793,Consulta!$L$3,$G$6:$G793,"&gt;="&amp;Consulta!$L$4,$G$6:$G793,"&lt;="&amp;Consulta!$L$5),""))</f>
        <v/>
      </c>
      <c r="L793" s="48" t="str">
        <f aca="false">IF($D793="","",IF($D793=Consulta!$S$3,COUNTIF($D$6:$D793,Consulta!$S$3),""))</f>
        <v/>
      </c>
      <c r="M793" s="48" t="str">
        <f aca="false">IF($N793="","",IF(AND($N793='Comprovante DEV'!$D$6,$G793='Comprovante DEV'!$D$7),COUNTIFS($N$6:$N793,'Comprovante DEV'!$D$6,$G$6:$G793,'Comprovante DEV'!$D$7),""))</f>
        <v/>
      </c>
      <c r="N793" s="48" t="str">
        <f aca="false">IF($F793="","",IFERROR(VLOOKUP($F793,Apelidos_Tecnico!$A:$B,2,0),$F793))</f>
        <v/>
      </c>
    </row>
    <row r="794" customFormat="false" ht="15" hidden="false" customHeight="false" outlineLevel="0" collapsed="false">
      <c r="A794" s="25"/>
      <c r="B794" s="25"/>
      <c r="C794" s="26"/>
      <c r="D794" s="25"/>
      <c r="E794" s="25"/>
      <c r="F794" s="25"/>
      <c r="G794" s="27"/>
      <c r="H794" s="25"/>
      <c r="I794" s="26"/>
      <c r="J794" s="48" t="str">
        <f aca="false">IF($N794="","",IF(AND($N794=Consulta!$C$3,$G794&lt;&gt;"",$G794&gt;=Consulta!$C$4,$G794&lt;=Consulta!$C$5),COUNTIFS($N$6:$N794,Consulta!$C$3,$G$6:$G794,"&gt;="&amp;Consulta!$C$4,$G$6:$G794,"&lt;="&amp;Consulta!$C$5),""))</f>
        <v/>
      </c>
      <c r="K794" s="48" t="str">
        <f aca="false">IF($C794="","",IF(AND($C794=Consulta!$L$3,$G794&lt;&gt;"",$G794&gt;=Consulta!$L$4,$G794&lt;=Consulta!$L$5),COUNTIFS($C$6:$C794,Consulta!$L$3,$G$6:$G794,"&gt;="&amp;Consulta!$L$4,$G$6:$G794,"&lt;="&amp;Consulta!$L$5),""))</f>
        <v/>
      </c>
      <c r="L794" s="48" t="str">
        <f aca="false">IF($D794="","",IF($D794=Consulta!$S$3,COUNTIF($D$6:$D794,Consulta!$S$3),""))</f>
        <v/>
      </c>
      <c r="M794" s="48" t="str">
        <f aca="false">IF($N794="","",IF(AND($N794='Comprovante DEV'!$D$6,$G794='Comprovante DEV'!$D$7),COUNTIFS($N$6:$N794,'Comprovante DEV'!$D$6,$G$6:$G794,'Comprovante DEV'!$D$7),""))</f>
        <v/>
      </c>
      <c r="N794" s="48" t="str">
        <f aca="false">IF($F794="","",IFERROR(VLOOKUP($F794,Apelidos_Tecnico!$A:$B,2,0),$F794))</f>
        <v/>
      </c>
    </row>
    <row r="795" customFormat="false" ht="15" hidden="false" customHeight="false" outlineLevel="0" collapsed="false">
      <c r="A795" s="25"/>
      <c r="B795" s="25"/>
      <c r="C795" s="26"/>
      <c r="D795" s="25"/>
      <c r="E795" s="25"/>
      <c r="F795" s="25"/>
      <c r="G795" s="27"/>
      <c r="H795" s="25"/>
      <c r="I795" s="26"/>
      <c r="J795" s="48" t="str">
        <f aca="false">IF($N795="","",IF(AND($N795=Consulta!$C$3,$G795&lt;&gt;"",$G795&gt;=Consulta!$C$4,$G795&lt;=Consulta!$C$5),COUNTIFS($N$6:$N795,Consulta!$C$3,$G$6:$G795,"&gt;="&amp;Consulta!$C$4,$G$6:$G795,"&lt;="&amp;Consulta!$C$5),""))</f>
        <v/>
      </c>
      <c r="K795" s="48" t="str">
        <f aca="false">IF($C795="","",IF(AND($C795=Consulta!$L$3,$G795&lt;&gt;"",$G795&gt;=Consulta!$L$4,$G795&lt;=Consulta!$L$5),COUNTIFS($C$6:$C795,Consulta!$L$3,$G$6:$G795,"&gt;="&amp;Consulta!$L$4,$G$6:$G795,"&lt;="&amp;Consulta!$L$5),""))</f>
        <v/>
      </c>
      <c r="L795" s="48" t="str">
        <f aca="false">IF($D795="","",IF($D795=Consulta!$S$3,COUNTIF($D$6:$D795,Consulta!$S$3),""))</f>
        <v/>
      </c>
      <c r="M795" s="48" t="str">
        <f aca="false">IF($N795="","",IF(AND($N795='Comprovante DEV'!$D$6,$G795='Comprovante DEV'!$D$7),COUNTIFS($N$6:$N795,'Comprovante DEV'!$D$6,$G$6:$G795,'Comprovante DEV'!$D$7),""))</f>
        <v/>
      </c>
      <c r="N795" s="48" t="str">
        <f aca="false">IF($F795="","",IFERROR(VLOOKUP($F795,Apelidos_Tecnico!$A:$B,2,0),$F795))</f>
        <v/>
      </c>
    </row>
    <row r="796" customFormat="false" ht="15" hidden="false" customHeight="false" outlineLevel="0" collapsed="false">
      <c r="A796" s="25"/>
      <c r="B796" s="25"/>
      <c r="C796" s="26"/>
      <c r="D796" s="25"/>
      <c r="E796" s="25"/>
      <c r="F796" s="25"/>
      <c r="G796" s="27"/>
      <c r="H796" s="25"/>
      <c r="I796" s="26"/>
      <c r="J796" s="48" t="str">
        <f aca="false">IF($N796="","",IF(AND($N796=Consulta!$C$3,$G796&lt;&gt;"",$G796&gt;=Consulta!$C$4,$G796&lt;=Consulta!$C$5),COUNTIFS($N$6:$N796,Consulta!$C$3,$G$6:$G796,"&gt;="&amp;Consulta!$C$4,$G$6:$G796,"&lt;="&amp;Consulta!$C$5),""))</f>
        <v/>
      </c>
      <c r="K796" s="48" t="str">
        <f aca="false">IF($C796="","",IF(AND($C796=Consulta!$L$3,$G796&lt;&gt;"",$G796&gt;=Consulta!$L$4,$G796&lt;=Consulta!$L$5),COUNTIFS($C$6:$C796,Consulta!$L$3,$G$6:$G796,"&gt;="&amp;Consulta!$L$4,$G$6:$G796,"&lt;="&amp;Consulta!$L$5),""))</f>
        <v/>
      </c>
      <c r="L796" s="48" t="str">
        <f aca="false">IF($D796="","",IF($D796=Consulta!$S$3,COUNTIF($D$6:$D796,Consulta!$S$3),""))</f>
        <v/>
      </c>
      <c r="M796" s="48" t="str">
        <f aca="false">IF($N796="","",IF(AND($N796='Comprovante DEV'!$D$6,$G796='Comprovante DEV'!$D$7),COUNTIFS($N$6:$N796,'Comprovante DEV'!$D$6,$G$6:$G796,'Comprovante DEV'!$D$7),""))</f>
        <v/>
      </c>
      <c r="N796" s="48" t="str">
        <f aca="false">IF($F796="","",IFERROR(VLOOKUP($F796,Apelidos_Tecnico!$A:$B,2,0),$F796))</f>
        <v/>
      </c>
    </row>
    <row r="797" customFormat="false" ht="15" hidden="false" customHeight="false" outlineLevel="0" collapsed="false">
      <c r="A797" s="25"/>
      <c r="B797" s="25"/>
      <c r="C797" s="26"/>
      <c r="D797" s="25"/>
      <c r="E797" s="25"/>
      <c r="F797" s="25"/>
      <c r="G797" s="27"/>
      <c r="H797" s="25"/>
      <c r="I797" s="26"/>
      <c r="J797" s="48" t="str">
        <f aca="false">IF($N797="","",IF(AND($N797=Consulta!$C$3,$G797&lt;&gt;"",$G797&gt;=Consulta!$C$4,$G797&lt;=Consulta!$C$5),COUNTIFS($N$6:$N797,Consulta!$C$3,$G$6:$G797,"&gt;="&amp;Consulta!$C$4,$G$6:$G797,"&lt;="&amp;Consulta!$C$5),""))</f>
        <v/>
      </c>
      <c r="K797" s="48" t="str">
        <f aca="false">IF($C797="","",IF(AND($C797=Consulta!$L$3,$G797&lt;&gt;"",$G797&gt;=Consulta!$L$4,$G797&lt;=Consulta!$L$5),COUNTIFS($C$6:$C797,Consulta!$L$3,$G$6:$G797,"&gt;="&amp;Consulta!$L$4,$G$6:$G797,"&lt;="&amp;Consulta!$L$5),""))</f>
        <v/>
      </c>
      <c r="L797" s="48" t="str">
        <f aca="false">IF($D797="","",IF($D797=Consulta!$S$3,COUNTIF($D$6:$D797,Consulta!$S$3),""))</f>
        <v/>
      </c>
      <c r="M797" s="48" t="str">
        <f aca="false">IF($N797="","",IF(AND($N797='Comprovante DEV'!$D$6,$G797='Comprovante DEV'!$D$7),COUNTIFS($N$6:$N797,'Comprovante DEV'!$D$6,$G$6:$G797,'Comprovante DEV'!$D$7),""))</f>
        <v/>
      </c>
      <c r="N797" s="48" t="str">
        <f aca="false">IF($F797="","",IFERROR(VLOOKUP($F797,Apelidos_Tecnico!$A:$B,2,0),$F797))</f>
        <v/>
      </c>
    </row>
    <row r="798" customFormat="false" ht="15" hidden="false" customHeight="false" outlineLevel="0" collapsed="false">
      <c r="A798" s="25"/>
      <c r="B798" s="25"/>
      <c r="C798" s="26"/>
      <c r="D798" s="25"/>
      <c r="E798" s="25"/>
      <c r="F798" s="25"/>
      <c r="G798" s="27"/>
      <c r="H798" s="25"/>
      <c r="I798" s="26"/>
      <c r="J798" s="48" t="str">
        <f aca="false">IF($N798="","",IF(AND($N798=Consulta!$C$3,$G798&lt;&gt;"",$G798&gt;=Consulta!$C$4,$G798&lt;=Consulta!$C$5),COUNTIFS($N$6:$N798,Consulta!$C$3,$G$6:$G798,"&gt;="&amp;Consulta!$C$4,$G$6:$G798,"&lt;="&amp;Consulta!$C$5),""))</f>
        <v/>
      </c>
      <c r="K798" s="48" t="str">
        <f aca="false">IF($C798="","",IF(AND($C798=Consulta!$L$3,$G798&lt;&gt;"",$G798&gt;=Consulta!$L$4,$G798&lt;=Consulta!$L$5),COUNTIFS($C$6:$C798,Consulta!$L$3,$G$6:$G798,"&gt;="&amp;Consulta!$L$4,$G$6:$G798,"&lt;="&amp;Consulta!$L$5),""))</f>
        <v/>
      </c>
      <c r="L798" s="48" t="str">
        <f aca="false">IF($D798="","",IF($D798=Consulta!$S$3,COUNTIF($D$6:$D798,Consulta!$S$3),""))</f>
        <v/>
      </c>
      <c r="M798" s="48" t="str">
        <f aca="false">IF($N798="","",IF(AND($N798='Comprovante DEV'!$D$6,$G798='Comprovante DEV'!$D$7),COUNTIFS($N$6:$N798,'Comprovante DEV'!$D$6,$G$6:$G798,'Comprovante DEV'!$D$7),""))</f>
        <v/>
      </c>
      <c r="N798" s="48" t="str">
        <f aca="false">IF($F798="","",IFERROR(VLOOKUP($F798,Apelidos_Tecnico!$A:$B,2,0),$F798))</f>
        <v/>
      </c>
    </row>
    <row r="799" customFormat="false" ht="15" hidden="false" customHeight="false" outlineLevel="0" collapsed="false">
      <c r="A799" s="25"/>
      <c r="B799" s="25"/>
      <c r="C799" s="26"/>
      <c r="D799" s="25"/>
      <c r="E799" s="25"/>
      <c r="F799" s="25"/>
      <c r="G799" s="27"/>
      <c r="H799" s="25"/>
      <c r="I799" s="26"/>
      <c r="J799" s="48" t="str">
        <f aca="false">IF($N799="","",IF(AND($N799=Consulta!$C$3,$G799&lt;&gt;"",$G799&gt;=Consulta!$C$4,$G799&lt;=Consulta!$C$5),COUNTIFS($N$6:$N799,Consulta!$C$3,$G$6:$G799,"&gt;="&amp;Consulta!$C$4,$G$6:$G799,"&lt;="&amp;Consulta!$C$5),""))</f>
        <v/>
      </c>
      <c r="K799" s="48" t="str">
        <f aca="false">IF($C799="","",IF(AND($C799=Consulta!$L$3,$G799&lt;&gt;"",$G799&gt;=Consulta!$L$4,$G799&lt;=Consulta!$L$5),COUNTIFS($C$6:$C799,Consulta!$L$3,$G$6:$G799,"&gt;="&amp;Consulta!$L$4,$G$6:$G799,"&lt;="&amp;Consulta!$L$5),""))</f>
        <v/>
      </c>
      <c r="L799" s="48" t="str">
        <f aca="false">IF($D799="","",IF($D799=Consulta!$S$3,COUNTIF($D$6:$D799,Consulta!$S$3),""))</f>
        <v/>
      </c>
      <c r="M799" s="48" t="str">
        <f aca="false">IF($N799="","",IF(AND($N799='Comprovante DEV'!$D$6,$G799='Comprovante DEV'!$D$7),COUNTIFS($N$6:$N799,'Comprovante DEV'!$D$6,$G$6:$G799,'Comprovante DEV'!$D$7),""))</f>
        <v/>
      </c>
      <c r="N799" s="48" t="str">
        <f aca="false">IF($F799="","",IFERROR(VLOOKUP($F799,Apelidos_Tecnico!$A:$B,2,0),$F799))</f>
        <v/>
      </c>
    </row>
    <row r="800" customFormat="false" ht="15" hidden="false" customHeight="false" outlineLevel="0" collapsed="false">
      <c r="A800" s="25"/>
      <c r="B800" s="25"/>
      <c r="C800" s="26"/>
      <c r="D800" s="25"/>
      <c r="E800" s="25"/>
      <c r="F800" s="25"/>
      <c r="G800" s="27"/>
      <c r="H800" s="25"/>
      <c r="I800" s="26"/>
      <c r="J800" s="48" t="str">
        <f aca="false">IF($N800="","",IF(AND($N800=Consulta!$C$3,$G800&lt;&gt;"",$G800&gt;=Consulta!$C$4,$G800&lt;=Consulta!$C$5),COUNTIFS($N$6:$N800,Consulta!$C$3,$G$6:$G800,"&gt;="&amp;Consulta!$C$4,$G$6:$G800,"&lt;="&amp;Consulta!$C$5),""))</f>
        <v/>
      </c>
      <c r="K800" s="48" t="str">
        <f aca="false">IF($C800="","",IF(AND($C800=Consulta!$L$3,$G800&lt;&gt;"",$G800&gt;=Consulta!$L$4,$G800&lt;=Consulta!$L$5),COUNTIFS($C$6:$C800,Consulta!$L$3,$G$6:$G800,"&gt;="&amp;Consulta!$L$4,$G$6:$G800,"&lt;="&amp;Consulta!$L$5),""))</f>
        <v/>
      </c>
      <c r="L800" s="48" t="str">
        <f aca="false">IF($D800="","",IF($D800=Consulta!$S$3,COUNTIF($D$6:$D800,Consulta!$S$3),""))</f>
        <v/>
      </c>
      <c r="M800" s="48" t="str">
        <f aca="false">IF($N800="","",IF(AND($N800='Comprovante DEV'!$D$6,$G800='Comprovante DEV'!$D$7),COUNTIFS($N$6:$N800,'Comprovante DEV'!$D$6,$G$6:$G800,'Comprovante DEV'!$D$7),""))</f>
        <v/>
      </c>
      <c r="N800" s="48" t="str">
        <f aca="false">IF($F800="","",IFERROR(VLOOKUP($F800,Apelidos_Tecnico!$A:$B,2,0),$F800))</f>
        <v/>
      </c>
    </row>
    <row r="801" customFormat="false" ht="15" hidden="false" customHeight="false" outlineLevel="0" collapsed="false">
      <c r="A801" s="25"/>
      <c r="B801" s="25"/>
      <c r="C801" s="26"/>
      <c r="D801" s="25"/>
      <c r="E801" s="25"/>
      <c r="F801" s="25"/>
      <c r="G801" s="27"/>
      <c r="H801" s="25"/>
      <c r="I801" s="26"/>
      <c r="J801" s="48" t="str">
        <f aca="false">IF($N801="","",IF(AND($N801=Consulta!$C$3,$G801&lt;&gt;"",$G801&gt;=Consulta!$C$4,$G801&lt;=Consulta!$C$5),COUNTIFS($N$6:$N801,Consulta!$C$3,$G$6:$G801,"&gt;="&amp;Consulta!$C$4,$G$6:$G801,"&lt;="&amp;Consulta!$C$5),""))</f>
        <v/>
      </c>
      <c r="K801" s="48" t="str">
        <f aca="false">IF($C801="","",IF(AND($C801=Consulta!$L$3,$G801&lt;&gt;"",$G801&gt;=Consulta!$L$4,$G801&lt;=Consulta!$L$5),COUNTIFS($C$6:$C801,Consulta!$L$3,$G$6:$G801,"&gt;="&amp;Consulta!$L$4,$G$6:$G801,"&lt;="&amp;Consulta!$L$5),""))</f>
        <v/>
      </c>
      <c r="L801" s="48" t="str">
        <f aca="false">IF($D801="","",IF($D801=Consulta!$S$3,COUNTIF($D$6:$D801,Consulta!$S$3),""))</f>
        <v/>
      </c>
      <c r="M801" s="48" t="str">
        <f aca="false">IF($N801="","",IF(AND($N801='Comprovante DEV'!$D$6,$G801='Comprovante DEV'!$D$7),COUNTIFS($N$6:$N801,'Comprovante DEV'!$D$6,$G$6:$G801,'Comprovante DEV'!$D$7),""))</f>
        <v/>
      </c>
      <c r="N801" s="48" t="str">
        <f aca="false">IF($F801="","",IFERROR(VLOOKUP($F801,Apelidos_Tecnico!$A:$B,2,0),$F801))</f>
        <v/>
      </c>
    </row>
    <row r="802" customFormat="false" ht="15" hidden="false" customHeight="false" outlineLevel="0" collapsed="false">
      <c r="A802" s="25"/>
      <c r="B802" s="25"/>
      <c r="C802" s="26"/>
      <c r="D802" s="25"/>
      <c r="E802" s="25"/>
      <c r="F802" s="25"/>
      <c r="G802" s="27"/>
      <c r="H802" s="25"/>
      <c r="I802" s="26"/>
      <c r="J802" s="48" t="str">
        <f aca="false">IF($N802="","",IF(AND($N802=Consulta!$C$3,$G802&lt;&gt;"",$G802&gt;=Consulta!$C$4,$G802&lt;=Consulta!$C$5),COUNTIFS($N$6:$N802,Consulta!$C$3,$G$6:$G802,"&gt;="&amp;Consulta!$C$4,$G$6:$G802,"&lt;="&amp;Consulta!$C$5),""))</f>
        <v/>
      </c>
      <c r="K802" s="48" t="str">
        <f aca="false">IF($C802="","",IF(AND($C802=Consulta!$L$3,$G802&lt;&gt;"",$G802&gt;=Consulta!$L$4,$G802&lt;=Consulta!$L$5),COUNTIFS($C$6:$C802,Consulta!$L$3,$G$6:$G802,"&gt;="&amp;Consulta!$L$4,$G$6:$G802,"&lt;="&amp;Consulta!$L$5),""))</f>
        <v/>
      </c>
      <c r="L802" s="48" t="str">
        <f aca="false">IF($D802="","",IF($D802=Consulta!$S$3,COUNTIF($D$6:$D802,Consulta!$S$3),""))</f>
        <v/>
      </c>
      <c r="M802" s="48" t="str">
        <f aca="false">IF($N802="","",IF(AND($N802='Comprovante DEV'!$D$6,$G802='Comprovante DEV'!$D$7),COUNTIFS($N$6:$N802,'Comprovante DEV'!$D$6,$G$6:$G802,'Comprovante DEV'!$D$7),""))</f>
        <v/>
      </c>
      <c r="N802" s="48" t="str">
        <f aca="false">IF($F802="","",IFERROR(VLOOKUP($F802,Apelidos_Tecnico!$A:$B,2,0),$F802))</f>
        <v/>
      </c>
    </row>
    <row r="803" customFormat="false" ht="15" hidden="false" customHeight="false" outlineLevel="0" collapsed="false">
      <c r="A803" s="25"/>
      <c r="B803" s="25"/>
      <c r="C803" s="26"/>
      <c r="D803" s="25"/>
      <c r="E803" s="25"/>
      <c r="F803" s="25"/>
      <c r="G803" s="27"/>
      <c r="H803" s="25"/>
      <c r="I803" s="26"/>
      <c r="J803" s="48" t="str">
        <f aca="false">IF($N803="","",IF(AND($N803=Consulta!$C$3,$G803&lt;&gt;"",$G803&gt;=Consulta!$C$4,$G803&lt;=Consulta!$C$5),COUNTIFS($N$6:$N803,Consulta!$C$3,$G$6:$G803,"&gt;="&amp;Consulta!$C$4,$G$6:$G803,"&lt;="&amp;Consulta!$C$5),""))</f>
        <v/>
      </c>
      <c r="K803" s="48" t="str">
        <f aca="false">IF($C803="","",IF(AND($C803=Consulta!$L$3,$G803&lt;&gt;"",$G803&gt;=Consulta!$L$4,$G803&lt;=Consulta!$L$5),COUNTIFS($C$6:$C803,Consulta!$L$3,$G$6:$G803,"&gt;="&amp;Consulta!$L$4,$G$6:$G803,"&lt;="&amp;Consulta!$L$5),""))</f>
        <v/>
      </c>
      <c r="L803" s="48" t="str">
        <f aca="false">IF($D803="","",IF($D803=Consulta!$S$3,COUNTIF($D$6:$D803,Consulta!$S$3),""))</f>
        <v/>
      </c>
      <c r="M803" s="48" t="str">
        <f aca="false">IF($N803="","",IF(AND($N803='Comprovante DEV'!$D$6,$G803='Comprovante DEV'!$D$7),COUNTIFS($N$6:$N803,'Comprovante DEV'!$D$6,$G$6:$G803,'Comprovante DEV'!$D$7),""))</f>
        <v/>
      </c>
      <c r="N803" s="48" t="str">
        <f aca="false">IF($F803="","",IFERROR(VLOOKUP($F803,Apelidos_Tecnico!$A:$B,2,0),$F803))</f>
        <v/>
      </c>
    </row>
    <row r="804" customFormat="false" ht="15" hidden="false" customHeight="false" outlineLevel="0" collapsed="false">
      <c r="A804" s="25"/>
      <c r="B804" s="25"/>
      <c r="C804" s="26"/>
      <c r="D804" s="25"/>
      <c r="E804" s="25"/>
      <c r="F804" s="25"/>
      <c r="G804" s="27"/>
      <c r="H804" s="25"/>
      <c r="I804" s="26"/>
      <c r="J804" s="48" t="str">
        <f aca="false">IF($N804="","",IF(AND($N804=Consulta!$C$3,$G804&lt;&gt;"",$G804&gt;=Consulta!$C$4,$G804&lt;=Consulta!$C$5),COUNTIFS($N$6:$N804,Consulta!$C$3,$G$6:$G804,"&gt;="&amp;Consulta!$C$4,$G$6:$G804,"&lt;="&amp;Consulta!$C$5),""))</f>
        <v/>
      </c>
      <c r="K804" s="48" t="str">
        <f aca="false">IF($C804="","",IF(AND($C804=Consulta!$L$3,$G804&lt;&gt;"",$G804&gt;=Consulta!$L$4,$G804&lt;=Consulta!$L$5),COUNTIFS($C$6:$C804,Consulta!$L$3,$G$6:$G804,"&gt;="&amp;Consulta!$L$4,$G$6:$G804,"&lt;="&amp;Consulta!$L$5),""))</f>
        <v/>
      </c>
      <c r="L804" s="48" t="str">
        <f aca="false">IF($D804="","",IF($D804=Consulta!$S$3,COUNTIF($D$6:$D804,Consulta!$S$3),""))</f>
        <v/>
      </c>
      <c r="M804" s="48" t="str">
        <f aca="false">IF($N804="","",IF(AND($N804='Comprovante DEV'!$D$6,$G804='Comprovante DEV'!$D$7),COUNTIFS($N$6:$N804,'Comprovante DEV'!$D$6,$G$6:$G804,'Comprovante DEV'!$D$7),""))</f>
        <v/>
      </c>
      <c r="N804" s="48" t="str">
        <f aca="false">IF($F804="","",IFERROR(VLOOKUP($F804,Apelidos_Tecnico!$A:$B,2,0),$F804))</f>
        <v/>
      </c>
    </row>
    <row r="805" customFormat="false" ht="15" hidden="false" customHeight="false" outlineLevel="0" collapsed="false">
      <c r="A805" s="25"/>
      <c r="B805" s="25"/>
      <c r="C805" s="26"/>
      <c r="D805" s="25"/>
      <c r="E805" s="25"/>
      <c r="F805" s="25"/>
      <c r="G805" s="27"/>
      <c r="H805" s="25"/>
      <c r="I805" s="26"/>
      <c r="J805" s="48" t="str">
        <f aca="false">IF($N805="","",IF(AND($N805=Consulta!$C$3,$G805&lt;&gt;"",$G805&gt;=Consulta!$C$4,$G805&lt;=Consulta!$C$5),COUNTIFS($N$6:$N805,Consulta!$C$3,$G$6:$G805,"&gt;="&amp;Consulta!$C$4,$G$6:$G805,"&lt;="&amp;Consulta!$C$5),""))</f>
        <v/>
      </c>
      <c r="K805" s="48" t="str">
        <f aca="false">IF($C805="","",IF(AND($C805=Consulta!$L$3,$G805&lt;&gt;"",$G805&gt;=Consulta!$L$4,$G805&lt;=Consulta!$L$5),COUNTIFS($C$6:$C805,Consulta!$L$3,$G$6:$G805,"&gt;="&amp;Consulta!$L$4,$G$6:$G805,"&lt;="&amp;Consulta!$L$5),""))</f>
        <v/>
      </c>
      <c r="L805" s="48" t="str">
        <f aca="false">IF($D805="","",IF($D805=Consulta!$S$3,COUNTIF($D$6:$D805,Consulta!$S$3),""))</f>
        <v/>
      </c>
      <c r="M805" s="48" t="str">
        <f aca="false">IF($N805="","",IF(AND($N805='Comprovante DEV'!$D$6,$G805='Comprovante DEV'!$D$7),COUNTIFS($N$6:$N805,'Comprovante DEV'!$D$6,$G$6:$G805,'Comprovante DEV'!$D$7),""))</f>
        <v/>
      </c>
      <c r="N805" s="48" t="str">
        <f aca="false">IF($F805="","",IFERROR(VLOOKUP($F805,Apelidos_Tecnico!$A:$B,2,0),$F805))</f>
        <v/>
      </c>
    </row>
    <row r="806" customFormat="false" ht="15" hidden="false" customHeight="false" outlineLevel="0" collapsed="false">
      <c r="A806" s="25"/>
      <c r="B806" s="25"/>
      <c r="C806" s="26"/>
      <c r="D806" s="25"/>
      <c r="E806" s="25"/>
      <c r="F806" s="25"/>
      <c r="G806" s="27"/>
      <c r="H806" s="25"/>
      <c r="I806" s="26"/>
      <c r="J806" s="48" t="str">
        <f aca="false">IF($N806="","",IF(AND($N806=Consulta!$C$3,$G806&lt;&gt;"",$G806&gt;=Consulta!$C$4,$G806&lt;=Consulta!$C$5),COUNTIFS($N$6:$N806,Consulta!$C$3,$G$6:$G806,"&gt;="&amp;Consulta!$C$4,$G$6:$G806,"&lt;="&amp;Consulta!$C$5),""))</f>
        <v/>
      </c>
      <c r="K806" s="48" t="str">
        <f aca="false">IF($C806="","",IF(AND($C806=Consulta!$L$3,$G806&lt;&gt;"",$G806&gt;=Consulta!$L$4,$G806&lt;=Consulta!$L$5),COUNTIFS($C$6:$C806,Consulta!$L$3,$G$6:$G806,"&gt;="&amp;Consulta!$L$4,$G$6:$G806,"&lt;="&amp;Consulta!$L$5),""))</f>
        <v/>
      </c>
      <c r="L806" s="48" t="str">
        <f aca="false">IF($D806="","",IF($D806=Consulta!$S$3,COUNTIF($D$6:$D806,Consulta!$S$3),""))</f>
        <v/>
      </c>
      <c r="M806" s="48" t="str">
        <f aca="false">IF($N806="","",IF(AND($N806='Comprovante DEV'!$D$6,$G806='Comprovante DEV'!$D$7),COUNTIFS($N$6:$N806,'Comprovante DEV'!$D$6,$G$6:$G806,'Comprovante DEV'!$D$7),""))</f>
        <v/>
      </c>
      <c r="N806" s="48" t="str">
        <f aca="false">IF($F806="","",IFERROR(VLOOKUP($F806,Apelidos_Tecnico!$A:$B,2,0),$F806))</f>
        <v/>
      </c>
    </row>
    <row r="807" customFormat="false" ht="15" hidden="false" customHeight="false" outlineLevel="0" collapsed="false">
      <c r="A807" s="25"/>
      <c r="B807" s="25"/>
      <c r="C807" s="26"/>
      <c r="D807" s="25"/>
      <c r="E807" s="25"/>
      <c r="F807" s="25"/>
      <c r="G807" s="27"/>
      <c r="H807" s="25"/>
      <c r="I807" s="26"/>
      <c r="J807" s="48" t="str">
        <f aca="false">IF($N807="","",IF(AND($N807=Consulta!$C$3,$G807&lt;&gt;"",$G807&gt;=Consulta!$C$4,$G807&lt;=Consulta!$C$5),COUNTIFS($N$6:$N807,Consulta!$C$3,$G$6:$G807,"&gt;="&amp;Consulta!$C$4,$G$6:$G807,"&lt;="&amp;Consulta!$C$5),""))</f>
        <v/>
      </c>
      <c r="K807" s="48" t="str">
        <f aca="false">IF($C807="","",IF(AND($C807=Consulta!$L$3,$G807&lt;&gt;"",$G807&gt;=Consulta!$L$4,$G807&lt;=Consulta!$L$5),COUNTIFS($C$6:$C807,Consulta!$L$3,$G$6:$G807,"&gt;="&amp;Consulta!$L$4,$G$6:$G807,"&lt;="&amp;Consulta!$L$5),""))</f>
        <v/>
      </c>
      <c r="L807" s="48" t="str">
        <f aca="false">IF($D807="","",IF($D807=Consulta!$S$3,COUNTIF($D$6:$D807,Consulta!$S$3),""))</f>
        <v/>
      </c>
      <c r="M807" s="48" t="str">
        <f aca="false">IF($N807="","",IF(AND($N807='Comprovante DEV'!$D$6,$G807='Comprovante DEV'!$D$7),COUNTIFS($N$6:$N807,'Comprovante DEV'!$D$6,$G$6:$G807,'Comprovante DEV'!$D$7),""))</f>
        <v/>
      </c>
      <c r="N807" s="48" t="str">
        <f aca="false">IF($F807="","",IFERROR(VLOOKUP($F807,Apelidos_Tecnico!$A:$B,2,0),$F807))</f>
        <v/>
      </c>
    </row>
    <row r="808" customFormat="false" ht="15" hidden="false" customHeight="false" outlineLevel="0" collapsed="false">
      <c r="A808" s="25"/>
      <c r="B808" s="25"/>
      <c r="C808" s="26"/>
      <c r="D808" s="25"/>
      <c r="E808" s="25"/>
      <c r="F808" s="25"/>
      <c r="G808" s="27"/>
      <c r="H808" s="25"/>
      <c r="I808" s="26"/>
      <c r="J808" s="48" t="str">
        <f aca="false">IF($N808="","",IF(AND($N808=Consulta!$C$3,$G808&lt;&gt;"",$G808&gt;=Consulta!$C$4,$G808&lt;=Consulta!$C$5),COUNTIFS($N$6:$N808,Consulta!$C$3,$G$6:$G808,"&gt;="&amp;Consulta!$C$4,$G$6:$G808,"&lt;="&amp;Consulta!$C$5),""))</f>
        <v/>
      </c>
      <c r="K808" s="48" t="str">
        <f aca="false">IF($C808="","",IF(AND($C808=Consulta!$L$3,$G808&lt;&gt;"",$G808&gt;=Consulta!$L$4,$G808&lt;=Consulta!$L$5),COUNTIFS($C$6:$C808,Consulta!$L$3,$G$6:$G808,"&gt;="&amp;Consulta!$L$4,$G$6:$G808,"&lt;="&amp;Consulta!$L$5),""))</f>
        <v/>
      </c>
      <c r="L808" s="48" t="str">
        <f aca="false">IF($D808="","",IF($D808=Consulta!$S$3,COUNTIF($D$6:$D808,Consulta!$S$3),""))</f>
        <v/>
      </c>
      <c r="M808" s="48" t="str">
        <f aca="false">IF($N808="","",IF(AND($N808='Comprovante DEV'!$D$6,$G808='Comprovante DEV'!$D$7),COUNTIFS($N$6:$N808,'Comprovante DEV'!$D$6,$G$6:$G808,'Comprovante DEV'!$D$7),""))</f>
        <v/>
      </c>
      <c r="N808" s="48" t="str">
        <f aca="false">IF($F808="","",IFERROR(VLOOKUP($F808,Apelidos_Tecnico!$A:$B,2,0),$F808))</f>
        <v/>
      </c>
    </row>
    <row r="809" customFormat="false" ht="15" hidden="false" customHeight="false" outlineLevel="0" collapsed="false">
      <c r="A809" s="25"/>
      <c r="B809" s="25"/>
      <c r="C809" s="26"/>
      <c r="D809" s="25"/>
      <c r="E809" s="25"/>
      <c r="F809" s="25"/>
      <c r="G809" s="27"/>
      <c r="H809" s="25"/>
      <c r="I809" s="26"/>
      <c r="J809" s="48" t="str">
        <f aca="false">IF($N809="","",IF(AND($N809=Consulta!$C$3,$G809&lt;&gt;"",$G809&gt;=Consulta!$C$4,$G809&lt;=Consulta!$C$5),COUNTIFS($N$6:$N809,Consulta!$C$3,$G$6:$G809,"&gt;="&amp;Consulta!$C$4,$G$6:$G809,"&lt;="&amp;Consulta!$C$5),""))</f>
        <v/>
      </c>
      <c r="K809" s="48" t="str">
        <f aca="false">IF($C809="","",IF(AND($C809=Consulta!$L$3,$G809&lt;&gt;"",$G809&gt;=Consulta!$L$4,$G809&lt;=Consulta!$L$5),COUNTIFS($C$6:$C809,Consulta!$L$3,$G$6:$G809,"&gt;="&amp;Consulta!$L$4,$G$6:$G809,"&lt;="&amp;Consulta!$L$5),""))</f>
        <v/>
      </c>
      <c r="L809" s="48" t="str">
        <f aca="false">IF($D809="","",IF($D809=Consulta!$S$3,COUNTIF($D$6:$D809,Consulta!$S$3),""))</f>
        <v/>
      </c>
      <c r="M809" s="48" t="str">
        <f aca="false">IF($N809="","",IF(AND($N809='Comprovante DEV'!$D$6,$G809='Comprovante DEV'!$D$7),COUNTIFS($N$6:$N809,'Comprovante DEV'!$D$6,$G$6:$G809,'Comprovante DEV'!$D$7),""))</f>
        <v/>
      </c>
      <c r="N809" s="48" t="str">
        <f aca="false">IF($F809="","",IFERROR(VLOOKUP($F809,Apelidos_Tecnico!$A:$B,2,0),$F809))</f>
        <v/>
      </c>
    </row>
    <row r="810" customFormat="false" ht="15" hidden="false" customHeight="false" outlineLevel="0" collapsed="false">
      <c r="A810" s="25"/>
      <c r="B810" s="25"/>
      <c r="C810" s="26"/>
      <c r="D810" s="25"/>
      <c r="E810" s="25"/>
      <c r="F810" s="25"/>
      <c r="G810" s="27"/>
      <c r="H810" s="25"/>
      <c r="I810" s="26"/>
      <c r="J810" s="48" t="str">
        <f aca="false">IF($N810="","",IF(AND($N810=Consulta!$C$3,$G810&lt;&gt;"",$G810&gt;=Consulta!$C$4,$G810&lt;=Consulta!$C$5),COUNTIFS($N$6:$N810,Consulta!$C$3,$G$6:$G810,"&gt;="&amp;Consulta!$C$4,$G$6:$G810,"&lt;="&amp;Consulta!$C$5),""))</f>
        <v/>
      </c>
      <c r="K810" s="48" t="str">
        <f aca="false">IF($C810="","",IF(AND($C810=Consulta!$L$3,$G810&lt;&gt;"",$G810&gt;=Consulta!$L$4,$G810&lt;=Consulta!$L$5),COUNTIFS($C$6:$C810,Consulta!$L$3,$G$6:$G810,"&gt;="&amp;Consulta!$L$4,$G$6:$G810,"&lt;="&amp;Consulta!$L$5),""))</f>
        <v/>
      </c>
      <c r="L810" s="48" t="str">
        <f aca="false">IF($D810="","",IF($D810=Consulta!$S$3,COUNTIF($D$6:$D810,Consulta!$S$3),""))</f>
        <v/>
      </c>
      <c r="M810" s="48" t="str">
        <f aca="false">IF($N810="","",IF(AND($N810='Comprovante DEV'!$D$6,$G810='Comprovante DEV'!$D$7),COUNTIFS($N$6:$N810,'Comprovante DEV'!$D$6,$G$6:$G810,'Comprovante DEV'!$D$7),""))</f>
        <v/>
      </c>
      <c r="N810" s="48" t="str">
        <f aca="false">IF($F810="","",IFERROR(VLOOKUP($F810,Apelidos_Tecnico!$A:$B,2,0),$F810))</f>
        <v/>
      </c>
    </row>
    <row r="811" customFormat="false" ht="15" hidden="false" customHeight="false" outlineLevel="0" collapsed="false">
      <c r="A811" s="25"/>
      <c r="B811" s="25"/>
      <c r="C811" s="26"/>
      <c r="D811" s="25"/>
      <c r="E811" s="25"/>
      <c r="F811" s="25"/>
      <c r="G811" s="27"/>
      <c r="H811" s="25"/>
      <c r="I811" s="26"/>
      <c r="J811" s="48" t="str">
        <f aca="false">IF($N811="","",IF(AND($N811=Consulta!$C$3,$G811&lt;&gt;"",$G811&gt;=Consulta!$C$4,$G811&lt;=Consulta!$C$5),COUNTIFS($N$6:$N811,Consulta!$C$3,$G$6:$G811,"&gt;="&amp;Consulta!$C$4,$G$6:$G811,"&lt;="&amp;Consulta!$C$5),""))</f>
        <v/>
      </c>
      <c r="K811" s="48" t="str">
        <f aca="false">IF($C811="","",IF(AND($C811=Consulta!$L$3,$G811&lt;&gt;"",$G811&gt;=Consulta!$L$4,$G811&lt;=Consulta!$L$5),COUNTIFS($C$6:$C811,Consulta!$L$3,$G$6:$G811,"&gt;="&amp;Consulta!$L$4,$G$6:$G811,"&lt;="&amp;Consulta!$L$5),""))</f>
        <v/>
      </c>
      <c r="L811" s="48" t="str">
        <f aca="false">IF($D811="","",IF($D811=Consulta!$S$3,COUNTIF($D$6:$D811,Consulta!$S$3),""))</f>
        <v/>
      </c>
      <c r="M811" s="48" t="str">
        <f aca="false">IF($N811="","",IF(AND($N811='Comprovante DEV'!$D$6,$G811='Comprovante DEV'!$D$7),COUNTIFS($N$6:$N811,'Comprovante DEV'!$D$6,$G$6:$G811,'Comprovante DEV'!$D$7),""))</f>
        <v/>
      </c>
      <c r="N811" s="48" t="str">
        <f aca="false">IF($F811="","",IFERROR(VLOOKUP($F811,Apelidos_Tecnico!$A:$B,2,0),$F811))</f>
        <v/>
      </c>
    </row>
    <row r="812" customFormat="false" ht="15" hidden="false" customHeight="false" outlineLevel="0" collapsed="false">
      <c r="A812" s="25"/>
      <c r="B812" s="25"/>
      <c r="C812" s="26"/>
      <c r="D812" s="25"/>
      <c r="E812" s="25"/>
      <c r="F812" s="25"/>
      <c r="G812" s="27"/>
      <c r="H812" s="25"/>
      <c r="I812" s="26"/>
      <c r="J812" s="48" t="str">
        <f aca="false">IF($N812="","",IF(AND($N812=Consulta!$C$3,$G812&lt;&gt;"",$G812&gt;=Consulta!$C$4,$G812&lt;=Consulta!$C$5),COUNTIFS($N$6:$N812,Consulta!$C$3,$G$6:$G812,"&gt;="&amp;Consulta!$C$4,$G$6:$G812,"&lt;="&amp;Consulta!$C$5),""))</f>
        <v/>
      </c>
      <c r="K812" s="48" t="str">
        <f aca="false">IF($C812="","",IF(AND($C812=Consulta!$L$3,$G812&lt;&gt;"",$G812&gt;=Consulta!$L$4,$G812&lt;=Consulta!$L$5),COUNTIFS($C$6:$C812,Consulta!$L$3,$G$6:$G812,"&gt;="&amp;Consulta!$L$4,$G$6:$G812,"&lt;="&amp;Consulta!$L$5),""))</f>
        <v/>
      </c>
      <c r="L812" s="48" t="str">
        <f aca="false">IF($D812="","",IF($D812=Consulta!$S$3,COUNTIF($D$6:$D812,Consulta!$S$3),""))</f>
        <v/>
      </c>
      <c r="M812" s="48" t="str">
        <f aca="false">IF($N812="","",IF(AND($N812='Comprovante DEV'!$D$6,$G812='Comprovante DEV'!$D$7),COUNTIFS($N$6:$N812,'Comprovante DEV'!$D$6,$G$6:$G812,'Comprovante DEV'!$D$7),""))</f>
        <v/>
      </c>
      <c r="N812" s="48" t="str">
        <f aca="false">IF($F812="","",IFERROR(VLOOKUP($F812,Apelidos_Tecnico!$A:$B,2,0),$F812))</f>
        <v/>
      </c>
    </row>
    <row r="813" customFormat="false" ht="15" hidden="false" customHeight="false" outlineLevel="0" collapsed="false">
      <c r="A813" s="25"/>
      <c r="B813" s="25"/>
      <c r="C813" s="26"/>
      <c r="D813" s="25"/>
      <c r="E813" s="25"/>
      <c r="F813" s="25"/>
      <c r="G813" s="27"/>
      <c r="H813" s="25"/>
      <c r="I813" s="26"/>
      <c r="J813" s="48" t="str">
        <f aca="false">IF($N813="","",IF(AND($N813=Consulta!$C$3,$G813&lt;&gt;"",$G813&gt;=Consulta!$C$4,$G813&lt;=Consulta!$C$5),COUNTIFS($N$6:$N813,Consulta!$C$3,$G$6:$G813,"&gt;="&amp;Consulta!$C$4,$G$6:$G813,"&lt;="&amp;Consulta!$C$5),""))</f>
        <v/>
      </c>
      <c r="K813" s="48" t="str">
        <f aca="false">IF($C813="","",IF(AND($C813=Consulta!$L$3,$G813&lt;&gt;"",$G813&gt;=Consulta!$L$4,$G813&lt;=Consulta!$L$5),COUNTIFS($C$6:$C813,Consulta!$L$3,$G$6:$G813,"&gt;="&amp;Consulta!$L$4,$G$6:$G813,"&lt;="&amp;Consulta!$L$5),""))</f>
        <v/>
      </c>
      <c r="L813" s="48" t="str">
        <f aca="false">IF($D813="","",IF($D813=Consulta!$S$3,COUNTIF($D$6:$D813,Consulta!$S$3),""))</f>
        <v/>
      </c>
      <c r="M813" s="48" t="str">
        <f aca="false">IF($N813="","",IF(AND($N813='Comprovante DEV'!$D$6,$G813='Comprovante DEV'!$D$7),COUNTIFS($N$6:$N813,'Comprovante DEV'!$D$6,$G$6:$G813,'Comprovante DEV'!$D$7),""))</f>
        <v/>
      </c>
      <c r="N813" s="48" t="str">
        <f aca="false">IF($F813="","",IFERROR(VLOOKUP($F813,Apelidos_Tecnico!$A:$B,2,0),$F813))</f>
        <v/>
      </c>
    </row>
    <row r="814" customFormat="false" ht="15" hidden="false" customHeight="false" outlineLevel="0" collapsed="false">
      <c r="A814" s="25"/>
      <c r="B814" s="25"/>
      <c r="C814" s="26"/>
      <c r="D814" s="25"/>
      <c r="E814" s="25"/>
      <c r="F814" s="25"/>
      <c r="G814" s="27"/>
      <c r="H814" s="25"/>
      <c r="I814" s="26"/>
      <c r="J814" s="48" t="str">
        <f aca="false">IF($N814="","",IF(AND($N814=Consulta!$C$3,$G814&lt;&gt;"",$G814&gt;=Consulta!$C$4,$G814&lt;=Consulta!$C$5),COUNTIFS($N$6:$N814,Consulta!$C$3,$G$6:$G814,"&gt;="&amp;Consulta!$C$4,$G$6:$G814,"&lt;="&amp;Consulta!$C$5),""))</f>
        <v/>
      </c>
      <c r="K814" s="48" t="str">
        <f aca="false">IF($C814="","",IF(AND($C814=Consulta!$L$3,$G814&lt;&gt;"",$G814&gt;=Consulta!$L$4,$G814&lt;=Consulta!$L$5),COUNTIFS($C$6:$C814,Consulta!$L$3,$G$6:$G814,"&gt;="&amp;Consulta!$L$4,$G$6:$G814,"&lt;="&amp;Consulta!$L$5),""))</f>
        <v/>
      </c>
      <c r="L814" s="48" t="str">
        <f aca="false">IF($D814="","",IF($D814=Consulta!$S$3,COUNTIF($D$6:$D814,Consulta!$S$3),""))</f>
        <v/>
      </c>
      <c r="M814" s="48" t="str">
        <f aca="false">IF($N814="","",IF(AND($N814='Comprovante DEV'!$D$6,$G814='Comprovante DEV'!$D$7),COUNTIFS($N$6:$N814,'Comprovante DEV'!$D$6,$G$6:$G814,'Comprovante DEV'!$D$7),""))</f>
        <v/>
      </c>
      <c r="N814" s="48" t="str">
        <f aca="false">IF($F814="","",IFERROR(VLOOKUP($F814,Apelidos_Tecnico!$A:$B,2,0),$F814))</f>
        <v/>
      </c>
    </row>
    <row r="815" customFormat="false" ht="15" hidden="false" customHeight="false" outlineLevel="0" collapsed="false">
      <c r="A815" s="25"/>
      <c r="B815" s="25"/>
      <c r="C815" s="26"/>
      <c r="D815" s="25"/>
      <c r="E815" s="25"/>
      <c r="F815" s="25"/>
      <c r="G815" s="27"/>
      <c r="H815" s="25"/>
      <c r="I815" s="26"/>
      <c r="J815" s="48" t="str">
        <f aca="false">IF($N815="","",IF(AND($N815=Consulta!$C$3,$G815&lt;&gt;"",$G815&gt;=Consulta!$C$4,$G815&lt;=Consulta!$C$5),COUNTIFS($N$6:$N815,Consulta!$C$3,$G$6:$G815,"&gt;="&amp;Consulta!$C$4,$G$6:$G815,"&lt;="&amp;Consulta!$C$5),""))</f>
        <v/>
      </c>
      <c r="K815" s="48" t="str">
        <f aca="false">IF($C815="","",IF(AND($C815=Consulta!$L$3,$G815&lt;&gt;"",$G815&gt;=Consulta!$L$4,$G815&lt;=Consulta!$L$5),COUNTIFS($C$6:$C815,Consulta!$L$3,$G$6:$G815,"&gt;="&amp;Consulta!$L$4,$G$6:$G815,"&lt;="&amp;Consulta!$L$5),""))</f>
        <v/>
      </c>
      <c r="L815" s="48" t="str">
        <f aca="false">IF($D815="","",IF($D815=Consulta!$S$3,COUNTIF($D$6:$D815,Consulta!$S$3),""))</f>
        <v/>
      </c>
      <c r="M815" s="48" t="str">
        <f aca="false">IF($N815="","",IF(AND($N815='Comprovante DEV'!$D$6,$G815='Comprovante DEV'!$D$7),COUNTIFS($N$6:$N815,'Comprovante DEV'!$D$6,$G$6:$G815,'Comprovante DEV'!$D$7),""))</f>
        <v/>
      </c>
      <c r="N815" s="48" t="str">
        <f aca="false">IF($F815="","",IFERROR(VLOOKUP($F815,Apelidos_Tecnico!$A:$B,2,0),$F815))</f>
        <v/>
      </c>
    </row>
    <row r="816" customFormat="false" ht="15" hidden="false" customHeight="false" outlineLevel="0" collapsed="false">
      <c r="A816" s="25"/>
      <c r="B816" s="25"/>
      <c r="C816" s="26"/>
      <c r="D816" s="25"/>
      <c r="E816" s="25"/>
      <c r="F816" s="25"/>
      <c r="G816" s="27"/>
      <c r="H816" s="25"/>
      <c r="I816" s="26"/>
      <c r="J816" s="48" t="str">
        <f aca="false">IF($N816="","",IF(AND($N816=Consulta!$C$3,$G816&lt;&gt;"",$G816&gt;=Consulta!$C$4,$G816&lt;=Consulta!$C$5),COUNTIFS($N$6:$N816,Consulta!$C$3,$G$6:$G816,"&gt;="&amp;Consulta!$C$4,$G$6:$G816,"&lt;="&amp;Consulta!$C$5),""))</f>
        <v/>
      </c>
      <c r="K816" s="48" t="str">
        <f aca="false">IF($C816="","",IF(AND($C816=Consulta!$L$3,$G816&lt;&gt;"",$G816&gt;=Consulta!$L$4,$G816&lt;=Consulta!$L$5),COUNTIFS($C$6:$C816,Consulta!$L$3,$G$6:$G816,"&gt;="&amp;Consulta!$L$4,$G$6:$G816,"&lt;="&amp;Consulta!$L$5),""))</f>
        <v/>
      </c>
      <c r="L816" s="48" t="str">
        <f aca="false">IF($D816="","",IF($D816=Consulta!$S$3,COUNTIF($D$6:$D816,Consulta!$S$3),""))</f>
        <v/>
      </c>
      <c r="M816" s="48" t="str">
        <f aca="false">IF($N816="","",IF(AND($N816='Comprovante DEV'!$D$6,$G816='Comprovante DEV'!$D$7),COUNTIFS($N$6:$N816,'Comprovante DEV'!$D$6,$G$6:$G816,'Comprovante DEV'!$D$7),""))</f>
        <v/>
      </c>
      <c r="N816" s="48" t="str">
        <f aca="false">IF($F816="","",IFERROR(VLOOKUP($F816,Apelidos_Tecnico!$A:$B,2,0),$F816))</f>
        <v/>
      </c>
    </row>
    <row r="817" customFormat="false" ht="15" hidden="false" customHeight="false" outlineLevel="0" collapsed="false">
      <c r="A817" s="25"/>
      <c r="B817" s="25"/>
      <c r="C817" s="26"/>
      <c r="D817" s="25"/>
      <c r="E817" s="25"/>
      <c r="F817" s="25"/>
      <c r="G817" s="27"/>
      <c r="H817" s="25"/>
      <c r="I817" s="26"/>
      <c r="J817" s="48" t="str">
        <f aca="false">IF($N817="","",IF(AND($N817=Consulta!$C$3,$G817&lt;&gt;"",$G817&gt;=Consulta!$C$4,$G817&lt;=Consulta!$C$5),COUNTIFS($N$6:$N817,Consulta!$C$3,$G$6:$G817,"&gt;="&amp;Consulta!$C$4,$G$6:$G817,"&lt;="&amp;Consulta!$C$5),""))</f>
        <v/>
      </c>
      <c r="K817" s="48" t="str">
        <f aca="false">IF($C817="","",IF(AND($C817=Consulta!$L$3,$G817&lt;&gt;"",$G817&gt;=Consulta!$L$4,$G817&lt;=Consulta!$L$5),COUNTIFS($C$6:$C817,Consulta!$L$3,$G$6:$G817,"&gt;="&amp;Consulta!$L$4,$G$6:$G817,"&lt;="&amp;Consulta!$L$5),""))</f>
        <v/>
      </c>
      <c r="L817" s="48" t="str">
        <f aca="false">IF($D817="","",IF($D817=Consulta!$S$3,COUNTIF($D$6:$D817,Consulta!$S$3),""))</f>
        <v/>
      </c>
      <c r="M817" s="48" t="str">
        <f aca="false">IF($N817="","",IF(AND($N817='Comprovante DEV'!$D$6,$G817='Comprovante DEV'!$D$7),COUNTIFS($N$6:$N817,'Comprovante DEV'!$D$6,$G$6:$G817,'Comprovante DEV'!$D$7),""))</f>
        <v/>
      </c>
      <c r="N817" s="48" t="str">
        <f aca="false">IF($F817="","",IFERROR(VLOOKUP($F817,Apelidos_Tecnico!$A:$B,2,0),$F817))</f>
        <v/>
      </c>
    </row>
    <row r="818" customFormat="false" ht="15" hidden="false" customHeight="false" outlineLevel="0" collapsed="false">
      <c r="A818" s="25"/>
      <c r="B818" s="25"/>
      <c r="C818" s="26"/>
      <c r="D818" s="25"/>
      <c r="E818" s="25"/>
      <c r="F818" s="25"/>
      <c r="G818" s="27"/>
      <c r="H818" s="25"/>
      <c r="I818" s="26"/>
      <c r="J818" s="48" t="str">
        <f aca="false">IF($N818="","",IF(AND($N818=Consulta!$C$3,$G818&lt;&gt;"",$G818&gt;=Consulta!$C$4,$G818&lt;=Consulta!$C$5),COUNTIFS($N$6:$N818,Consulta!$C$3,$G$6:$G818,"&gt;="&amp;Consulta!$C$4,$G$6:$G818,"&lt;="&amp;Consulta!$C$5),""))</f>
        <v/>
      </c>
      <c r="K818" s="48" t="str">
        <f aca="false">IF($C818="","",IF(AND($C818=Consulta!$L$3,$G818&lt;&gt;"",$G818&gt;=Consulta!$L$4,$G818&lt;=Consulta!$L$5),COUNTIFS($C$6:$C818,Consulta!$L$3,$G$6:$G818,"&gt;="&amp;Consulta!$L$4,$G$6:$G818,"&lt;="&amp;Consulta!$L$5),""))</f>
        <v/>
      </c>
      <c r="L818" s="48" t="str">
        <f aca="false">IF($D818="","",IF($D818=Consulta!$S$3,COUNTIF($D$6:$D818,Consulta!$S$3),""))</f>
        <v/>
      </c>
      <c r="M818" s="48" t="str">
        <f aca="false">IF($N818="","",IF(AND($N818='Comprovante DEV'!$D$6,$G818='Comprovante DEV'!$D$7),COUNTIFS($N$6:$N818,'Comprovante DEV'!$D$6,$G$6:$G818,'Comprovante DEV'!$D$7),""))</f>
        <v/>
      </c>
      <c r="N818" s="48" t="str">
        <f aca="false">IF($F818="","",IFERROR(VLOOKUP($F818,Apelidos_Tecnico!$A:$B,2,0),$F818))</f>
        <v/>
      </c>
    </row>
    <row r="819" customFormat="false" ht="15" hidden="false" customHeight="false" outlineLevel="0" collapsed="false">
      <c r="A819" s="25"/>
      <c r="B819" s="25"/>
      <c r="C819" s="26"/>
      <c r="D819" s="25"/>
      <c r="E819" s="25"/>
      <c r="F819" s="25"/>
      <c r="G819" s="27"/>
      <c r="H819" s="25"/>
      <c r="I819" s="26"/>
      <c r="J819" s="48" t="str">
        <f aca="false">IF($N819="","",IF(AND($N819=Consulta!$C$3,$G819&lt;&gt;"",$G819&gt;=Consulta!$C$4,$G819&lt;=Consulta!$C$5),COUNTIFS($N$6:$N819,Consulta!$C$3,$G$6:$G819,"&gt;="&amp;Consulta!$C$4,$G$6:$G819,"&lt;="&amp;Consulta!$C$5),""))</f>
        <v/>
      </c>
      <c r="K819" s="48" t="str">
        <f aca="false">IF($C819="","",IF(AND($C819=Consulta!$L$3,$G819&lt;&gt;"",$G819&gt;=Consulta!$L$4,$G819&lt;=Consulta!$L$5),COUNTIFS($C$6:$C819,Consulta!$L$3,$G$6:$G819,"&gt;="&amp;Consulta!$L$4,$G$6:$G819,"&lt;="&amp;Consulta!$L$5),""))</f>
        <v/>
      </c>
      <c r="L819" s="48" t="str">
        <f aca="false">IF($D819="","",IF($D819=Consulta!$S$3,COUNTIF($D$6:$D819,Consulta!$S$3),""))</f>
        <v/>
      </c>
      <c r="M819" s="48" t="str">
        <f aca="false">IF($N819="","",IF(AND($N819='Comprovante DEV'!$D$6,$G819='Comprovante DEV'!$D$7),COUNTIFS($N$6:$N819,'Comprovante DEV'!$D$6,$G$6:$G819,'Comprovante DEV'!$D$7),""))</f>
        <v/>
      </c>
      <c r="N819" s="48" t="str">
        <f aca="false">IF($F819="","",IFERROR(VLOOKUP($F819,Apelidos_Tecnico!$A:$B,2,0),$F819))</f>
        <v/>
      </c>
    </row>
    <row r="820" customFormat="false" ht="15" hidden="false" customHeight="false" outlineLevel="0" collapsed="false">
      <c r="A820" s="25"/>
      <c r="B820" s="25"/>
      <c r="C820" s="26"/>
      <c r="D820" s="25"/>
      <c r="E820" s="25"/>
      <c r="F820" s="25"/>
      <c r="G820" s="27"/>
      <c r="H820" s="25"/>
      <c r="I820" s="26"/>
      <c r="J820" s="48" t="str">
        <f aca="false">IF($N820="","",IF(AND($N820=Consulta!$C$3,$G820&lt;&gt;"",$G820&gt;=Consulta!$C$4,$G820&lt;=Consulta!$C$5),COUNTIFS($N$6:$N820,Consulta!$C$3,$G$6:$G820,"&gt;="&amp;Consulta!$C$4,$G$6:$G820,"&lt;="&amp;Consulta!$C$5),""))</f>
        <v/>
      </c>
      <c r="K820" s="48" t="str">
        <f aca="false">IF($C820="","",IF(AND($C820=Consulta!$L$3,$G820&lt;&gt;"",$G820&gt;=Consulta!$L$4,$G820&lt;=Consulta!$L$5),COUNTIFS($C$6:$C820,Consulta!$L$3,$G$6:$G820,"&gt;="&amp;Consulta!$L$4,$G$6:$G820,"&lt;="&amp;Consulta!$L$5),""))</f>
        <v/>
      </c>
      <c r="L820" s="48" t="str">
        <f aca="false">IF($D820="","",IF($D820=Consulta!$S$3,COUNTIF($D$6:$D820,Consulta!$S$3),""))</f>
        <v/>
      </c>
      <c r="M820" s="48" t="str">
        <f aca="false">IF($N820="","",IF(AND($N820='Comprovante DEV'!$D$6,$G820='Comprovante DEV'!$D$7),COUNTIFS($N$6:$N820,'Comprovante DEV'!$D$6,$G$6:$G820,'Comprovante DEV'!$D$7),""))</f>
        <v/>
      </c>
      <c r="N820" s="48" t="str">
        <f aca="false">IF($F820="","",IFERROR(VLOOKUP($F820,Apelidos_Tecnico!$A:$B,2,0),$F820))</f>
        <v/>
      </c>
    </row>
    <row r="821" customFormat="false" ht="15" hidden="false" customHeight="false" outlineLevel="0" collapsed="false">
      <c r="A821" s="25"/>
      <c r="B821" s="25"/>
      <c r="C821" s="26"/>
      <c r="D821" s="25"/>
      <c r="E821" s="25"/>
      <c r="F821" s="25"/>
      <c r="G821" s="27"/>
      <c r="H821" s="25"/>
      <c r="I821" s="26"/>
      <c r="J821" s="48" t="str">
        <f aca="false">IF($N821="","",IF(AND($N821=Consulta!$C$3,$G821&lt;&gt;"",$G821&gt;=Consulta!$C$4,$G821&lt;=Consulta!$C$5),COUNTIFS($N$6:$N821,Consulta!$C$3,$G$6:$G821,"&gt;="&amp;Consulta!$C$4,$G$6:$G821,"&lt;="&amp;Consulta!$C$5),""))</f>
        <v/>
      </c>
      <c r="K821" s="48" t="str">
        <f aca="false">IF($C821="","",IF(AND($C821=Consulta!$L$3,$G821&lt;&gt;"",$G821&gt;=Consulta!$L$4,$G821&lt;=Consulta!$L$5),COUNTIFS($C$6:$C821,Consulta!$L$3,$G$6:$G821,"&gt;="&amp;Consulta!$L$4,$G$6:$G821,"&lt;="&amp;Consulta!$L$5),""))</f>
        <v/>
      </c>
      <c r="L821" s="48" t="str">
        <f aca="false">IF($D821="","",IF($D821=Consulta!$S$3,COUNTIF($D$6:$D821,Consulta!$S$3),""))</f>
        <v/>
      </c>
      <c r="M821" s="48" t="str">
        <f aca="false">IF($N821="","",IF(AND($N821='Comprovante DEV'!$D$6,$G821='Comprovante DEV'!$D$7),COUNTIFS($N$6:$N821,'Comprovante DEV'!$D$6,$G$6:$G821,'Comprovante DEV'!$D$7),""))</f>
        <v/>
      </c>
      <c r="N821" s="48" t="str">
        <f aca="false">IF($F821="","",IFERROR(VLOOKUP($F821,Apelidos_Tecnico!$A:$B,2,0),$F821))</f>
        <v/>
      </c>
    </row>
    <row r="822" customFormat="false" ht="15" hidden="false" customHeight="false" outlineLevel="0" collapsed="false">
      <c r="A822" s="25"/>
      <c r="B822" s="25"/>
      <c r="C822" s="26"/>
      <c r="D822" s="25"/>
      <c r="E822" s="25"/>
      <c r="F822" s="25"/>
      <c r="G822" s="27"/>
      <c r="H822" s="25"/>
      <c r="I822" s="26"/>
      <c r="J822" s="48" t="str">
        <f aca="false">IF($N822="","",IF(AND($N822=Consulta!$C$3,$G822&lt;&gt;"",$G822&gt;=Consulta!$C$4,$G822&lt;=Consulta!$C$5),COUNTIFS($N$6:$N822,Consulta!$C$3,$G$6:$G822,"&gt;="&amp;Consulta!$C$4,$G$6:$G822,"&lt;="&amp;Consulta!$C$5),""))</f>
        <v/>
      </c>
      <c r="K822" s="48" t="str">
        <f aca="false">IF($C822="","",IF(AND($C822=Consulta!$L$3,$G822&lt;&gt;"",$G822&gt;=Consulta!$L$4,$G822&lt;=Consulta!$L$5),COUNTIFS($C$6:$C822,Consulta!$L$3,$G$6:$G822,"&gt;="&amp;Consulta!$L$4,$G$6:$G822,"&lt;="&amp;Consulta!$L$5),""))</f>
        <v/>
      </c>
      <c r="L822" s="48" t="str">
        <f aca="false">IF($D822="","",IF($D822=Consulta!$S$3,COUNTIF($D$6:$D822,Consulta!$S$3),""))</f>
        <v/>
      </c>
      <c r="M822" s="48" t="str">
        <f aca="false">IF($N822="","",IF(AND($N822='Comprovante DEV'!$D$6,$G822='Comprovante DEV'!$D$7),COUNTIFS($N$6:$N822,'Comprovante DEV'!$D$6,$G$6:$G822,'Comprovante DEV'!$D$7),""))</f>
        <v/>
      </c>
      <c r="N822" s="48" t="str">
        <f aca="false">IF($F822="","",IFERROR(VLOOKUP($F822,Apelidos_Tecnico!$A:$B,2,0),$F822))</f>
        <v/>
      </c>
    </row>
    <row r="823" customFormat="false" ht="15" hidden="false" customHeight="false" outlineLevel="0" collapsed="false">
      <c r="A823" s="25"/>
      <c r="B823" s="25"/>
      <c r="C823" s="26"/>
      <c r="D823" s="25"/>
      <c r="E823" s="25"/>
      <c r="F823" s="25"/>
      <c r="G823" s="27"/>
      <c r="H823" s="25"/>
      <c r="I823" s="26"/>
      <c r="J823" s="48" t="str">
        <f aca="false">IF($N823="","",IF(AND($N823=Consulta!$C$3,$G823&lt;&gt;"",$G823&gt;=Consulta!$C$4,$G823&lt;=Consulta!$C$5),COUNTIFS($N$6:$N823,Consulta!$C$3,$G$6:$G823,"&gt;="&amp;Consulta!$C$4,$G$6:$G823,"&lt;="&amp;Consulta!$C$5),""))</f>
        <v/>
      </c>
      <c r="K823" s="48" t="str">
        <f aca="false">IF($C823="","",IF(AND($C823=Consulta!$L$3,$G823&lt;&gt;"",$G823&gt;=Consulta!$L$4,$G823&lt;=Consulta!$L$5),COUNTIFS($C$6:$C823,Consulta!$L$3,$G$6:$G823,"&gt;="&amp;Consulta!$L$4,$G$6:$G823,"&lt;="&amp;Consulta!$L$5),""))</f>
        <v/>
      </c>
      <c r="L823" s="48" t="str">
        <f aca="false">IF($D823="","",IF($D823=Consulta!$S$3,COUNTIF($D$6:$D823,Consulta!$S$3),""))</f>
        <v/>
      </c>
      <c r="M823" s="48" t="str">
        <f aca="false">IF($N823="","",IF(AND($N823='Comprovante DEV'!$D$6,$G823='Comprovante DEV'!$D$7),COUNTIFS($N$6:$N823,'Comprovante DEV'!$D$6,$G$6:$G823,'Comprovante DEV'!$D$7),""))</f>
        <v/>
      </c>
      <c r="N823" s="48" t="str">
        <f aca="false">IF($F823="","",IFERROR(VLOOKUP($F823,Apelidos_Tecnico!$A:$B,2,0),$F823))</f>
        <v/>
      </c>
    </row>
    <row r="824" customFormat="false" ht="15" hidden="false" customHeight="false" outlineLevel="0" collapsed="false">
      <c r="A824" s="25"/>
      <c r="B824" s="25"/>
      <c r="C824" s="26"/>
      <c r="D824" s="25"/>
      <c r="E824" s="25"/>
      <c r="F824" s="25"/>
      <c r="G824" s="27"/>
      <c r="H824" s="25"/>
      <c r="I824" s="26"/>
      <c r="J824" s="48" t="str">
        <f aca="false">IF($N824="","",IF(AND($N824=Consulta!$C$3,$G824&lt;&gt;"",$G824&gt;=Consulta!$C$4,$G824&lt;=Consulta!$C$5),COUNTIFS($N$6:$N824,Consulta!$C$3,$G$6:$G824,"&gt;="&amp;Consulta!$C$4,$G$6:$G824,"&lt;="&amp;Consulta!$C$5),""))</f>
        <v/>
      </c>
      <c r="K824" s="48" t="str">
        <f aca="false">IF($C824="","",IF(AND($C824=Consulta!$L$3,$G824&lt;&gt;"",$G824&gt;=Consulta!$L$4,$G824&lt;=Consulta!$L$5),COUNTIFS($C$6:$C824,Consulta!$L$3,$G$6:$G824,"&gt;="&amp;Consulta!$L$4,$G$6:$G824,"&lt;="&amp;Consulta!$L$5),""))</f>
        <v/>
      </c>
      <c r="L824" s="48" t="str">
        <f aca="false">IF($D824="","",IF($D824=Consulta!$S$3,COUNTIF($D$6:$D824,Consulta!$S$3),""))</f>
        <v/>
      </c>
      <c r="M824" s="48" t="str">
        <f aca="false">IF($N824="","",IF(AND($N824='Comprovante DEV'!$D$6,$G824='Comprovante DEV'!$D$7),COUNTIFS($N$6:$N824,'Comprovante DEV'!$D$6,$G$6:$G824,'Comprovante DEV'!$D$7),""))</f>
        <v/>
      </c>
      <c r="N824" s="48" t="str">
        <f aca="false">IF($F824="","",IFERROR(VLOOKUP($F824,Apelidos_Tecnico!$A:$B,2,0),$F824))</f>
        <v/>
      </c>
    </row>
    <row r="825" customFormat="false" ht="15" hidden="false" customHeight="false" outlineLevel="0" collapsed="false">
      <c r="A825" s="25"/>
      <c r="B825" s="25"/>
      <c r="C825" s="26"/>
      <c r="D825" s="25"/>
      <c r="E825" s="25"/>
      <c r="F825" s="25"/>
      <c r="G825" s="27"/>
      <c r="H825" s="25"/>
      <c r="I825" s="26"/>
      <c r="J825" s="48" t="str">
        <f aca="false">IF($N825="","",IF(AND($N825=Consulta!$C$3,$G825&lt;&gt;"",$G825&gt;=Consulta!$C$4,$G825&lt;=Consulta!$C$5),COUNTIFS($N$6:$N825,Consulta!$C$3,$G$6:$G825,"&gt;="&amp;Consulta!$C$4,$G$6:$G825,"&lt;="&amp;Consulta!$C$5),""))</f>
        <v/>
      </c>
      <c r="K825" s="48" t="str">
        <f aca="false">IF($C825="","",IF(AND($C825=Consulta!$L$3,$G825&lt;&gt;"",$G825&gt;=Consulta!$L$4,$G825&lt;=Consulta!$L$5),COUNTIFS($C$6:$C825,Consulta!$L$3,$G$6:$G825,"&gt;="&amp;Consulta!$L$4,$G$6:$G825,"&lt;="&amp;Consulta!$L$5),""))</f>
        <v/>
      </c>
      <c r="L825" s="48" t="str">
        <f aca="false">IF($D825="","",IF($D825=Consulta!$S$3,COUNTIF($D$6:$D825,Consulta!$S$3),""))</f>
        <v/>
      </c>
      <c r="M825" s="48" t="str">
        <f aca="false">IF($N825="","",IF(AND($N825='Comprovante DEV'!$D$6,$G825='Comprovante DEV'!$D$7),COUNTIFS($N$6:$N825,'Comprovante DEV'!$D$6,$G$6:$G825,'Comprovante DEV'!$D$7),""))</f>
        <v/>
      </c>
      <c r="N825" s="48" t="str">
        <f aca="false">IF($F825="","",IFERROR(VLOOKUP($F825,Apelidos_Tecnico!$A:$B,2,0),$F825))</f>
        <v/>
      </c>
    </row>
    <row r="826" customFormat="false" ht="15" hidden="false" customHeight="false" outlineLevel="0" collapsed="false">
      <c r="A826" s="25"/>
      <c r="B826" s="25"/>
      <c r="C826" s="26"/>
      <c r="D826" s="25"/>
      <c r="E826" s="25"/>
      <c r="F826" s="25"/>
      <c r="G826" s="27"/>
      <c r="H826" s="25"/>
      <c r="I826" s="26"/>
      <c r="J826" s="48" t="str">
        <f aca="false">IF($N826="","",IF(AND($N826=Consulta!$C$3,$G826&lt;&gt;"",$G826&gt;=Consulta!$C$4,$G826&lt;=Consulta!$C$5),COUNTIFS($N$6:$N826,Consulta!$C$3,$G$6:$G826,"&gt;="&amp;Consulta!$C$4,$G$6:$G826,"&lt;="&amp;Consulta!$C$5),""))</f>
        <v/>
      </c>
      <c r="K826" s="48" t="str">
        <f aca="false">IF($C826="","",IF(AND($C826=Consulta!$L$3,$G826&lt;&gt;"",$G826&gt;=Consulta!$L$4,$G826&lt;=Consulta!$L$5),COUNTIFS($C$6:$C826,Consulta!$L$3,$G$6:$G826,"&gt;="&amp;Consulta!$L$4,$G$6:$G826,"&lt;="&amp;Consulta!$L$5),""))</f>
        <v/>
      </c>
      <c r="L826" s="48" t="str">
        <f aca="false">IF($D826="","",IF($D826=Consulta!$S$3,COUNTIF($D$6:$D826,Consulta!$S$3),""))</f>
        <v/>
      </c>
      <c r="M826" s="48" t="str">
        <f aca="false">IF($N826="","",IF(AND($N826='Comprovante DEV'!$D$6,$G826='Comprovante DEV'!$D$7),COUNTIFS($N$6:$N826,'Comprovante DEV'!$D$6,$G$6:$G826,'Comprovante DEV'!$D$7),""))</f>
        <v/>
      </c>
      <c r="N826" s="48" t="str">
        <f aca="false">IF($F826="","",IFERROR(VLOOKUP($F826,Apelidos_Tecnico!$A:$B,2,0),$F826))</f>
        <v/>
      </c>
    </row>
    <row r="827" customFormat="false" ht="15" hidden="false" customHeight="false" outlineLevel="0" collapsed="false">
      <c r="A827" s="25"/>
      <c r="B827" s="25"/>
      <c r="C827" s="26"/>
      <c r="D827" s="25"/>
      <c r="E827" s="25"/>
      <c r="F827" s="25"/>
      <c r="G827" s="27"/>
      <c r="H827" s="25"/>
      <c r="I827" s="26"/>
      <c r="J827" s="48" t="str">
        <f aca="false">IF($N827="","",IF(AND($N827=Consulta!$C$3,$G827&lt;&gt;"",$G827&gt;=Consulta!$C$4,$G827&lt;=Consulta!$C$5),COUNTIFS($N$6:$N827,Consulta!$C$3,$G$6:$G827,"&gt;="&amp;Consulta!$C$4,$G$6:$G827,"&lt;="&amp;Consulta!$C$5),""))</f>
        <v/>
      </c>
      <c r="K827" s="48" t="str">
        <f aca="false">IF($C827="","",IF(AND($C827=Consulta!$L$3,$G827&lt;&gt;"",$G827&gt;=Consulta!$L$4,$G827&lt;=Consulta!$L$5),COUNTIFS($C$6:$C827,Consulta!$L$3,$G$6:$G827,"&gt;="&amp;Consulta!$L$4,$G$6:$G827,"&lt;="&amp;Consulta!$L$5),""))</f>
        <v/>
      </c>
      <c r="L827" s="48" t="str">
        <f aca="false">IF($D827="","",IF($D827=Consulta!$S$3,COUNTIF($D$6:$D827,Consulta!$S$3),""))</f>
        <v/>
      </c>
      <c r="M827" s="48" t="str">
        <f aca="false">IF($N827="","",IF(AND($N827='Comprovante DEV'!$D$6,$G827='Comprovante DEV'!$D$7),COUNTIFS($N$6:$N827,'Comprovante DEV'!$D$6,$G$6:$G827,'Comprovante DEV'!$D$7),""))</f>
        <v/>
      </c>
      <c r="N827" s="48" t="str">
        <f aca="false">IF($F827="","",IFERROR(VLOOKUP($F827,Apelidos_Tecnico!$A:$B,2,0),$F827))</f>
        <v/>
      </c>
    </row>
    <row r="828" customFormat="false" ht="15" hidden="false" customHeight="false" outlineLevel="0" collapsed="false">
      <c r="A828" s="25"/>
      <c r="B828" s="25"/>
      <c r="C828" s="26"/>
      <c r="D828" s="25"/>
      <c r="E828" s="25"/>
      <c r="F828" s="25"/>
      <c r="G828" s="27"/>
      <c r="H828" s="25"/>
      <c r="I828" s="26"/>
      <c r="J828" s="48" t="str">
        <f aca="false">IF($N828="","",IF(AND($N828=Consulta!$C$3,$G828&lt;&gt;"",$G828&gt;=Consulta!$C$4,$G828&lt;=Consulta!$C$5),COUNTIFS($N$6:$N828,Consulta!$C$3,$G$6:$G828,"&gt;="&amp;Consulta!$C$4,$G$6:$G828,"&lt;="&amp;Consulta!$C$5),""))</f>
        <v/>
      </c>
      <c r="K828" s="48" t="str">
        <f aca="false">IF($C828="","",IF(AND($C828=Consulta!$L$3,$G828&lt;&gt;"",$G828&gt;=Consulta!$L$4,$G828&lt;=Consulta!$L$5),COUNTIFS($C$6:$C828,Consulta!$L$3,$G$6:$G828,"&gt;="&amp;Consulta!$L$4,$G$6:$G828,"&lt;="&amp;Consulta!$L$5),""))</f>
        <v/>
      </c>
      <c r="L828" s="48" t="str">
        <f aca="false">IF($D828="","",IF($D828=Consulta!$S$3,COUNTIF($D$6:$D828,Consulta!$S$3),""))</f>
        <v/>
      </c>
      <c r="M828" s="48" t="str">
        <f aca="false">IF($N828="","",IF(AND($N828='Comprovante DEV'!$D$6,$G828='Comprovante DEV'!$D$7),COUNTIFS($N$6:$N828,'Comprovante DEV'!$D$6,$G$6:$G828,'Comprovante DEV'!$D$7),""))</f>
        <v/>
      </c>
      <c r="N828" s="48" t="str">
        <f aca="false">IF($F828="","",IFERROR(VLOOKUP($F828,Apelidos_Tecnico!$A:$B,2,0),$F828))</f>
        <v/>
      </c>
    </row>
    <row r="829" customFormat="false" ht="15" hidden="false" customHeight="false" outlineLevel="0" collapsed="false">
      <c r="A829" s="25"/>
      <c r="B829" s="25"/>
      <c r="C829" s="26"/>
      <c r="D829" s="25"/>
      <c r="E829" s="25"/>
      <c r="F829" s="25"/>
      <c r="G829" s="27"/>
      <c r="H829" s="25"/>
      <c r="I829" s="26"/>
      <c r="J829" s="48" t="str">
        <f aca="false">IF($N829="","",IF(AND($N829=Consulta!$C$3,$G829&lt;&gt;"",$G829&gt;=Consulta!$C$4,$G829&lt;=Consulta!$C$5),COUNTIFS($N$6:$N829,Consulta!$C$3,$G$6:$G829,"&gt;="&amp;Consulta!$C$4,$G$6:$G829,"&lt;="&amp;Consulta!$C$5),""))</f>
        <v/>
      </c>
      <c r="K829" s="48" t="str">
        <f aca="false">IF($C829="","",IF(AND($C829=Consulta!$L$3,$G829&lt;&gt;"",$G829&gt;=Consulta!$L$4,$G829&lt;=Consulta!$L$5),COUNTIFS($C$6:$C829,Consulta!$L$3,$G$6:$G829,"&gt;="&amp;Consulta!$L$4,$G$6:$G829,"&lt;="&amp;Consulta!$L$5),""))</f>
        <v/>
      </c>
      <c r="L829" s="48" t="str">
        <f aca="false">IF($D829="","",IF($D829=Consulta!$S$3,COUNTIF($D$6:$D829,Consulta!$S$3),""))</f>
        <v/>
      </c>
      <c r="M829" s="48" t="str">
        <f aca="false">IF($N829="","",IF(AND($N829='Comprovante DEV'!$D$6,$G829='Comprovante DEV'!$D$7),COUNTIFS($N$6:$N829,'Comprovante DEV'!$D$6,$G$6:$G829,'Comprovante DEV'!$D$7),""))</f>
        <v/>
      </c>
      <c r="N829" s="48" t="str">
        <f aca="false">IF($F829="","",IFERROR(VLOOKUP($F829,Apelidos_Tecnico!$A:$B,2,0),$F829))</f>
        <v/>
      </c>
    </row>
    <row r="830" customFormat="false" ht="15" hidden="false" customHeight="false" outlineLevel="0" collapsed="false">
      <c r="A830" s="25"/>
      <c r="B830" s="25"/>
      <c r="C830" s="26"/>
      <c r="D830" s="25"/>
      <c r="E830" s="25"/>
      <c r="F830" s="25"/>
      <c r="G830" s="27"/>
      <c r="H830" s="25"/>
      <c r="I830" s="26"/>
      <c r="J830" s="48" t="str">
        <f aca="false">IF($N830="","",IF(AND($N830=Consulta!$C$3,$G830&lt;&gt;"",$G830&gt;=Consulta!$C$4,$G830&lt;=Consulta!$C$5),COUNTIFS($N$6:$N830,Consulta!$C$3,$G$6:$G830,"&gt;="&amp;Consulta!$C$4,$G$6:$G830,"&lt;="&amp;Consulta!$C$5),""))</f>
        <v/>
      </c>
      <c r="K830" s="48" t="str">
        <f aca="false">IF($C830="","",IF(AND($C830=Consulta!$L$3,$G830&lt;&gt;"",$G830&gt;=Consulta!$L$4,$G830&lt;=Consulta!$L$5),COUNTIFS($C$6:$C830,Consulta!$L$3,$G$6:$G830,"&gt;="&amp;Consulta!$L$4,$G$6:$G830,"&lt;="&amp;Consulta!$L$5),""))</f>
        <v/>
      </c>
      <c r="L830" s="48" t="str">
        <f aca="false">IF($D830="","",IF($D830=Consulta!$S$3,COUNTIF($D$6:$D830,Consulta!$S$3),""))</f>
        <v/>
      </c>
      <c r="M830" s="48" t="str">
        <f aca="false">IF($N830="","",IF(AND($N830='Comprovante DEV'!$D$6,$G830='Comprovante DEV'!$D$7),COUNTIFS($N$6:$N830,'Comprovante DEV'!$D$6,$G$6:$G830,'Comprovante DEV'!$D$7),""))</f>
        <v/>
      </c>
      <c r="N830" s="48" t="str">
        <f aca="false">IF($F830="","",IFERROR(VLOOKUP($F830,Apelidos_Tecnico!$A:$B,2,0),$F830))</f>
        <v/>
      </c>
    </row>
    <row r="831" customFormat="false" ht="15" hidden="false" customHeight="false" outlineLevel="0" collapsed="false">
      <c r="A831" s="25"/>
      <c r="B831" s="25"/>
      <c r="C831" s="26"/>
      <c r="D831" s="25"/>
      <c r="E831" s="25"/>
      <c r="F831" s="25"/>
      <c r="G831" s="27"/>
      <c r="H831" s="25"/>
      <c r="I831" s="26"/>
      <c r="J831" s="48" t="str">
        <f aca="false">IF($N831="","",IF(AND($N831=Consulta!$C$3,$G831&lt;&gt;"",$G831&gt;=Consulta!$C$4,$G831&lt;=Consulta!$C$5),COUNTIFS($N$6:$N831,Consulta!$C$3,$G$6:$G831,"&gt;="&amp;Consulta!$C$4,$G$6:$G831,"&lt;="&amp;Consulta!$C$5),""))</f>
        <v/>
      </c>
      <c r="K831" s="48" t="str">
        <f aca="false">IF($C831="","",IF(AND($C831=Consulta!$L$3,$G831&lt;&gt;"",$G831&gt;=Consulta!$L$4,$G831&lt;=Consulta!$L$5),COUNTIFS($C$6:$C831,Consulta!$L$3,$G$6:$G831,"&gt;="&amp;Consulta!$L$4,$G$6:$G831,"&lt;="&amp;Consulta!$L$5),""))</f>
        <v/>
      </c>
      <c r="L831" s="48" t="str">
        <f aca="false">IF($D831="","",IF($D831=Consulta!$S$3,COUNTIF($D$6:$D831,Consulta!$S$3),""))</f>
        <v/>
      </c>
      <c r="M831" s="48" t="str">
        <f aca="false">IF($N831="","",IF(AND($N831='Comprovante DEV'!$D$6,$G831='Comprovante DEV'!$D$7),COUNTIFS($N$6:$N831,'Comprovante DEV'!$D$6,$G$6:$G831,'Comprovante DEV'!$D$7),""))</f>
        <v/>
      </c>
      <c r="N831" s="48" t="str">
        <f aca="false">IF($F831="","",IFERROR(VLOOKUP($F831,Apelidos_Tecnico!$A:$B,2,0),$F831))</f>
        <v/>
      </c>
    </row>
    <row r="832" customFormat="false" ht="15" hidden="false" customHeight="false" outlineLevel="0" collapsed="false">
      <c r="A832" s="25"/>
      <c r="B832" s="25"/>
      <c r="C832" s="26"/>
      <c r="D832" s="25"/>
      <c r="E832" s="25"/>
      <c r="F832" s="25"/>
      <c r="G832" s="27"/>
      <c r="H832" s="25"/>
      <c r="I832" s="26"/>
      <c r="J832" s="48" t="str">
        <f aca="false">IF($N832="","",IF(AND($N832=Consulta!$C$3,$G832&lt;&gt;"",$G832&gt;=Consulta!$C$4,$G832&lt;=Consulta!$C$5),COUNTIFS($N$6:$N832,Consulta!$C$3,$G$6:$G832,"&gt;="&amp;Consulta!$C$4,$G$6:$G832,"&lt;="&amp;Consulta!$C$5),""))</f>
        <v/>
      </c>
      <c r="K832" s="48" t="str">
        <f aca="false">IF($C832="","",IF(AND($C832=Consulta!$L$3,$G832&lt;&gt;"",$G832&gt;=Consulta!$L$4,$G832&lt;=Consulta!$L$5),COUNTIFS($C$6:$C832,Consulta!$L$3,$G$6:$G832,"&gt;="&amp;Consulta!$L$4,$G$6:$G832,"&lt;="&amp;Consulta!$L$5),""))</f>
        <v/>
      </c>
      <c r="L832" s="48" t="str">
        <f aca="false">IF($D832="","",IF($D832=Consulta!$S$3,COUNTIF($D$6:$D832,Consulta!$S$3),""))</f>
        <v/>
      </c>
      <c r="M832" s="48" t="str">
        <f aca="false">IF($N832="","",IF(AND($N832='Comprovante DEV'!$D$6,$G832='Comprovante DEV'!$D$7),COUNTIFS($N$6:$N832,'Comprovante DEV'!$D$6,$G$6:$G832,'Comprovante DEV'!$D$7),""))</f>
        <v/>
      </c>
      <c r="N832" s="48" t="str">
        <f aca="false">IF($F832="","",IFERROR(VLOOKUP($F832,Apelidos_Tecnico!$A:$B,2,0),$F832))</f>
        <v/>
      </c>
    </row>
    <row r="833" customFormat="false" ht="15" hidden="false" customHeight="false" outlineLevel="0" collapsed="false">
      <c r="A833" s="25"/>
      <c r="B833" s="25"/>
      <c r="C833" s="26"/>
      <c r="D833" s="25"/>
      <c r="E833" s="25"/>
      <c r="F833" s="25"/>
      <c r="G833" s="27"/>
      <c r="H833" s="25"/>
      <c r="I833" s="26"/>
      <c r="J833" s="48" t="str">
        <f aca="false">IF($N833="","",IF(AND($N833=Consulta!$C$3,$G833&lt;&gt;"",$G833&gt;=Consulta!$C$4,$G833&lt;=Consulta!$C$5),COUNTIFS($N$6:$N833,Consulta!$C$3,$G$6:$G833,"&gt;="&amp;Consulta!$C$4,$G$6:$G833,"&lt;="&amp;Consulta!$C$5),""))</f>
        <v/>
      </c>
      <c r="K833" s="48" t="str">
        <f aca="false">IF($C833="","",IF(AND($C833=Consulta!$L$3,$G833&lt;&gt;"",$G833&gt;=Consulta!$L$4,$G833&lt;=Consulta!$L$5),COUNTIFS($C$6:$C833,Consulta!$L$3,$G$6:$G833,"&gt;="&amp;Consulta!$L$4,$G$6:$G833,"&lt;="&amp;Consulta!$L$5),""))</f>
        <v/>
      </c>
      <c r="L833" s="48" t="str">
        <f aca="false">IF($D833="","",IF($D833=Consulta!$S$3,COUNTIF($D$6:$D833,Consulta!$S$3),""))</f>
        <v/>
      </c>
      <c r="M833" s="48" t="str">
        <f aca="false">IF($N833="","",IF(AND($N833='Comprovante DEV'!$D$6,$G833='Comprovante DEV'!$D$7),COUNTIFS($N$6:$N833,'Comprovante DEV'!$D$6,$G$6:$G833,'Comprovante DEV'!$D$7),""))</f>
        <v/>
      </c>
      <c r="N833" s="48" t="str">
        <f aca="false">IF($F833="","",IFERROR(VLOOKUP($F833,Apelidos_Tecnico!$A:$B,2,0),$F833))</f>
        <v/>
      </c>
    </row>
    <row r="834" customFormat="false" ht="15" hidden="false" customHeight="false" outlineLevel="0" collapsed="false">
      <c r="A834" s="25"/>
      <c r="B834" s="25"/>
      <c r="C834" s="26"/>
      <c r="D834" s="25"/>
      <c r="E834" s="25"/>
      <c r="F834" s="25"/>
      <c r="G834" s="27"/>
      <c r="H834" s="25"/>
      <c r="I834" s="26"/>
      <c r="J834" s="48" t="str">
        <f aca="false">IF($N834="","",IF(AND($N834=Consulta!$C$3,$G834&lt;&gt;"",$G834&gt;=Consulta!$C$4,$G834&lt;=Consulta!$C$5),COUNTIFS($N$6:$N834,Consulta!$C$3,$G$6:$G834,"&gt;="&amp;Consulta!$C$4,$G$6:$G834,"&lt;="&amp;Consulta!$C$5),""))</f>
        <v/>
      </c>
      <c r="K834" s="48" t="str">
        <f aca="false">IF($C834="","",IF(AND($C834=Consulta!$L$3,$G834&lt;&gt;"",$G834&gt;=Consulta!$L$4,$G834&lt;=Consulta!$L$5),COUNTIFS($C$6:$C834,Consulta!$L$3,$G$6:$G834,"&gt;="&amp;Consulta!$L$4,$G$6:$G834,"&lt;="&amp;Consulta!$L$5),""))</f>
        <v/>
      </c>
      <c r="L834" s="48" t="str">
        <f aca="false">IF($D834="","",IF($D834=Consulta!$S$3,COUNTIF($D$6:$D834,Consulta!$S$3),""))</f>
        <v/>
      </c>
      <c r="M834" s="48" t="str">
        <f aca="false">IF($N834="","",IF(AND($N834='Comprovante DEV'!$D$6,$G834='Comprovante DEV'!$D$7),COUNTIFS($N$6:$N834,'Comprovante DEV'!$D$6,$G$6:$G834,'Comprovante DEV'!$D$7),""))</f>
        <v/>
      </c>
      <c r="N834" s="48" t="str">
        <f aca="false">IF($F834="","",IFERROR(VLOOKUP($F834,Apelidos_Tecnico!$A:$B,2,0),$F834))</f>
        <v/>
      </c>
    </row>
    <row r="835" customFormat="false" ht="15" hidden="false" customHeight="false" outlineLevel="0" collapsed="false">
      <c r="A835" s="25"/>
      <c r="B835" s="25"/>
      <c r="C835" s="26"/>
      <c r="D835" s="25"/>
      <c r="E835" s="25"/>
      <c r="F835" s="25"/>
      <c r="G835" s="27"/>
      <c r="H835" s="25"/>
      <c r="I835" s="26"/>
      <c r="J835" s="48" t="str">
        <f aca="false">IF($N835="","",IF(AND($N835=Consulta!$C$3,$G835&lt;&gt;"",$G835&gt;=Consulta!$C$4,$G835&lt;=Consulta!$C$5),COUNTIFS($N$6:$N835,Consulta!$C$3,$G$6:$G835,"&gt;="&amp;Consulta!$C$4,$G$6:$G835,"&lt;="&amp;Consulta!$C$5),""))</f>
        <v/>
      </c>
      <c r="K835" s="48" t="str">
        <f aca="false">IF($C835="","",IF(AND($C835=Consulta!$L$3,$G835&lt;&gt;"",$G835&gt;=Consulta!$L$4,$G835&lt;=Consulta!$L$5),COUNTIFS($C$6:$C835,Consulta!$L$3,$G$6:$G835,"&gt;="&amp;Consulta!$L$4,$G$6:$G835,"&lt;="&amp;Consulta!$L$5),""))</f>
        <v/>
      </c>
      <c r="L835" s="48" t="str">
        <f aca="false">IF($D835="","",IF($D835=Consulta!$S$3,COUNTIF($D$6:$D835,Consulta!$S$3),""))</f>
        <v/>
      </c>
      <c r="M835" s="48" t="str">
        <f aca="false">IF($N835="","",IF(AND($N835='Comprovante DEV'!$D$6,$G835='Comprovante DEV'!$D$7),COUNTIFS($N$6:$N835,'Comprovante DEV'!$D$6,$G$6:$G835,'Comprovante DEV'!$D$7),""))</f>
        <v/>
      </c>
      <c r="N835" s="48" t="str">
        <f aca="false">IF($F835="","",IFERROR(VLOOKUP($F835,Apelidos_Tecnico!$A:$B,2,0),$F835))</f>
        <v/>
      </c>
    </row>
    <row r="836" customFormat="false" ht="15" hidden="false" customHeight="false" outlineLevel="0" collapsed="false">
      <c r="A836" s="25"/>
      <c r="B836" s="25"/>
      <c r="C836" s="26"/>
      <c r="D836" s="25"/>
      <c r="E836" s="25"/>
      <c r="F836" s="25"/>
      <c r="G836" s="27"/>
      <c r="H836" s="25"/>
      <c r="I836" s="26"/>
      <c r="J836" s="48" t="str">
        <f aca="false">IF($N836="","",IF(AND($N836=Consulta!$C$3,$G836&lt;&gt;"",$G836&gt;=Consulta!$C$4,$G836&lt;=Consulta!$C$5),COUNTIFS($N$6:$N836,Consulta!$C$3,$G$6:$G836,"&gt;="&amp;Consulta!$C$4,$G$6:$G836,"&lt;="&amp;Consulta!$C$5),""))</f>
        <v/>
      </c>
      <c r="K836" s="48" t="str">
        <f aca="false">IF($C836="","",IF(AND($C836=Consulta!$L$3,$G836&lt;&gt;"",$G836&gt;=Consulta!$L$4,$G836&lt;=Consulta!$L$5),COUNTIFS($C$6:$C836,Consulta!$L$3,$G$6:$G836,"&gt;="&amp;Consulta!$L$4,$G$6:$G836,"&lt;="&amp;Consulta!$L$5),""))</f>
        <v/>
      </c>
      <c r="L836" s="48" t="str">
        <f aca="false">IF($D836="","",IF($D836=Consulta!$S$3,COUNTIF($D$6:$D836,Consulta!$S$3),""))</f>
        <v/>
      </c>
      <c r="M836" s="48" t="str">
        <f aca="false">IF($N836="","",IF(AND($N836='Comprovante DEV'!$D$6,$G836='Comprovante DEV'!$D$7),COUNTIFS($N$6:$N836,'Comprovante DEV'!$D$6,$G$6:$G836,'Comprovante DEV'!$D$7),""))</f>
        <v/>
      </c>
      <c r="N836" s="48" t="str">
        <f aca="false">IF($F836="","",IFERROR(VLOOKUP($F836,Apelidos_Tecnico!$A:$B,2,0),$F836))</f>
        <v/>
      </c>
    </row>
    <row r="837" customFormat="false" ht="15" hidden="false" customHeight="false" outlineLevel="0" collapsed="false">
      <c r="A837" s="25"/>
      <c r="B837" s="25"/>
      <c r="C837" s="26"/>
      <c r="D837" s="25"/>
      <c r="E837" s="25"/>
      <c r="F837" s="25"/>
      <c r="G837" s="27"/>
      <c r="H837" s="25"/>
      <c r="I837" s="26"/>
      <c r="J837" s="48" t="str">
        <f aca="false">IF($N837="","",IF(AND($N837=Consulta!$C$3,$G837&lt;&gt;"",$G837&gt;=Consulta!$C$4,$G837&lt;=Consulta!$C$5),COUNTIFS($N$6:$N837,Consulta!$C$3,$G$6:$G837,"&gt;="&amp;Consulta!$C$4,$G$6:$G837,"&lt;="&amp;Consulta!$C$5),""))</f>
        <v/>
      </c>
      <c r="K837" s="48" t="str">
        <f aca="false">IF($C837="","",IF(AND($C837=Consulta!$L$3,$G837&lt;&gt;"",$G837&gt;=Consulta!$L$4,$G837&lt;=Consulta!$L$5),COUNTIFS($C$6:$C837,Consulta!$L$3,$G$6:$G837,"&gt;="&amp;Consulta!$L$4,$G$6:$G837,"&lt;="&amp;Consulta!$L$5),""))</f>
        <v/>
      </c>
      <c r="L837" s="48" t="str">
        <f aca="false">IF($D837="","",IF($D837=Consulta!$S$3,COUNTIF($D$6:$D837,Consulta!$S$3),""))</f>
        <v/>
      </c>
      <c r="M837" s="48" t="str">
        <f aca="false">IF($N837="","",IF(AND($N837='Comprovante DEV'!$D$6,$G837='Comprovante DEV'!$D$7),COUNTIFS($N$6:$N837,'Comprovante DEV'!$D$6,$G$6:$G837,'Comprovante DEV'!$D$7),""))</f>
        <v/>
      </c>
      <c r="N837" s="48" t="str">
        <f aca="false">IF($F837="","",IFERROR(VLOOKUP($F837,Apelidos_Tecnico!$A:$B,2,0),$F837))</f>
        <v/>
      </c>
    </row>
    <row r="838" customFormat="false" ht="15" hidden="false" customHeight="false" outlineLevel="0" collapsed="false">
      <c r="A838" s="25"/>
      <c r="B838" s="25"/>
      <c r="C838" s="26"/>
      <c r="D838" s="25"/>
      <c r="E838" s="25"/>
      <c r="F838" s="25"/>
      <c r="G838" s="27"/>
      <c r="H838" s="25"/>
      <c r="I838" s="26"/>
      <c r="J838" s="48" t="str">
        <f aca="false">IF($N838="","",IF(AND($N838=Consulta!$C$3,$G838&lt;&gt;"",$G838&gt;=Consulta!$C$4,$G838&lt;=Consulta!$C$5),COUNTIFS($N$6:$N838,Consulta!$C$3,$G$6:$G838,"&gt;="&amp;Consulta!$C$4,$G$6:$G838,"&lt;="&amp;Consulta!$C$5),""))</f>
        <v/>
      </c>
      <c r="K838" s="48" t="str">
        <f aca="false">IF($C838="","",IF(AND($C838=Consulta!$L$3,$G838&lt;&gt;"",$G838&gt;=Consulta!$L$4,$G838&lt;=Consulta!$L$5),COUNTIFS($C$6:$C838,Consulta!$L$3,$G$6:$G838,"&gt;="&amp;Consulta!$L$4,$G$6:$G838,"&lt;="&amp;Consulta!$L$5),""))</f>
        <v/>
      </c>
      <c r="L838" s="48" t="str">
        <f aca="false">IF($D838="","",IF($D838=Consulta!$S$3,COUNTIF($D$6:$D838,Consulta!$S$3),""))</f>
        <v/>
      </c>
      <c r="M838" s="48" t="str">
        <f aca="false">IF($N838="","",IF(AND($N838='Comprovante DEV'!$D$6,$G838='Comprovante DEV'!$D$7),COUNTIFS($N$6:$N838,'Comprovante DEV'!$D$6,$G$6:$G838,'Comprovante DEV'!$D$7),""))</f>
        <v/>
      </c>
      <c r="N838" s="48" t="str">
        <f aca="false">IF($F838="","",IFERROR(VLOOKUP($F838,Apelidos_Tecnico!$A:$B,2,0),$F838))</f>
        <v/>
      </c>
    </row>
    <row r="839" customFormat="false" ht="15" hidden="false" customHeight="false" outlineLevel="0" collapsed="false">
      <c r="A839" s="25"/>
      <c r="B839" s="25"/>
      <c r="C839" s="26"/>
      <c r="D839" s="25"/>
      <c r="E839" s="25"/>
      <c r="F839" s="25"/>
      <c r="G839" s="27"/>
      <c r="H839" s="25"/>
      <c r="I839" s="26"/>
      <c r="J839" s="48" t="str">
        <f aca="false">IF($N839="","",IF(AND($N839=Consulta!$C$3,$G839&lt;&gt;"",$G839&gt;=Consulta!$C$4,$G839&lt;=Consulta!$C$5),COUNTIFS($N$6:$N839,Consulta!$C$3,$G$6:$G839,"&gt;="&amp;Consulta!$C$4,$G$6:$G839,"&lt;="&amp;Consulta!$C$5),""))</f>
        <v/>
      </c>
      <c r="K839" s="48" t="str">
        <f aca="false">IF($C839="","",IF(AND($C839=Consulta!$L$3,$G839&lt;&gt;"",$G839&gt;=Consulta!$L$4,$G839&lt;=Consulta!$L$5),COUNTIFS($C$6:$C839,Consulta!$L$3,$G$6:$G839,"&gt;="&amp;Consulta!$L$4,$G$6:$G839,"&lt;="&amp;Consulta!$L$5),""))</f>
        <v/>
      </c>
      <c r="L839" s="48" t="str">
        <f aca="false">IF($D839="","",IF($D839=Consulta!$S$3,COUNTIF($D$6:$D839,Consulta!$S$3),""))</f>
        <v/>
      </c>
      <c r="M839" s="48" t="str">
        <f aca="false">IF($N839="","",IF(AND($N839='Comprovante DEV'!$D$6,$G839='Comprovante DEV'!$D$7),COUNTIFS($N$6:$N839,'Comprovante DEV'!$D$6,$G$6:$G839,'Comprovante DEV'!$D$7),""))</f>
        <v/>
      </c>
      <c r="N839" s="48" t="str">
        <f aca="false">IF($F839="","",IFERROR(VLOOKUP($F839,Apelidos_Tecnico!$A:$B,2,0),$F839))</f>
        <v/>
      </c>
    </row>
    <row r="840" customFormat="false" ht="15" hidden="false" customHeight="false" outlineLevel="0" collapsed="false">
      <c r="A840" s="25"/>
      <c r="B840" s="25"/>
      <c r="C840" s="26"/>
      <c r="D840" s="25"/>
      <c r="E840" s="25"/>
      <c r="F840" s="25"/>
      <c r="G840" s="27"/>
      <c r="H840" s="25"/>
      <c r="I840" s="26"/>
      <c r="J840" s="48" t="str">
        <f aca="false">IF($N840="","",IF(AND($N840=Consulta!$C$3,$G840&lt;&gt;"",$G840&gt;=Consulta!$C$4,$G840&lt;=Consulta!$C$5),COUNTIFS($N$6:$N840,Consulta!$C$3,$G$6:$G840,"&gt;="&amp;Consulta!$C$4,$G$6:$G840,"&lt;="&amp;Consulta!$C$5),""))</f>
        <v/>
      </c>
      <c r="K840" s="48" t="str">
        <f aca="false">IF($C840="","",IF(AND($C840=Consulta!$L$3,$G840&lt;&gt;"",$G840&gt;=Consulta!$L$4,$G840&lt;=Consulta!$L$5),COUNTIFS($C$6:$C840,Consulta!$L$3,$G$6:$G840,"&gt;="&amp;Consulta!$L$4,$G$6:$G840,"&lt;="&amp;Consulta!$L$5),""))</f>
        <v/>
      </c>
      <c r="L840" s="48" t="str">
        <f aca="false">IF($D840="","",IF($D840=Consulta!$S$3,COUNTIF($D$6:$D840,Consulta!$S$3),""))</f>
        <v/>
      </c>
      <c r="M840" s="48" t="str">
        <f aca="false">IF($N840="","",IF(AND($N840='Comprovante DEV'!$D$6,$G840='Comprovante DEV'!$D$7),COUNTIFS($N$6:$N840,'Comprovante DEV'!$D$6,$G$6:$G840,'Comprovante DEV'!$D$7),""))</f>
        <v/>
      </c>
      <c r="N840" s="48" t="str">
        <f aca="false">IF($F840="","",IFERROR(VLOOKUP($F840,Apelidos_Tecnico!$A:$B,2,0),$F840))</f>
        <v/>
      </c>
    </row>
    <row r="841" customFormat="false" ht="15" hidden="false" customHeight="false" outlineLevel="0" collapsed="false">
      <c r="A841" s="25"/>
      <c r="B841" s="25"/>
      <c r="C841" s="26"/>
      <c r="D841" s="25"/>
      <c r="E841" s="25"/>
      <c r="F841" s="25"/>
      <c r="G841" s="27"/>
      <c r="H841" s="25"/>
      <c r="I841" s="26"/>
      <c r="J841" s="48" t="str">
        <f aca="false">IF($N841="","",IF(AND($N841=Consulta!$C$3,$G841&lt;&gt;"",$G841&gt;=Consulta!$C$4,$G841&lt;=Consulta!$C$5),COUNTIFS($N$6:$N841,Consulta!$C$3,$G$6:$G841,"&gt;="&amp;Consulta!$C$4,$G$6:$G841,"&lt;="&amp;Consulta!$C$5),""))</f>
        <v/>
      </c>
      <c r="K841" s="48" t="str">
        <f aca="false">IF($C841="","",IF(AND($C841=Consulta!$L$3,$G841&lt;&gt;"",$G841&gt;=Consulta!$L$4,$G841&lt;=Consulta!$L$5),COUNTIFS($C$6:$C841,Consulta!$L$3,$G$6:$G841,"&gt;="&amp;Consulta!$L$4,$G$6:$G841,"&lt;="&amp;Consulta!$L$5),""))</f>
        <v/>
      </c>
      <c r="L841" s="48" t="str">
        <f aca="false">IF($D841="","",IF($D841=Consulta!$S$3,COUNTIF($D$6:$D841,Consulta!$S$3),""))</f>
        <v/>
      </c>
      <c r="M841" s="48" t="str">
        <f aca="false">IF($N841="","",IF(AND($N841='Comprovante DEV'!$D$6,$G841='Comprovante DEV'!$D$7),COUNTIFS($N$6:$N841,'Comprovante DEV'!$D$6,$G$6:$G841,'Comprovante DEV'!$D$7),""))</f>
        <v/>
      </c>
      <c r="N841" s="48" t="str">
        <f aca="false">IF($F841="","",IFERROR(VLOOKUP($F841,Apelidos_Tecnico!$A:$B,2,0),$F841))</f>
        <v/>
      </c>
    </row>
    <row r="842" customFormat="false" ht="15" hidden="false" customHeight="false" outlineLevel="0" collapsed="false">
      <c r="A842" s="25"/>
      <c r="B842" s="25"/>
      <c r="C842" s="26"/>
      <c r="D842" s="25"/>
      <c r="E842" s="25"/>
      <c r="F842" s="25"/>
      <c r="G842" s="27"/>
      <c r="H842" s="25"/>
      <c r="I842" s="26"/>
      <c r="J842" s="48" t="str">
        <f aca="false">IF($N842="","",IF(AND($N842=Consulta!$C$3,$G842&lt;&gt;"",$G842&gt;=Consulta!$C$4,$G842&lt;=Consulta!$C$5),COUNTIFS($N$6:$N842,Consulta!$C$3,$G$6:$G842,"&gt;="&amp;Consulta!$C$4,$G$6:$G842,"&lt;="&amp;Consulta!$C$5),""))</f>
        <v/>
      </c>
      <c r="K842" s="48" t="str">
        <f aca="false">IF($C842="","",IF(AND($C842=Consulta!$L$3,$G842&lt;&gt;"",$G842&gt;=Consulta!$L$4,$G842&lt;=Consulta!$L$5),COUNTIFS($C$6:$C842,Consulta!$L$3,$G$6:$G842,"&gt;="&amp;Consulta!$L$4,$G$6:$G842,"&lt;="&amp;Consulta!$L$5),""))</f>
        <v/>
      </c>
      <c r="L842" s="48" t="str">
        <f aca="false">IF($D842="","",IF($D842=Consulta!$S$3,COUNTIF($D$6:$D842,Consulta!$S$3),""))</f>
        <v/>
      </c>
      <c r="M842" s="48" t="str">
        <f aca="false">IF($N842="","",IF(AND($N842='Comprovante DEV'!$D$6,$G842='Comprovante DEV'!$D$7),COUNTIFS($N$6:$N842,'Comprovante DEV'!$D$6,$G$6:$G842,'Comprovante DEV'!$D$7),""))</f>
        <v/>
      </c>
      <c r="N842" s="48" t="str">
        <f aca="false">IF($F842="","",IFERROR(VLOOKUP($F842,Apelidos_Tecnico!$A:$B,2,0),$F842))</f>
        <v/>
      </c>
    </row>
    <row r="843" customFormat="false" ht="15" hidden="false" customHeight="false" outlineLevel="0" collapsed="false">
      <c r="A843" s="25"/>
      <c r="B843" s="25"/>
      <c r="C843" s="26"/>
      <c r="D843" s="25"/>
      <c r="E843" s="25"/>
      <c r="F843" s="25"/>
      <c r="G843" s="27"/>
      <c r="H843" s="25"/>
      <c r="I843" s="26"/>
      <c r="J843" s="48" t="str">
        <f aca="false">IF($N843="","",IF(AND($N843=Consulta!$C$3,$G843&lt;&gt;"",$G843&gt;=Consulta!$C$4,$G843&lt;=Consulta!$C$5),COUNTIFS($N$6:$N843,Consulta!$C$3,$G$6:$G843,"&gt;="&amp;Consulta!$C$4,$G$6:$G843,"&lt;="&amp;Consulta!$C$5),""))</f>
        <v/>
      </c>
      <c r="K843" s="48" t="str">
        <f aca="false">IF($C843="","",IF(AND($C843=Consulta!$L$3,$G843&lt;&gt;"",$G843&gt;=Consulta!$L$4,$G843&lt;=Consulta!$L$5),COUNTIFS($C$6:$C843,Consulta!$L$3,$G$6:$G843,"&gt;="&amp;Consulta!$L$4,$G$6:$G843,"&lt;="&amp;Consulta!$L$5),""))</f>
        <v/>
      </c>
      <c r="L843" s="48" t="str">
        <f aca="false">IF($D843="","",IF($D843=Consulta!$S$3,COUNTIF($D$6:$D843,Consulta!$S$3),""))</f>
        <v/>
      </c>
      <c r="M843" s="48" t="str">
        <f aca="false">IF($N843="","",IF(AND($N843='Comprovante DEV'!$D$6,$G843='Comprovante DEV'!$D$7),COUNTIFS($N$6:$N843,'Comprovante DEV'!$D$6,$G$6:$G843,'Comprovante DEV'!$D$7),""))</f>
        <v/>
      </c>
      <c r="N843" s="48" t="str">
        <f aca="false">IF($F843="","",IFERROR(VLOOKUP($F843,Apelidos_Tecnico!$A:$B,2,0),$F843))</f>
        <v/>
      </c>
    </row>
    <row r="844" customFormat="false" ht="15" hidden="false" customHeight="false" outlineLevel="0" collapsed="false">
      <c r="A844" s="25"/>
      <c r="B844" s="25"/>
      <c r="C844" s="26"/>
      <c r="D844" s="25"/>
      <c r="E844" s="25"/>
      <c r="F844" s="25"/>
      <c r="G844" s="27"/>
      <c r="H844" s="25"/>
      <c r="I844" s="26"/>
      <c r="J844" s="48" t="str">
        <f aca="false">IF($N844="","",IF(AND($N844=Consulta!$C$3,$G844&lt;&gt;"",$G844&gt;=Consulta!$C$4,$G844&lt;=Consulta!$C$5),COUNTIFS($N$6:$N844,Consulta!$C$3,$G$6:$G844,"&gt;="&amp;Consulta!$C$4,$G$6:$G844,"&lt;="&amp;Consulta!$C$5),""))</f>
        <v/>
      </c>
      <c r="K844" s="48" t="str">
        <f aca="false">IF($C844="","",IF(AND($C844=Consulta!$L$3,$G844&lt;&gt;"",$G844&gt;=Consulta!$L$4,$G844&lt;=Consulta!$L$5),COUNTIFS($C$6:$C844,Consulta!$L$3,$G$6:$G844,"&gt;="&amp;Consulta!$L$4,$G$6:$G844,"&lt;="&amp;Consulta!$L$5),""))</f>
        <v/>
      </c>
      <c r="L844" s="48" t="str">
        <f aca="false">IF($D844="","",IF($D844=Consulta!$S$3,COUNTIF($D$6:$D844,Consulta!$S$3),""))</f>
        <v/>
      </c>
      <c r="M844" s="48" t="str">
        <f aca="false">IF($N844="","",IF(AND($N844='Comprovante DEV'!$D$6,$G844='Comprovante DEV'!$D$7),COUNTIFS($N$6:$N844,'Comprovante DEV'!$D$6,$G$6:$G844,'Comprovante DEV'!$D$7),""))</f>
        <v/>
      </c>
      <c r="N844" s="48" t="str">
        <f aca="false">IF($F844="","",IFERROR(VLOOKUP($F844,Apelidos_Tecnico!$A:$B,2,0),$F844))</f>
        <v/>
      </c>
    </row>
    <row r="845" customFormat="false" ht="15" hidden="false" customHeight="false" outlineLevel="0" collapsed="false">
      <c r="A845" s="25"/>
      <c r="B845" s="25"/>
      <c r="C845" s="26"/>
      <c r="D845" s="25"/>
      <c r="E845" s="25"/>
      <c r="F845" s="25"/>
      <c r="G845" s="27"/>
      <c r="H845" s="25"/>
      <c r="I845" s="26"/>
      <c r="J845" s="48" t="str">
        <f aca="false">IF($N845="","",IF(AND($N845=Consulta!$C$3,$G845&lt;&gt;"",$G845&gt;=Consulta!$C$4,$G845&lt;=Consulta!$C$5),COUNTIFS($N$6:$N845,Consulta!$C$3,$G$6:$G845,"&gt;="&amp;Consulta!$C$4,$G$6:$G845,"&lt;="&amp;Consulta!$C$5),""))</f>
        <v/>
      </c>
      <c r="K845" s="48" t="str">
        <f aca="false">IF($C845="","",IF(AND($C845=Consulta!$L$3,$G845&lt;&gt;"",$G845&gt;=Consulta!$L$4,$G845&lt;=Consulta!$L$5),COUNTIFS($C$6:$C845,Consulta!$L$3,$G$6:$G845,"&gt;="&amp;Consulta!$L$4,$G$6:$G845,"&lt;="&amp;Consulta!$L$5),""))</f>
        <v/>
      </c>
      <c r="L845" s="48" t="str">
        <f aca="false">IF($D845="","",IF($D845=Consulta!$S$3,COUNTIF($D$6:$D845,Consulta!$S$3),""))</f>
        <v/>
      </c>
      <c r="M845" s="48" t="str">
        <f aca="false">IF($N845="","",IF(AND($N845='Comprovante DEV'!$D$6,$G845='Comprovante DEV'!$D$7),COUNTIFS($N$6:$N845,'Comprovante DEV'!$D$6,$G$6:$G845,'Comprovante DEV'!$D$7),""))</f>
        <v/>
      </c>
      <c r="N845" s="48" t="str">
        <f aca="false">IF($F845="","",IFERROR(VLOOKUP($F845,Apelidos_Tecnico!$A:$B,2,0),$F845))</f>
        <v/>
      </c>
    </row>
    <row r="846" customFormat="false" ht="15" hidden="false" customHeight="false" outlineLevel="0" collapsed="false">
      <c r="A846" s="25"/>
      <c r="B846" s="25"/>
      <c r="C846" s="26"/>
      <c r="D846" s="25"/>
      <c r="E846" s="25"/>
      <c r="F846" s="25"/>
      <c r="G846" s="27"/>
      <c r="H846" s="25"/>
      <c r="I846" s="26"/>
      <c r="J846" s="48" t="str">
        <f aca="false">IF($N846="","",IF(AND($N846=Consulta!$C$3,$G846&lt;&gt;"",$G846&gt;=Consulta!$C$4,$G846&lt;=Consulta!$C$5),COUNTIFS($N$6:$N846,Consulta!$C$3,$G$6:$G846,"&gt;="&amp;Consulta!$C$4,$G$6:$G846,"&lt;="&amp;Consulta!$C$5),""))</f>
        <v/>
      </c>
      <c r="K846" s="48" t="str">
        <f aca="false">IF($C846="","",IF(AND($C846=Consulta!$L$3,$G846&lt;&gt;"",$G846&gt;=Consulta!$L$4,$G846&lt;=Consulta!$L$5),COUNTIFS($C$6:$C846,Consulta!$L$3,$G$6:$G846,"&gt;="&amp;Consulta!$L$4,$G$6:$G846,"&lt;="&amp;Consulta!$L$5),""))</f>
        <v/>
      </c>
      <c r="L846" s="48" t="str">
        <f aca="false">IF($D846="","",IF($D846=Consulta!$S$3,COUNTIF($D$6:$D846,Consulta!$S$3),""))</f>
        <v/>
      </c>
      <c r="M846" s="48" t="str">
        <f aca="false">IF($N846="","",IF(AND($N846='Comprovante DEV'!$D$6,$G846='Comprovante DEV'!$D$7),COUNTIFS($N$6:$N846,'Comprovante DEV'!$D$6,$G$6:$G846,'Comprovante DEV'!$D$7),""))</f>
        <v/>
      </c>
      <c r="N846" s="48" t="str">
        <f aca="false">IF($F846="","",IFERROR(VLOOKUP($F846,Apelidos_Tecnico!$A:$B,2,0),$F846))</f>
        <v/>
      </c>
    </row>
    <row r="847" customFormat="false" ht="15" hidden="false" customHeight="false" outlineLevel="0" collapsed="false">
      <c r="A847" s="25"/>
      <c r="B847" s="25"/>
      <c r="C847" s="26"/>
      <c r="D847" s="25"/>
      <c r="E847" s="25"/>
      <c r="F847" s="25"/>
      <c r="G847" s="27"/>
      <c r="H847" s="25"/>
      <c r="I847" s="26"/>
      <c r="J847" s="48" t="str">
        <f aca="false">IF($N847="","",IF(AND($N847=Consulta!$C$3,$G847&lt;&gt;"",$G847&gt;=Consulta!$C$4,$G847&lt;=Consulta!$C$5),COUNTIFS($N$6:$N847,Consulta!$C$3,$G$6:$G847,"&gt;="&amp;Consulta!$C$4,$G$6:$G847,"&lt;="&amp;Consulta!$C$5),""))</f>
        <v/>
      </c>
      <c r="K847" s="48" t="str">
        <f aca="false">IF($C847="","",IF(AND($C847=Consulta!$L$3,$G847&lt;&gt;"",$G847&gt;=Consulta!$L$4,$G847&lt;=Consulta!$L$5),COUNTIFS($C$6:$C847,Consulta!$L$3,$G$6:$G847,"&gt;="&amp;Consulta!$L$4,$G$6:$G847,"&lt;="&amp;Consulta!$L$5),""))</f>
        <v/>
      </c>
      <c r="L847" s="48" t="str">
        <f aca="false">IF($D847="","",IF($D847=Consulta!$S$3,COUNTIF($D$6:$D847,Consulta!$S$3),""))</f>
        <v/>
      </c>
      <c r="M847" s="48" t="str">
        <f aca="false">IF($N847="","",IF(AND($N847='Comprovante DEV'!$D$6,$G847='Comprovante DEV'!$D$7),COUNTIFS($N$6:$N847,'Comprovante DEV'!$D$6,$G$6:$G847,'Comprovante DEV'!$D$7),""))</f>
        <v/>
      </c>
      <c r="N847" s="48" t="str">
        <f aca="false">IF($F847="","",IFERROR(VLOOKUP($F847,Apelidos_Tecnico!$A:$B,2,0),$F847))</f>
        <v/>
      </c>
    </row>
    <row r="848" customFormat="false" ht="15" hidden="false" customHeight="false" outlineLevel="0" collapsed="false">
      <c r="A848" s="25"/>
      <c r="B848" s="25"/>
      <c r="C848" s="26"/>
      <c r="D848" s="25"/>
      <c r="E848" s="25"/>
      <c r="F848" s="25"/>
      <c r="G848" s="27"/>
      <c r="H848" s="25"/>
      <c r="I848" s="26"/>
      <c r="J848" s="48" t="str">
        <f aca="false">IF($N848="","",IF(AND($N848=Consulta!$C$3,$G848&lt;&gt;"",$G848&gt;=Consulta!$C$4,$G848&lt;=Consulta!$C$5),COUNTIFS($N$6:$N848,Consulta!$C$3,$G$6:$G848,"&gt;="&amp;Consulta!$C$4,$G$6:$G848,"&lt;="&amp;Consulta!$C$5),""))</f>
        <v/>
      </c>
      <c r="K848" s="48" t="str">
        <f aca="false">IF($C848="","",IF(AND($C848=Consulta!$L$3,$G848&lt;&gt;"",$G848&gt;=Consulta!$L$4,$G848&lt;=Consulta!$L$5),COUNTIFS($C$6:$C848,Consulta!$L$3,$G$6:$G848,"&gt;="&amp;Consulta!$L$4,$G$6:$G848,"&lt;="&amp;Consulta!$L$5),""))</f>
        <v/>
      </c>
      <c r="L848" s="48" t="str">
        <f aca="false">IF($D848="","",IF($D848=Consulta!$S$3,COUNTIF($D$6:$D848,Consulta!$S$3),""))</f>
        <v/>
      </c>
      <c r="M848" s="48" t="str">
        <f aca="false">IF($N848="","",IF(AND($N848='Comprovante DEV'!$D$6,$G848='Comprovante DEV'!$D$7),COUNTIFS($N$6:$N848,'Comprovante DEV'!$D$6,$G$6:$G848,'Comprovante DEV'!$D$7),""))</f>
        <v/>
      </c>
      <c r="N848" s="48" t="str">
        <f aca="false">IF($F848="","",IFERROR(VLOOKUP($F848,Apelidos_Tecnico!$A:$B,2,0),$F848))</f>
        <v/>
      </c>
    </row>
    <row r="849" customFormat="false" ht="15" hidden="false" customHeight="false" outlineLevel="0" collapsed="false">
      <c r="A849" s="25"/>
      <c r="B849" s="25"/>
      <c r="C849" s="26"/>
      <c r="D849" s="25"/>
      <c r="E849" s="25"/>
      <c r="F849" s="25"/>
      <c r="G849" s="27"/>
      <c r="H849" s="25"/>
      <c r="I849" s="26"/>
      <c r="J849" s="48" t="str">
        <f aca="false">IF($N849="","",IF(AND($N849=Consulta!$C$3,$G849&lt;&gt;"",$G849&gt;=Consulta!$C$4,$G849&lt;=Consulta!$C$5),COUNTIFS($N$6:$N849,Consulta!$C$3,$G$6:$G849,"&gt;="&amp;Consulta!$C$4,$G$6:$G849,"&lt;="&amp;Consulta!$C$5),""))</f>
        <v/>
      </c>
      <c r="K849" s="48" t="str">
        <f aca="false">IF($C849="","",IF(AND($C849=Consulta!$L$3,$G849&lt;&gt;"",$G849&gt;=Consulta!$L$4,$G849&lt;=Consulta!$L$5),COUNTIFS($C$6:$C849,Consulta!$L$3,$G$6:$G849,"&gt;="&amp;Consulta!$L$4,$G$6:$G849,"&lt;="&amp;Consulta!$L$5),""))</f>
        <v/>
      </c>
      <c r="L849" s="48" t="str">
        <f aca="false">IF($D849="","",IF($D849=Consulta!$S$3,COUNTIF($D$6:$D849,Consulta!$S$3),""))</f>
        <v/>
      </c>
      <c r="M849" s="48" t="str">
        <f aca="false">IF($N849="","",IF(AND($N849='Comprovante DEV'!$D$6,$G849='Comprovante DEV'!$D$7),COUNTIFS($N$6:$N849,'Comprovante DEV'!$D$6,$G$6:$G849,'Comprovante DEV'!$D$7),""))</f>
        <v/>
      </c>
      <c r="N849" s="48" t="str">
        <f aca="false">IF($F849="","",IFERROR(VLOOKUP($F849,Apelidos_Tecnico!$A:$B,2,0),$F849))</f>
        <v/>
      </c>
    </row>
    <row r="850" customFormat="false" ht="15" hidden="false" customHeight="false" outlineLevel="0" collapsed="false">
      <c r="A850" s="25"/>
      <c r="B850" s="25"/>
      <c r="C850" s="26"/>
      <c r="D850" s="25"/>
      <c r="E850" s="25"/>
      <c r="F850" s="25"/>
      <c r="G850" s="27"/>
      <c r="H850" s="25"/>
      <c r="I850" s="26"/>
      <c r="J850" s="48" t="str">
        <f aca="false">IF($N850="","",IF(AND($N850=Consulta!$C$3,$G850&lt;&gt;"",$G850&gt;=Consulta!$C$4,$G850&lt;=Consulta!$C$5),COUNTIFS($N$6:$N850,Consulta!$C$3,$G$6:$G850,"&gt;="&amp;Consulta!$C$4,$G$6:$G850,"&lt;="&amp;Consulta!$C$5),""))</f>
        <v/>
      </c>
      <c r="K850" s="48" t="str">
        <f aca="false">IF($C850="","",IF(AND($C850=Consulta!$L$3,$G850&lt;&gt;"",$G850&gt;=Consulta!$L$4,$G850&lt;=Consulta!$L$5),COUNTIFS($C$6:$C850,Consulta!$L$3,$G$6:$G850,"&gt;="&amp;Consulta!$L$4,$G$6:$G850,"&lt;="&amp;Consulta!$L$5),""))</f>
        <v/>
      </c>
      <c r="L850" s="48" t="str">
        <f aca="false">IF($D850="","",IF($D850=Consulta!$S$3,COUNTIF($D$6:$D850,Consulta!$S$3),""))</f>
        <v/>
      </c>
      <c r="M850" s="48" t="str">
        <f aca="false">IF($N850="","",IF(AND($N850='Comprovante DEV'!$D$6,$G850='Comprovante DEV'!$D$7),COUNTIFS($N$6:$N850,'Comprovante DEV'!$D$6,$G$6:$G850,'Comprovante DEV'!$D$7),""))</f>
        <v/>
      </c>
      <c r="N850" s="48" t="str">
        <f aca="false">IF($F850="","",IFERROR(VLOOKUP($F850,Apelidos_Tecnico!$A:$B,2,0),$F850))</f>
        <v/>
      </c>
    </row>
    <row r="851" customFormat="false" ht="15" hidden="false" customHeight="false" outlineLevel="0" collapsed="false">
      <c r="A851" s="25"/>
      <c r="B851" s="25"/>
      <c r="C851" s="26"/>
      <c r="D851" s="25"/>
      <c r="E851" s="25"/>
      <c r="F851" s="25"/>
      <c r="G851" s="27"/>
      <c r="H851" s="25"/>
      <c r="I851" s="26"/>
      <c r="J851" s="48" t="str">
        <f aca="false">IF($N851="","",IF(AND($N851=Consulta!$C$3,$G851&lt;&gt;"",$G851&gt;=Consulta!$C$4,$G851&lt;=Consulta!$C$5),COUNTIFS($N$6:$N851,Consulta!$C$3,$G$6:$G851,"&gt;="&amp;Consulta!$C$4,$G$6:$G851,"&lt;="&amp;Consulta!$C$5),""))</f>
        <v/>
      </c>
      <c r="K851" s="48" t="str">
        <f aca="false">IF($C851="","",IF(AND($C851=Consulta!$L$3,$G851&lt;&gt;"",$G851&gt;=Consulta!$L$4,$G851&lt;=Consulta!$L$5),COUNTIFS($C$6:$C851,Consulta!$L$3,$G$6:$G851,"&gt;="&amp;Consulta!$L$4,$G$6:$G851,"&lt;="&amp;Consulta!$L$5),""))</f>
        <v/>
      </c>
      <c r="L851" s="48" t="str">
        <f aca="false">IF($D851="","",IF($D851=Consulta!$S$3,COUNTIF($D$6:$D851,Consulta!$S$3),""))</f>
        <v/>
      </c>
      <c r="M851" s="48" t="str">
        <f aca="false">IF($N851="","",IF(AND($N851='Comprovante DEV'!$D$6,$G851='Comprovante DEV'!$D$7),COUNTIFS($N$6:$N851,'Comprovante DEV'!$D$6,$G$6:$G851,'Comprovante DEV'!$D$7),""))</f>
        <v/>
      </c>
      <c r="N851" s="48" t="str">
        <f aca="false">IF($F851="","",IFERROR(VLOOKUP($F851,Apelidos_Tecnico!$A:$B,2,0),$F851))</f>
        <v/>
      </c>
    </row>
    <row r="852" customFormat="false" ht="15" hidden="false" customHeight="false" outlineLevel="0" collapsed="false">
      <c r="A852" s="25"/>
      <c r="B852" s="25"/>
      <c r="C852" s="26"/>
      <c r="D852" s="25"/>
      <c r="E852" s="25"/>
      <c r="F852" s="25"/>
      <c r="G852" s="27"/>
      <c r="H852" s="25"/>
      <c r="I852" s="26"/>
      <c r="J852" s="48" t="str">
        <f aca="false">IF($N852="","",IF(AND($N852=Consulta!$C$3,$G852&lt;&gt;"",$G852&gt;=Consulta!$C$4,$G852&lt;=Consulta!$C$5),COUNTIFS($N$6:$N852,Consulta!$C$3,$G$6:$G852,"&gt;="&amp;Consulta!$C$4,$G$6:$G852,"&lt;="&amp;Consulta!$C$5),""))</f>
        <v/>
      </c>
      <c r="K852" s="48" t="str">
        <f aca="false">IF($C852="","",IF(AND($C852=Consulta!$L$3,$G852&lt;&gt;"",$G852&gt;=Consulta!$L$4,$G852&lt;=Consulta!$L$5),COUNTIFS($C$6:$C852,Consulta!$L$3,$G$6:$G852,"&gt;="&amp;Consulta!$L$4,$G$6:$G852,"&lt;="&amp;Consulta!$L$5),""))</f>
        <v/>
      </c>
      <c r="L852" s="48" t="str">
        <f aca="false">IF($D852="","",IF($D852=Consulta!$S$3,COUNTIF($D$6:$D852,Consulta!$S$3),""))</f>
        <v/>
      </c>
      <c r="M852" s="48" t="str">
        <f aca="false">IF($N852="","",IF(AND($N852='Comprovante DEV'!$D$6,$G852='Comprovante DEV'!$D$7),COUNTIFS($N$6:$N852,'Comprovante DEV'!$D$6,$G$6:$G852,'Comprovante DEV'!$D$7),""))</f>
        <v/>
      </c>
      <c r="N852" s="48" t="str">
        <f aca="false">IF($F852="","",IFERROR(VLOOKUP($F852,Apelidos_Tecnico!$A:$B,2,0),$F852))</f>
        <v/>
      </c>
    </row>
    <row r="853" customFormat="false" ht="15" hidden="false" customHeight="false" outlineLevel="0" collapsed="false">
      <c r="A853" s="25"/>
      <c r="B853" s="25"/>
      <c r="C853" s="26"/>
      <c r="D853" s="25"/>
      <c r="E853" s="25"/>
      <c r="F853" s="25"/>
      <c r="G853" s="27"/>
      <c r="H853" s="25"/>
      <c r="I853" s="26"/>
      <c r="J853" s="48" t="str">
        <f aca="false">IF($N853="","",IF(AND($N853=Consulta!$C$3,$G853&lt;&gt;"",$G853&gt;=Consulta!$C$4,$G853&lt;=Consulta!$C$5),COUNTIFS($N$6:$N853,Consulta!$C$3,$G$6:$G853,"&gt;="&amp;Consulta!$C$4,$G$6:$G853,"&lt;="&amp;Consulta!$C$5),""))</f>
        <v/>
      </c>
      <c r="K853" s="48" t="str">
        <f aca="false">IF($C853="","",IF(AND($C853=Consulta!$L$3,$G853&lt;&gt;"",$G853&gt;=Consulta!$L$4,$G853&lt;=Consulta!$L$5),COUNTIFS($C$6:$C853,Consulta!$L$3,$G$6:$G853,"&gt;="&amp;Consulta!$L$4,$G$6:$G853,"&lt;="&amp;Consulta!$L$5),""))</f>
        <v/>
      </c>
      <c r="L853" s="48" t="str">
        <f aca="false">IF($D853="","",IF($D853=Consulta!$S$3,COUNTIF($D$6:$D853,Consulta!$S$3),""))</f>
        <v/>
      </c>
      <c r="M853" s="48" t="str">
        <f aca="false">IF($N853="","",IF(AND($N853='Comprovante DEV'!$D$6,$G853='Comprovante DEV'!$D$7),COUNTIFS($N$6:$N853,'Comprovante DEV'!$D$6,$G$6:$G853,'Comprovante DEV'!$D$7),""))</f>
        <v/>
      </c>
      <c r="N853" s="48" t="str">
        <f aca="false">IF($F853="","",IFERROR(VLOOKUP($F853,Apelidos_Tecnico!$A:$B,2,0),$F853))</f>
        <v/>
      </c>
    </row>
    <row r="854" customFormat="false" ht="15" hidden="false" customHeight="false" outlineLevel="0" collapsed="false">
      <c r="A854" s="25"/>
      <c r="B854" s="25"/>
      <c r="C854" s="26"/>
      <c r="D854" s="25"/>
      <c r="E854" s="25"/>
      <c r="F854" s="25"/>
      <c r="G854" s="27"/>
      <c r="H854" s="25"/>
      <c r="I854" s="26"/>
      <c r="J854" s="48" t="str">
        <f aca="false">IF($N854="","",IF(AND($N854=Consulta!$C$3,$G854&lt;&gt;"",$G854&gt;=Consulta!$C$4,$G854&lt;=Consulta!$C$5),COUNTIFS($N$6:$N854,Consulta!$C$3,$G$6:$G854,"&gt;="&amp;Consulta!$C$4,$G$6:$G854,"&lt;="&amp;Consulta!$C$5),""))</f>
        <v/>
      </c>
      <c r="K854" s="48" t="str">
        <f aca="false">IF($C854="","",IF(AND($C854=Consulta!$L$3,$G854&lt;&gt;"",$G854&gt;=Consulta!$L$4,$G854&lt;=Consulta!$L$5),COUNTIFS($C$6:$C854,Consulta!$L$3,$G$6:$G854,"&gt;="&amp;Consulta!$L$4,$G$6:$G854,"&lt;="&amp;Consulta!$L$5),""))</f>
        <v/>
      </c>
      <c r="L854" s="48" t="str">
        <f aca="false">IF($D854="","",IF($D854=Consulta!$S$3,COUNTIF($D$6:$D854,Consulta!$S$3),""))</f>
        <v/>
      </c>
      <c r="M854" s="48" t="str">
        <f aca="false">IF($N854="","",IF(AND($N854='Comprovante DEV'!$D$6,$G854='Comprovante DEV'!$D$7),COUNTIFS($N$6:$N854,'Comprovante DEV'!$D$6,$G$6:$G854,'Comprovante DEV'!$D$7),""))</f>
        <v/>
      </c>
      <c r="N854" s="48" t="str">
        <f aca="false">IF($F854="","",IFERROR(VLOOKUP($F854,Apelidos_Tecnico!$A:$B,2,0),$F854))</f>
        <v/>
      </c>
    </row>
    <row r="855" customFormat="false" ht="15" hidden="false" customHeight="false" outlineLevel="0" collapsed="false">
      <c r="A855" s="25"/>
      <c r="B855" s="25"/>
      <c r="C855" s="26"/>
      <c r="D855" s="25"/>
      <c r="E855" s="25"/>
      <c r="F855" s="25"/>
      <c r="G855" s="27"/>
      <c r="H855" s="25"/>
      <c r="I855" s="26"/>
      <c r="J855" s="48" t="str">
        <f aca="false">IF($N855="","",IF(AND($N855=Consulta!$C$3,$G855&lt;&gt;"",$G855&gt;=Consulta!$C$4,$G855&lt;=Consulta!$C$5),COUNTIFS($N$6:$N855,Consulta!$C$3,$G$6:$G855,"&gt;="&amp;Consulta!$C$4,$G$6:$G855,"&lt;="&amp;Consulta!$C$5),""))</f>
        <v/>
      </c>
      <c r="K855" s="48" t="str">
        <f aca="false">IF($C855="","",IF(AND($C855=Consulta!$L$3,$G855&lt;&gt;"",$G855&gt;=Consulta!$L$4,$G855&lt;=Consulta!$L$5),COUNTIFS($C$6:$C855,Consulta!$L$3,$G$6:$G855,"&gt;="&amp;Consulta!$L$4,$G$6:$G855,"&lt;="&amp;Consulta!$L$5),""))</f>
        <v/>
      </c>
      <c r="L855" s="48" t="str">
        <f aca="false">IF($D855="","",IF($D855=Consulta!$S$3,COUNTIF($D$6:$D855,Consulta!$S$3),""))</f>
        <v/>
      </c>
      <c r="M855" s="48" t="str">
        <f aca="false">IF($N855="","",IF(AND($N855='Comprovante DEV'!$D$6,$G855='Comprovante DEV'!$D$7),COUNTIFS($N$6:$N855,'Comprovante DEV'!$D$6,$G$6:$G855,'Comprovante DEV'!$D$7),""))</f>
        <v/>
      </c>
      <c r="N855" s="48" t="str">
        <f aca="false">IF($F855="","",IFERROR(VLOOKUP($F855,Apelidos_Tecnico!$A:$B,2,0),$F855))</f>
        <v/>
      </c>
    </row>
    <row r="856" customFormat="false" ht="15" hidden="false" customHeight="false" outlineLevel="0" collapsed="false">
      <c r="A856" s="25"/>
      <c r="B856" s="25"/>
      <c r="C856" s="26"/>
      <c r="D856" s="25"/>
      <c r="E856" s="25"/>
      <c r="F856" s="25"/>
      <c r="G856" s="27"/>
      <c r="H856" s="25"/>
      <c r="I856" s="26"/>
      <c r="J856" s="48" t="str">
        <f aca="false">IF($N856="","",IF(AND($N856=Consulta!$C$3,$G856&lt;&gt;"",$G856&gt;=Consulta!$C$4,$G856&lt;=Consulta!$C$5),COUNTIFS($N$6:$N856,Consulta!$C$3,$G$6:$G856,"&gt;="&amp;Consulta!$C$4,$G$6:$G856,"&lt;="&amp;Consulta!$C$5),""))</f>
        <v/>
      </c>
      <c r="K856" s="48" t="str">
        <f aca="false">IF($C856="","",IF(AND($C856=Consulta!$L$3,$G856&lt;&gt;"",$G856&gt;=Consulta!$L$4,$G856&lt;=Consulta!$L$5),COUNTIFS($C$6:$C856,Consulta!$L$3,$G$6:$G856,"&gt;="&amp;Consulta!$L$4,$G$6:$G856,"&lt;="&amp;Consulta!$L$5),""))</f>
        <v/>
      </c>
      <c r="L856" s="48" t="str">
        <f aca="false">IF($D856="","",IF($D856=Consulta!$S$3,COUNTIF($D$6:$D856,Consulta!$S$3),""))</f>
        <v/>
      </c>
      <c r="M856" s="48" t="str">
        <f aca="false">IF($N856="","",IF(AND($N856='Comprovante DEV'!$D$6,$G856='Comprovante DEV'!$D$7),COUNTIFS($N$6:$N856,'Comprovante DEV'!$D$6,$G$6:$G856,'Comprovante DEV'!$D$7),""))</f>
        <v/>
      </c>
      <c r="N856" s="48" t="str">
        <f aca="false">IF($F856="","",IFERROR(VLOOKUP($F856,Apelidos_Tecnico!$A:$B,2,0),$F856))</f>
        <v/>
      </c>
    </row>
    <row r="857" customFormat="false" ht="15" hidden="false" customHeight="false" outlineLevel="0" collapsed="false">
      <c r="A857" s="25"/>
      <c r="B857" s="25"/>
      <c r="C857" s="26"/>
      <c r="D857" s="25"/>
      <c r="E857" s="25"/>
      <c r="F857" s="25"/>
      <c r="G857" s="27"/>
      <c r="H857" s="25"/>
      <c r="I857" s="26"/>
      <c r="J857" s="48" t="str">
        <f aca="false">IF($N857="","",IF(AND($N857=Consulta!$C$3,$G857&lt;&gt;"",$G857&gt;=Consulta!$C$4,$G857&lt;=Consulta!$C$5),COUNTIFS($N$6:$N857,Consulta!$C$3,$G$6:$G857,"&gt;="&amp;Consulta!$C$4,$G$6:$G857,"&lt;="&amp;Consulta!$C$5),""))</f>
        <v/>
      </c>
      <c r="K857" s="48" t="str">
        <f aca="false">IF($C857="","",IF(AND($C857=Consulta!$L$3,$G857&lt;&gt;"",$G857&gt;=Consulta!$L$4,$G857&lt;=Consulta!$L$5),COUNTIFS($C$6:$C857,Consulta!$L$3,$G$6:$G857,"&gt;="&amp;Consulta!$L$4,$G$6:$G857,"&lt;="&amp;Consulta!$L$5),""))</f>
        <v/>
      </c>
      <c r="L857" s="48" t="str">
        <f aca="false">IF($D857="","",IF($D857=Consulta!$S$3,COUNTIF($D$6:$D857,Consulta!$S$3),""))</f>
        <v/>
      </c>
      <c r="M857" s="48" t="str">
        <f aca="false">IF($N857="","",IF(AND($N857='Comprovante DEV'!$D$6,$G857='Comprovante DEV'!$D$7),COUNTIFS($N$6:$N857,'Comprovante DEV'!$D$6,$G$6:$G857,'Comprovante DEV'!$D$7),""))</f>
        <v/>
      </c>
      <c r="N857" s="48" t="str">
        <f aca="false">IF($F857="","",IFERROR(VLOOKUP($F857,Apelidos_Tecnico!$A:$B,2,0),$F857))</f>
        <v/>
      </c>
    </row>
    <row r="858" customFormat="false" ht="15" hidden="false" customHeight="false" outlineLevel="0" collapsed="false">
      <c r="A858" s="25"/>
      <c r="B858" s="25"/>
      <c r="C858" s="26"/>
      <c r="D858" s="25"/>
      <c r="E858" s="25"/>
      <c r="F858" s="25"/>
      <c r="G858" s="27"/>
      <c r="H858" s="25"/>
      <c r="I858" s="26"/>
      <c r="J858" s="48" t="str">
        <f aca="false">IF($N858="","",IF(AND($N858=Consulta!$C$3,$G858&lt;&gt;"",$G858&gt;=Consulta!$C$4,$G858&lt;=Consulta!$C$5),COUNTIFS($N$6:$N858,Consulta!$C$3,$G$6:$G858,"&gt;="&amp;Consulta!$C$4,$G$6:$G858,"&lt;="&amp;Consulta!$C$5),""))</f>
        <v/>
      </c>
      <c r="K858" s="48" t="str">
        <f aca="false">IF($C858="","",IF(AND($C858=Consulta!$L$3,$G858&lt;&gt;"",$G858&gt;=Consulta!$L$4,$G858&lt;=Consulta!$L$5),COUNTIFS($C$6:$C858,Consulta!$L$3,$G$6:$G858,"&gt;="&amp;Consulta!$L$4,$G$6:$G858,"&lt;="&amp;Consulta!$L$5),""))</f>
        <v/>
      </c>
      <c r="L858" s="48" t="str">
        <f aca="false">IF($D858="","",IF($D858=Consulta!$S$3,COUNTIF($D$6:$D858,Consulta!$S$3),""))</f>
        <v/>
      </c>
      <c r="M858" s="48" t="str">
        <f aca="false">IF($N858="","",IF(AND($N858='Comprovante DEV'!$D$6,$G858='Comprovante DEV'!$D$7),COUNTIFS($N$6:$N858,'Comprovante DEV'!$D$6,$G$6:$G858,'Comprovante DEV'!$D$7),""))</f>
        <v/>
      </c>
      <c r="N858" s="48" t="str">
        <f aca="false">IF($F858="","",IFERROR(VLOOKUP($F858,Apelidos_Tecnico!$A:$B,2,0),$F858))</f>
        <v/>
      </c>
    </row>
    <row r="859" customFormat="false" ht="15" hidden="false" customHeight="false" outlineLevel="0" collapsed="false">
      <c r="A859" s="25"/>
      <c r="B859" s="25"/>
      <c r="C859" s="26"/>
      <c r="D859" s="25"/>
      <c r="E859" s="25"/>
      <c r="F859" s="25"/>
      <c r="G859" s="27"/>
      <c r="H859" s="25"/>
      <c r="I859" s="26"/>
      <c r="J859" s="48" t="str">
        <f aca="false">IF($N859="","",IF(AND($N859=Consulta!$C$3,$G859&lt;&gt;"",$G859&gt;=Consulta!$C$4,$G859&lt;=Consulta!$C$5),COUNTIFS($N$6:$N859,Consulta!$C$3,$G$6:$G859,"&gt;="&amp;Consulta!$C$4,$G$6:$G859,"&lt;="&amp;Consulta!$C$5),""))</f>
        <v/>
      </c>
      <c r="K859" s="48" t="str">
        <f aca="false">IF($C859="","",IF(AND($C859=Consulta!$L$3,$G859&lt;&gt;"",$G859&gt;=Consulta!$L$4,$G859&lt;=Consulta!$L$5),COUNTIFS($C$6:$C859,Consulta!$L$3,$G$6:$G859,"&gt;="&amp;Consulta!$L$4,$G$6:$G859,"&lt;="&amp;Consulta!$L$5),""))</f>
        <v/>
      </c>
      <c r="L859" s="48" t="str">
        <f aca="false">IF($D859="","",IF($D859=Consulta!$S$3,COUNTIF($D$6:$D859,Consulta!$S$3),""))</f>
        <v/>
      </c>
      <c r="M859" s="48" t="str">
        <f aca="false">IF($N859="","",IF(AND($N859='Comprovante DEV'!$D$6,$G859='Comprovante DEV'!$D$7),COUNTIFS($N$6:$N859,'Comprovante DEV'!$D$6,$G$6:$G859,'Comprovante DEV'!$D$7),""))</f>
        <v/>
      </c>
      <c r="N859" s="48" t="str">
        <f aca="false">IF($F859="","",IFERROR(VLOOKUP($F859,Apelidos_Tecnico!$A:$B,2,0),$F859))</f>
        <v/>
      </c>
    </row>
    <row r="860" customFormat="false" ht="15" hidden="false" customHeight="false" outlineLevel="0" collapsed="false">
      <c r="A860" s="25"/>
      <c r="B860" s="25"/>
      <c r="C860" s="26"/>
      <c r="D860" s="25"/>
      <c r="E860" s="25"/>
      <c r="F860" s="25"/>
      <c r="G860" s="27"/>
      <c r="H860" s="25"/>
      <c r="I860" s="26"/>
      <c r="J860" s="48" t="str">
        <f aca="false">IF($N860="","",IF(AND($N860=Consulta!$C$3,$G860&lt;&gt;"",$G860&gt;=Consulta!$C$4,$G860&lt;=Consulta!$C$5),COUNTIFS($N$6:$N860,Consulta!$C$3,$G$6:$G860,"&gt;="&amp;Consulta!$C$4,$G$6:$G860,"&lt;="&amp;Consulta!$C$5),""))</f>
        <v/>
      </c>
      <c r="K860" s="48" t="str">
        <f aca="false">IF($C860="","",IF(AND($C860=Consulta!$L$3,$G860&lt;&gt;"",$G860&gt;=Consulta!$L$4,$G860&lt;=Consulta!$L$5),COUNTIFS($C$6:$C860,Consulta!$L$3,$G$6:$G860,"&gt;="&amp;Consulta!$L$4,$G$6:$G860,"&lt;="&amp;Consulta!$L$5),""))</f>
        <v/>
      </c>
      <c r="L860" s="48" t="str">
        <f aca="false">IF($D860="","",IF($D860=Consulta!$S$3,COUNTIF($D$6:$D860,Consulta!$S$3),""))</f>
        <v/>
      </c>
      <c r="M860" s="48" t="str">
        <f aca="false">IF($N860="","",IF(AND($N860='Comprovante DEV'!$D$6,$G860='Comprovante DEV'!$D$7),COUNTIFS($N$6:$N860,'Comprovante DEV'!$D$6,$G$6:$G860,'Comprovante DEV'!$D$7),""))</f>
        <v/>
      </c>
      <c r="N860" s="48" t="str">
        <f aca="false">IF($F860="","",IFERROR(VLOOKUP($F860,Apelidos_Tecnico!$A:$B,2,0),$F860))</f>
        <v/>
      </c>
    </row>
    <row r="861" customFormat="false" ht="15" hidden="false" customHeight="false" outlineLevel="0" collapsed="false">
      <c r="A861" s="25"/>
      <c r="B861" s="25"/>
      <c r="C861" s="26"/>
      <c r="D861" s="25"/>
      <c r="E861" s="25"/>
      <c r="F861" s="25"/>
      <c r="G861" s="27"/>
      <c r="H861" s="25"/>
      <c r="I861" s="26"/>
      <c r="J861" s="48" t="str">
        <f aca="false">IF($N861="","",IF(AND($N861=Consulta!$C$3,$G861&lt;&gt;"",$G861&gt;=Consulta!$C$4,$G861&lt;=Consulta!$C$5),COUNTIFS($N$6:$N861,Consulta!$C$3,$G$6:$G861,"&gt;="&amp;Consulta!$C$4,$G$6:$G861,"&lt;="&amp;Consulta!$C$5),""))</f>
        <v/>
      </c>
      <c r="K861" s="48" t="str">
        <f aca="false">IF($C861="","",IF(AND($C861=Consulta!$L$3,$G861&lt;&gt;"",$G861&gt;=Consulta!$L$4,$G861&lt;=Consulta!$L$5),COUNTIFS($C$6:$C861,Consulta!$L$3,$G$6:$G861,"&gt;="&amp;Consulta!$L$4,$G$6:$G861,"&lt;="&amp;Consulta!$L$5),""))</f>
        <v/>
      </c>
      <c r="L861" s="48" t="str">
        <f aca="false">IF($D861="","",IF($D861=Consulta!$S$3,COUNTIF($D$6:$D861,Consulta!$S$3),""))</f>
        <v/>
      </c>
      <c r="M861" s="48" t="str">
        <f aca="false">IF($N861="","",IF(AND($N861='Comprovante DEV'!$D$6,$G861='Comprovante DEV'!$D$7),COUNTIFS($N$6:$N861,'Comprovante DEV'!$D$6,$G$6:$G861,'Comprovante DEV'!$D$7),""))</f>
        <v/>
      </c>
      <c r="N861" s="48" t="str">
        <f aca="false">IF($F861="","",IFERROR(VLOOKUP($F861,Apelidos_Tecnico!$A:$B,2,0),$F861))</f>
        <v/>
      </c>
    </row>
    <row r="862" customFormat="false" ht="15" hidden="false" customHeight="false" outlineLevel="0" collapsed="false">
      <c r="A862" s="25"/>
      <c r="B862" s="25"/>
      <c r="C862" s="26"/>
      <c r="D862" s="25"/>
      <c r="E862" s="25"/>
      <c r="F862" s="25"/>
      <c r="G862" s="27"/>
      <c r="H862" s="25"/>
      <c r="I862" s="26"/>
      <c r="J862" s="48" t="str">
        <f aca="false">IF($N862="","",IF(AND($N862=Consulta!$C$3,$G862&lt;&gt;"",$G862&gt;=Consulta!$C$4,$G862&lt;=Consulta!$C$5),COUNTIFS($N$6:$N862,Consulta!$C$3,$G$6:$G862,"&gt;="&amp;Consulta!$C$4,$G$6:$G862,"&lt;="&amp;Consulta!$C$5),""))</f>
        <v/>
      </c>
      <c r="K862" s="48" t="str">
        <f aca="false">IF($C862="","",IF(AND($C862=Consulta!$L$3,$G862&lt;&gt;"",$G862&gt;=Consulta!$L$4,$G862&lt;=Consulta!$L$5),COUNTIFS($C$6:$C862,Consulta!$L$3,$G$6:$G862,"&gt;="&amp;Consulta!$L$4,$G$6:$G862,"&lt;="&amp;Consulta!$L$5),""))</f>
        <v/>
      </c>
      <c r="L862" s="48" t="str">
        <f aca="false">IF($D862="","",IF($D862=Consulta!$S$3,COUNTIF($D$6:$D862,Consulta!$S$3),""))</f>
        <v/>
      </c>
      <c r="M862" s="48" t="str">
        <f aca="false">IF($N862="","",IF(AND($N862='Comprovante DEV'!$D$6,$G862='Comprovante DEV'!$D$7),COUNTIFS($N$6:$N862,'Comprovante DEV'!$D$6,$G$6:$G862,'Comprovante DEV'!$D$7),""))</f>
        <v/>
      </c>
      <c r="N862" s="48" t="str">
        <f aca="false">IF($F862="","",IFERROR(VLOOKUP($F862,Apelidos_Tecnico!$A:$B,2,0),$F862))</f>
        <v/>
      </c>
    </row>
    <row r="863" customFormat="false" ht="15" hidden="false" customHeight="false" outlineLevel="0" collapsed="false">
      <c r="A863" s="25"/>
      <c r="B863" s="25"/>
      <c r="C863" s="26"/>
      <c r="D863" s="25"/>
      <c r="E863" s="25"/>
      <c r="F863" s="25"/>
      <c r="G863" s="27"/>
      <c r="H863" s="25"/>
      <c r="I863" s="26"/>
      <c r="J863" s="48" t="str">
        <f aca="false">IF($N863="","",IF(AND($N863=Consulta!$C$3,$G863&lt;&gt;"",$G863&gt;=Consulta!$C$4,$G863&lt;=Consulta!$C$5),COUNTIFS($N$6:$N863,Consulta!$C$3,$G$6:$G863,"&gt;="&amp;Consulta!$C$4,$G$6:$G863,"&lt;="&amp;Consulta!$C$5),""))</f>
        <v/>
      </c>
      <c r="K863" s="48" t="str">
        <f aca="false">IF($C863="","",IF(AND($C863=Consulta!$L$3,$G863&lt;&gt;"",$G863&gt;=Consulta!$L$4,$G863&lt;=Consulta!$L$5),COUNTIFS($C$6:$C863,Consulta!$L$3,$G$6:$G863,"&gt;="&amp;Consulta!$L$4,$G$6:$G863,"&lt;="&amp;Consulta!$L$5),""))</f>
        <v/>
      </c>
      <c r="L863" s="48" t="str">
        <f aca="false">IF($D863="","",IF($D863=Consulta!$S$3,COUNTIF($D$6:$D863,Consulta!$S$3),""))</f>
        <v/>
      </c>
      <c r="M863" s="48" t="str">
        <f aca="false">IF($N863="","",IF(AND($N863='Comprovante DEV'!$D$6,$G863='Comprovante DEV'!$D$7),COUNTIFS($N$6:$N863,'Comprovante DEV'!$D$6,$G$6:$G863,'Comprovante DEV'!$D$7),""))</f>
        <v/>
      </c>
      <c r="N863" s="48" t="str">
        <f aca="false">IF($F863="","",IFERROR(VLOOKUP($F863,Apelidos_Tecnico!$A:$B,2,0),$F863))</f>
        <v/>
      </c>
    </row>
    <row r="864" customFormat="false" ht="15" hidden="false" customHeight="false" outlineLevel="0" collapsed="false">
      <c r="A864" s="25"/>
      <c r="B864" s="25"/>
      <c r="C864" s="26"/>
      <c r="D864" s="25"/>
      <c r="E864" s="25"/>
      <c r="F864" s="25"/>
      <c r="G864" s="27"/>
      <c r="H864" s="25"/>
      <c r="I864" s="26"/>
      <c r="J864" s="48" t="str">
        <f aca="false">IF($N864="","",IF(AND($N864=Consulta!$C$3,$G864&lt;&gt;"",$G864&gt;=Consulta!$C$4,$G864&lt;=Consulta!$C$5),COUNTIFS($N$6:$N864,Consulta!$C$3,$G$6:$G864,"&gt;="&amp;Consulta!$C$4,$G$6:$G864,"&lt;="&amp;Consulta!$C$5),""))</f>
        <v/>
      </c>
      <c r="K864" s="48" t="str">
        <f aca="false">IF($C864="","",IF(AND($C864=Consulta!$L$3,$G864&lt;&gt;"",$G864&gt;=Consulta!$L$4,$G864&lt;=Consulta!$L$5),COUNTIFS($C$6:$C864,Consulta!$L$3,$G$6:$G864,"&gt;="&amp;Consulta!$L$4,$G$6:$G864,"&lt;="&amp;Consulta!$L$5),""))</f>
        <v/>
      </c>
      <c r="L864" s="48" t="str">
        <f aca="false">IF($D864="","",IF($D864=Consulta!$S$3,COUNTIF($D$6:$D864,Consulta!$S$3),""))</f>
        <v/>
      </c>
      <c r="M864" s="48" t="str">
        <f aca="false">IF($N864="","",IF(AND($N864='Comprovante DEV'!$D$6,$G864='Comprovante DEV'!$D$7),COUNTIFS($N$6:$N864,'Comprovante DEV'!$D$6,$G$6:$G864,'Comprovante DEV'!$D$7),""))</f>
        <v/>
      </c>
      <c r="N864" s="48" t="str">
        <f aca="false">IF($F864="","",IFERROR(VLOOKUP($F864,Apelidos_Tecnico!$A:$B,2,0),$F864))</f>
        <v/>
      </c>
    </row>
    <row r="865" customFormat="false" ht="15" hidden="false" customHeight="false" outlineLevel="0" collapsed="false">
      <c r="A865" s="25"/>
      <c r="B865" s="25"/>
      <c r="C865" s="26"/>
      <c r="D865" s="25"/>
      <c r="E865" s="25"/>
      <c r="F865" s="25"/>
      <c r="G865" s="27"/>
      <c r="H865" s="25"/>
      <c r="I865" s="26"/>
      <c r="J865" s="48" t="str">
        <f aca="false">IF($N865="","",IF(AND($N865=Consulta!$C$3,$G865&lt;&gt;"",$G865&gt;=Consulta!$C$4,$G865&lt;=Consulta!$C$5),COUNTIFS($N$6:$N865,Consulta!$C$3,$G$6:$G865,"&gt;="&amp;Consulta!$C$4,$G$6:$G865,"&lt;="&amp;Consulta!$C$5),""))</f>
        <v/>
      </c>
      <c r="K865" s="48" t="str">
        <f aca="false">IF($C865="","",IF(AND($C865=Consulta!$L$3,$G865&lt;&gt;"",$G865&gt;=Consulta!$L$4,$G865&lt;=Consulta!$L$5),COUNTIFS($C$6:$C865,Consulta!$L$3,$G$6:$G865,"&gt;="&amp;Consulta!$L$4,$G$6:$G865,"&lt;="&amp;Consulta!$L$5),""))</f>
        <v/>
      </c>
      <c r="L865" s="48" t="str">
        <f aca="false">IF($D865="","",IF($D865=Consulta!$S$3,COUNTIF($D$6:$D865,Consulta!$S$3),""))</f>
        <v/>
      </c>
      <c r="M865" s="48" t="str">
        <f aca="false">IF($N865="","",IF(AND($N865='Comprovante DEV'!$D$6,$G865='Comprovante DEV'!$D$7),COUNTIFS($N$6:$N865,'Comprovante DEV'!$D$6,$G$6:$G865,'Comprovante DEV'!$D$7),""))</f>
        <v/>
      </c>
      <c r="N865" s="48" t="str">
        <f aca="false">IF($F865="","",IFERROR(VLOOKUP($F865,Apelidos_Tecnico!$A:$B,2,0),$F865))</f>
        <v/>
      </c>
    </row>
    <row r="866" customFormat="false" ht="15" hidden="false" customHeight="false" outlineLevel="0" collapsed="false">
      <c r="A866" s="25"/>
      <c r="B866" s="25"/>
      <c r="C866" s="26"/>
      <c r="D866" s="25"/>
      <c r="E866" s="25"/>
      <c r="F866" s="25"/>
      <c r="G866" s="27"/>
      <c r="H866" s="25"/>
      <c r="I866" s="26"/>
      <c r="J866" s="48" t="str">
        <f aca="false">IF($N866="","",IF(AND($N866=Consulta!$C$3,$G866&lt;&gt;"",$G866&gt;=Consulta!$C$4,$G866&lt;=Consulta!$C$5),COUNTIFS($N$6:$N866,Consulta!$C$3,$G$6:$G866,"&gt;="&amp;Consulta!$C$4,$G$6:$G866,"&lt;="&amp;Consulta!$C$5),""))</f>
        <v/>
      </c>
      <c r="K866" s="48" t="str">
        <f aca="false">IF($C866="","",IF(AND($C866=Consulta!$L$3,$G866&lt;&gt;"",$G866&gt;=Consulta!$L$4,$G866&lt;=Consulta!$L$5),COUNTIFS($C$6:$C866,Consulta!$L$3,$G$6:$G866,"&gt;="&amp;Consulta!$L$4,$G$6:$G866,"&lt;="&amp;Consulta!$L$5),""))</f>
        <v/>
      </c>
      <c r="L866" s="48" t="str">
        <f aca="false">IF($D866="","",IF($D866=Consulta!$S$3,COUNTIF($D$6:$D866,Consulta!$S$3),""))</f>
        <v/>
      </c>
      <c r="M866" s="48" t="str">
        <f aca="false">IF($N866="","",IF(AND($N866='Comprovante DEV'!$D$6,$G866='Comprovante DEV'!$D$7),COUNTIFS($N$6:$N866,'Comprovante DEV'!$D$6,$G$6:$G866,'Comprovante DEV'!$D$7),""))</f>
        <v/>
      </c>
      <c r="N866" s="48" t="str">
        <f aca="false">IF($F866="","",IFERROR(VLOOKUP($F866,Apelidos_Tecnico!$A:$B,2,0),$F866))</f>
        <v/>
      </c>
    </row>
    <row r="867" customFormat="false" ht="15" hidden="false" customHeight="false" outlineLevel="0" collapsed="false">
      <c r="A867" s="25"/>
      <c r="B867" s="25"/>
      <c r="C867" s="26"/>
      <c r="D867" s="25"/>
      <c r="E867" s="25"/>
      <c r="F867" s="25"/>
      <c r="G867" s="27"/>
      <c r="H867" s="25"/>
      <c r="I867" s="26"/>
      <c r="J867" s="48" t="str">
        <f aca="false">IF($N867="","",IF(AND($N867=Consulta!$C$3,$G867&lt;&gt;"",$G867&gt;=Consulta!$C$4,$G867&lt;=Consulta!$C$5),COUNTIFS($N$6:$N867,Consulta!$C$3,$G$6:$G867,"&gt;="&amp;Consulta!$C$4,$G$6:$G867,"&lt;="&amp;Consulta!$C$5),""))</f>
        <v/>
      </c>
      <c r="K867" s="48" t="str">
        <f aca="false">IF($C867="","",IF(AND($C867=Consulta!$L$3,$G867&lt;&gt;"",$G867&gt;=Consulta!$L$4,$G867&lt;=Consulta!$L$5),COUNTIFS($C$6:$C867,Consulta!$L$3,$G$6:$G867,"&gt;="&amp;Consulta!$L$4,$G$6:$G867,"&lt;="&amp;Consulta!$L$5),""))</f>
        <v/>
      </c>
      <c r="L867" s="48" t="str">
        <f aca="false">IF($D867="","",IF($D867=Consulta!$S$3,COUNTIF($D$6:$D867,Consulta!$S$3),""))</f>
        <v/>
      </c>
      <c r="M867" s="48" t="str">
        <f aca="false">IF($N867="","",IF(AND($N867='Comprovante DEV'!$D$6,$G867='Comprovante DEV'!$D$7),COUNTIFS($N$6:$N867,'Comprovante DEV'!$D$6,$G$6:$G867,'Comprovante DEV'!$D$7),""))</f>
        <v/>
      </c>
      <c r="N867" s="48" t="str">
        <f aca="false">IF($F867="","",IFERROR(VLOOKUP($F867,Apelidos_Tecnico!$A:$B,2,0),$F867))</f>
        <v/>
      </c>
    </row>
    <row r="868" customFormat="false" ht="15" hidden="false" customHeight="false" outlineLevel="0" collapsed="false">
      <c r="A868" s="25"/>
      <c r="B868" s="25"/>
      <c r="C868" s="26"/>
      <c r="D868" s="25"/>
      <c r="E868" s="25"/>
      <c r="F868" s="25"/>
      <c r="G868" s="27"/>
      <c r="H868" s="25"/>
      <c r="I868" s="26"/>
      <c r="J868" s="48" t="str">
        <f aca="false">IF($N868="","",IF(AND($N868=Consulta!$C$3,$G868&lt;&gt;"",$G868&gt;=Consulta!$C$4,$G868&lt;=Consulta!$C$5),COUNTIFS($N$6:$N868,Consulta!$C$3,$G$6:$G868,"&gt;="&amp;Consulta!$C$4,$G$6:$G868,"&lt;="&amp;Consulta!$C$5),""))</f>
        <v/>
      </c>
      <c r="K868" s="48" t="str">
        <f aca="false">IF($C868="","",IF(AND($C868=Consulta!$L$3,$G868&lt;&gt;"",$G868&gt;=Consulta!$L$4,$G868&lt;=Consulta!$L$5),COUNTIFS($C$6:$C868,Consulta!$L$3,$G$6:$G868,"&gt;="&amp;Consulta!$L$4,$G$6:$G868,"&lt;="&amp;Consulta!$L$5),""))</f>
        <v/>
      </c>
      <c r="L868" s="48" t="str">
        <f aca="false">IF($D868="","",IF($D868=Consulta!$S$3,COUNTIF($D$6:$D868,Consulta!$S$3),""))</f>
        <v/>
      </c>
      <c r="M868" s="48" t="str">
        <f aca="false">IF($N868="","",IF(AND($N868='Comprovante DEV'!$D$6,$G868='Comprovante DEV'!$D$7),COUNTIFS($N$6:$N868,'Comprovante DEV'!$D$6,$G$6:$G868,'Comprovante DEV'!$D$7),""))</f>
        <v/>
      </c>
      <c r="N868" s="48" t="str">
        <f aca="false">IF($F868="","",IFERROR(VLOOKUP($F868,Apelidos_Tecnico!$A:$B,2,0),$F868))</f>
        <v/>
      </c>
    </row>
    <row r="869" customFormat="false" ht="15" hidden="false" customHeight="false" outlineLevel="0" collapsed="false">
      <c r="A869" s="25"/>
      <c r="B869" s="25"/>
      <c r="C869" s="26"/>
      <c r="D869" s="25"/>
      <c r="E869" s="25"/>
      <c r="F869" s="25"/>
      <c r="G869" s="27"/>
      <c r="H869" s="25"/>
      <c r="I869" s="26"/>
      <c r="J869" s="48" t="str">
        <f aca="false">IF($N869="","",IF(AND($N869=Consulta!$C$3,$G869&lt;&gt;"",$G869&gt;=Consulta!$C$4,$G869&lt;=Consulta!$C$5),COUNTIFS($N$6:$N869,Consulta!$C$3,$G$6:$G869,"&gt;="&amp;Consulta!$C$4,$G$6:$G869,"&lt;="&amp;Consulta!$C$5),""))</f>
        <v/>
      </c>
      <c r="K869" s="48" t="str">
        <f aca="false">IF($C869="","",IF(AND($C869=Consulta!$L$3,$G869&lt;&gt;"",$G869&gt;=Consulta!$L$4,$G869&lt;=Consulta!$L$5),COUNTIFS($C$6:$C869,Consulta!$L$3,$G$6:$G869,"&gt;="&amp;Consulta!$L$4,$G$6:$G869,"&lt;="&amp;Consulta!$L$5),""))</f>
        <v/>
      </c>
      <c r="L869" s="48" t="str">
        <f aca="false">IF($D869="","",IF($D869=Consulta!$S$3,COUNTIF($D$6:$D869,Consulta!$S$3),""))</f>
        <v/>
      </c>
      <c r="M869" s="48" t="str">
        <f aca="false">IF($N869="","",IF(AND($N869='Comprovante DEV'!$D$6,$G869='Comprovante DEV'!$D$7),COUNTIFS($N$6:$N869,'Comprovante DEV'!$D$6,$G$6:$G869,'Comprovante DEV'!$D$7),""))</f>
        <v/>
      </c>
      <c r="N869" s="48" t="str">
        <f aca="false">IF($F869="","",IFERROR(VLOOKUP($F869,Apelidos_Tecnico!$A:$B,2,0),$F869))</f>
        <v/>
      </c>
    </row>
    <row r="870" customFormat="false" ht="15" hidden="false" customHeight="false" outlineLevel="0" collapsed="false">
      <c r="A870" s="25"/>
      <c r="B870" s="25"/>
      <c r="C870" s="26"/>
      <c r="D870" s="25"/>
      <c r="E870" s="25"/>
      <c r="F870" s="25"/>
      <c r="G870" s="27"/>
      <c r="H870" s="25"/>
      <c r="I870" s="26"/>
      <c r="J870" s="48" t="str">
        <f aca="false">IF($N870="","",IF(AND($N870=Consulta!$C$3,$G870&lt;&gt;"",$G870&gt;=Consulta!$C$4,$G870&lt;=Consulta!$C$5),COUNTIFS($N$6:$N870,Consulta!$C$3,$G$6:$G870,"&gt;="&amp;Consulta!$C$4,$G$6:$G870,"&lt;="&amp;Consulta!$C$5),""))</f>
        <v/>
      </c>
      <c r="K870" s="48" t="str">
        <f aca="false">IF($C870="","",IF(AND($C870=Consulta!$L$3,$G870&lt;&gt;"",$G870&gt;=Consulta!$L$4,$G870&lt;=Consulta!$L$5),COUNTIFS($C$6:$C870,Consulta!$L$3,$G$6:$G870,"&gt;="&amp;Consulta!$L$4,$G$6:$G870,"&lt;="&amp;Consulta!$L$5),""))</f>
        <v/>
      </c>
      <c r="L870" s="48" t="str">
        <f aca="false">IF($D870="","",IF($D870=Consulta!$S$3,COUNTIF($D$6:$D870,Consulta!$S$3),""))</f>
        <v/>
      </c>
      <c r="M870" s="48" t="str">
        <f aca="false">IF($N870="","",IF(AND($N870='Comprovante DEV'!$D$6,$G870='Comprovante DEV'!$D$7),COUNTIFS($N$6:$N870,'Comprovante DEV'!$D$6,$G$6:$G870,'Comprovante DEV'!$D$7),""))</f>
        <v/>
      </c>
      <c r="N870" s="48" t="str">
        <f aca="false">IF($F870="","",IFERROR(VLOOKUP($F870,Apelidos_Tecnico!$A:$B,2,0),$F870))</f>
        <v/>
      </c>
    </row>
    <row r="871" customFormat="false" ht="15" hidden="false" customHeight="false" outlineLevel="0" collapsed="false">
      <c r="A871" s="25"/>
      <c r="B871" s="25"/>
      <c r="C871" s="26"/>
      <c r="D871" s="25"/>
      <c r="E871" s="25"/>
      <c r="F871" s="25"/>
      <c r="G871" s="27"/>
      <c r="H871" s="25"/>
      <c r="I871" s="26"/>
      <c r="J871" s="48" t="str">
        <f aca="false">IF($N871="","",IF(AND($N871=Consulta!$C$3,$G871&lt;&gt;"",$G871&gt;=Consulta!$C$4,$G871&lt;=Consulta!$C$5),COUNTIFS($N$6:$N871,Consulta!$C$3,$G$6:$G871,"&gt;="&amp;Consulta!$C$4,$G$6:$G871,"&lt;="&amp;Consulta!$C$5),""))</f>
        <v/>
      </c>
      <c r="K871" s="48" t="str">
        <f aca="false">IF($C871="","",IF(AND($C871=Consulta!$L$3,$G871&lt;&gt;"",$G871&gt;=Consulta!$L$4,$G871&lt;=Consulta!$L$5),COUNTIFS($C$6:$C871,Consulta!$L$3,$G$6:$G871,"&gt;="&amp;Consulta!$L$4,$G$6:$G871,"&lt;="&amp;Consulta!$L$5),""))</f>
        <v/>
      </c>
      <c r="L871" s="48" t="str">
        <f aca="false">IF($D871="","",IF($D871=Consulta!$S$3,COUNTIF($D$6:$D871,Consulta!$S$3),""))</f>
        <v/>
      </c>
      <c r="M871" s="48" t="str">
        <f aca="false">IF($N871="","",IF(AND($N871='Comprovante DEV'!$D$6,$G871='Comprovante DEV'!$D$7),COUNTIFS($N$6:$N871,'Comprovante DEV'!$D$6,$G$6:$G871,'Comprovante DEV'!$D$7),""))</f>
        <v/>
      </c>
      <c r="N871" s="48" t="str">
        <f aca="false">IF($F871="","",IFERROR(VLOOKUP($F871,Apelidos_Tecnico!$A:$B,2,0),$F871))</f>
        <v/>
      </c>
    </row>
    <row r="872" customFormat="false" ht="15" hidden="false" customHeight="false" outlineLevel="0" collapsed="false">
      <c r="A872" s="25"/>
      <c r="B872" s="25"/>
      <c r="C872" s="26"/>
      <c r="D872" s="25"/>
      <c r="E872" s="25"/>
      <c r="F872" s="25"/>
      <c r="G872" s="27"/>
      <c r="H872" s="25"/>
      <c r="I872" s="26"/>
      <c r="J872" s="48" t="str">
        <f aca="false">IF($N872="","",IF(AND($N872=Consulta!$C$3,$G872&lt;&gt;"",$G872&gt;=Consulta!$C$4,$G872&lt;=Consulta!$C$5),COUNTIFS($N$6:$N872,Consulta!$C$3,$G$6:$G872,"&gt;="&amp;Consulta!$C$4,$G$6:$G872,"&lt;="&amp;Consulta!$C$5),""))</f>
        <v/>
      </c>
      <c r="K872" s="48" t="str">
        <f aca="false">IF($C872="","",IF(AND($C872=Consulta!$L$3,$G872&lt;&gt;"",$G872&gt;=Consulta!$L$4,$G872&lt;=Consulta!$L$5),COUNTIFS($C$6:$C872,Consulta!$L$3,$G$6:$G872,"&gt;="&amp;Consulta!$L$4,$G$6:$G872,"&lt;="&amp;Consulta!$L$5),""))</f>
        <v/>
      </c>
      <c r="L872" s="48" t="str">
        <f aca="false">IF($D872="","",IF($D872=Consulta!$S$3,COUNTIF($D$6:$D872,Consulta!$S$3),""))</f>
        <v/>
      </c>
      <c r="M872" s="48" t="str">
        <f aca="false">IF($N872="","",IF(AND($N872='Comprovante DEV'!$D$6,$G872='Comprovante DEV'!$D$7),COUNTIFS($N$6:$N872,'Comprovante DEV'!$D$6,$G$6:$G872,'Comprovante DEV'!$D$7),""))</f>
        <v/>
      </c>
      <c r="N872" s="48" t="str">
        <f aca="false">IF($F872="","",IFERROR(VLOOKUP($F872,Apelidos_Tecnico!$A:$B,2,0),$F872))</f>
        <v/>
      </c>
    </row>
    <row r="873" customFormat="false" ht="15" hidden="false" customHeight="false" outlineLevel="0" collapsed="false">
      <c r="A873" s="25"/>
      <c r="B873" s="25"/>
      <c r="C873" s="26"/>
      <c r="D873" s="25"/>
      <c r="E873" s="25"/>
      <c r="F873" s="25"/>
      <c r="G873" s="27"/>
      <c r="H873" s="25"/>
      <c r="I873" s="26"/>
      <c r="J873" s="48" t="str">
        <f aca="false">IF($N873="","",IF(AND($N873=Consulta!$C$3,$G873&lt;&gt;"",$G873&gt;=Consulta!$C$4,$G873&lt;=Consulta!$C$5),COUNTIFS($N$6:$N873,Consulta!$C$3,$G$6:$G873,"&gt;="&amp;Consulta!$C$4,$G$6:$G873,"&lt;="&amp;Consulta!$C$5),""))</f>
        <v/>
      </c>
      <c r="K873" s="48" t="str">
        <f aca="false">IF($C873="","",IF(AND($C873=Consulta!$L$3,$G873&lt;&gt;"",$G873&gt;=Consulta!$L$4,$G873&lt;=Consulta!$L$5),COUNTIFS($C$6:$C873,Consulta!$L$3,$G$6:$G873,"&gt;="&amp;Consulta!$L$4,$G$6:$G873,"&lt;="&amp;Consulta!$L$5),""))</f>
        <v/>
      </c>
      <c r="L873" s="48" t="str">
        <f aca="false">IF($D873="","",IF($D873=Consulta!$S$3,COUNTIF($D$6:$D873,Consulta!$S$3),""))</f>
        <v/>
      </c>
      <c r="M873" s="48" t="str">
        <f aca="false">IF($N873="","",IF(AND($N873='Comprovante DEV'!$D$6,$G873='Comprovante DEV'!$D$7),COUNTIFS($N$6:$N873,'Comprovante DEV'!$D$6,$G$6:$G873,'Comprovante DEV'!$D$7),""))</f>
        <v/>
      </c>
      <c r="N873" s="48" t="str">
        <f aca="false">IF($F873="","",IFERROR(VLOOKUP($F873,Apelidos_Tecnico!$A:$B,2,0),$F873))</f>
        <v/>
      </c>
    </row>
    <row r="874" customFormat="false" ht="15" hidden="false" customHeight="false" outlineLevel="0" collapsed="false">
      <c r="A874" s="25"/>
      <c r="B874" s="25"/>
      <c r="C874" s="26"/>
      <c r="D874" s="25"/>
      <c r="E874" s="25"/>
      <c r="F874" s="25"/>
      <c r="G874" s="27"/>
      <c r="H874" s="25"/>
      <c r="I874" s="26"/>
      <c r="J874" s="48" t="str">
        <f aca="false">IF($N874="","",IF(AND($N874=Consulta!$C$3,$G874&lt;&gt;"",$G874&gt;=Consulta!$C$4,$G874&lt;=Consulta!$C$5),COUNTIFS($N$6:$N874,Consulta!$C$3,$G$6:$G874,"&gt;="&amp;Consulta!$C$4,$G$6:$G874,"&lt;="&amp;Consulta!$C$5),""))</f>
        <v/>
      </c>
      <c r="K874" s="48" t="str">
        <f aca="false">IF($C874="","",IF(AND($C874=Consulta!$L$3,$G874&lt;&gt;"",$G874&gt;=Consulta!$L$4,$G874&lt;=Consulta!$L$5),COUNTIFS($C$6:$C874,Consulta!$L$3,$G$6:$G874,"&gt;="&amp;Consulta!$L$4,$G$6:$G874,"&lt;="&amp;Consulta!$L$5),""))</f>
        <v/>
      </c>
      <c r="L874" s="48" t="str">
        <f aca="false">IF($D874="","",IF($D874=Consulta!$S$3,COUNTIF($D$6:$D874,Consulta!$S$3),""))</f>
        <v/>
      </c>
      <c r="M874" s="48" t="str">
        <f aca="false">IF($N874="","",IF(AND($N874='Comprovante DEV'!$D$6,$G874='Comprovante DEV'!$D$7),COUNTIFS($N$6:$N874,'Comprovante DEV'!$D$6,$G$6:$G874,'Comprovante DEV'!$D$7),""))</f>
        <v/>
      </c>
      <c r="N874" s="48" t="str">
        <f aca="false">IF($F874="","",IFERROR(VLOOKUP($F874,Apelidos_Tecnico!$A:$B,2,0),$F874))</f>
        <v/>
      </c>
    </row>
    <row r="875" customFormat="false" ht="15" hidden="false" customHeight="false" outlineLevel="0" collapsed="false">
      <c r="A875" s="25"/>
      <c r="B875" s="25"/>
      <c r="C875" s="26"/>
      <c r="D875" s="25"/>
      <c r="E875" s="25"/>
      <c r="F875" s="25"/>
      <c r="G875" s="27"/>
      <c r="H875" s="25"/>
      <c r="I875" s="26"/>
      <c r="J875" s="48" t="str">
        <f aca="false">IF($N875="","",IF(AND($N875=Consulta!$C$3,$G875&lt;&gt;"",$G875&gt;=Consulta!$C$4,$G875&lt;=Consulta!$C$5),COUNTIFS($N$6:$N875,Consulta!$C$3,$G$6:$G875,"&gt;="&amp;Consulta!$C$4,$G$6:$G875,"&lt;="&amp;Consulta!$C$5),""))</f>
        <v/>
      </c>
      <c r="K875" s="48" t="str">
        <f aca="false">IF($C875="","",IF(AND($C875=Consulta!$L$3,$G875&lt;&gt;"",$G875&gt;=Consulta!$L$4,$G875&lt;=Consulta!$L$5),COUNTIFS($C$6:$C875,Consulta!$L$3,$G$6:$G875,"&gt;="&amp;Consulta!$L$4,$G$6:$G875,"&lt;="&amp;Consulta!$L$5),""))</f>
        <v/>
      </c>
      <c r="L875" s="48" t="str">
        <f aca="false">IF($D875="","",IF($D875=Consulta!$S$3,COUNTIF($D$6:$D875,Consulta!$S$3),""))</f>
        <v/>
      </c>
      <c r="M875" s="48" t="str">
        <f aca="false">IF($N875="","",IF(AND($N875='Comprovante DEV'!$D$6,$G875='Comprovante DEV'!$D$7),COUNTIFS($N$6:$N875,'Comprovante DEV'!$D$6,$G$6:$G875,'Comprovante DEV'!$D$7),""))</f>
        <v/>
      </c>
      <c r="N875" s="48" t="str">
        <f aca="false">IF($F875="","",IFERROR(VLOOKUP($F875,Apelidos_Tecnico!$A:$B,2,0),$F875))</f>
        <v/>
      </c>
    </row>
    <row r="876" customFormat="false" ht="15" hidden="false" customHeight="false" outlineLevel="0" collapsed="false">
      <c r="A876" s="25"/>
      <c r="B876" s="25"/>
      <c r="C876" s="26"/>
      <c r="D876" s="25"/>
      <c r="E876" s="25"/>
      <c r="F876" s="25"/>
      <c r="G876" s="27"/>
      <c r="H876" s="25"/>
      <c r="I876" s="26"/>
      <c r="J876" s="48" t="str">
        <f aca="false">IF($N876="","",IF(AND($N876=Consulta!$C$3,$G876&lt;&gt;"",$G876&gt;=Consulta!$C$4,$G876&lt;=Consulta!$C$5),COUNTIFS($N$6:$N876,Consulta!$C$3,$G$6:$G876,"&gt;="&amp;Consulta!$C$4,$G$6:$G876,"&lt;="&amp;Consulta!$C$5),""))</f>
        <v/>
      </c>
      <c r="K876" s="48" t="str">
        <f aca="false">IF($C876="","",IF(AND($C876=Consulta!$L$3,$G876&lt;&gt;"",$G876&gt;=Consulta!$L$4,$G876&lt;=Consulta!$L$5),COUNTIFS($C$6:$C876,Consulta!$L$3,$G$6:$G876,"&gt;="&amp;Consulta!$L$4,$G$6:$G876,"&lt;="&amp;Consulta!$L$5),""))</f>
        <v/>
      </c>
      <c r="L876" s="48" t="str">
        <f aca="false">IF($D876="","",IF($D876=Consulta!$S$3,COUNTIF($D$6:$D876,Consulta!$S$3),""))</f>
        <v/>
      </c>
      <c r="M876" s="48" t="str">
        <f aca="false">IF($N876="","",IF(AND($N876='Comprovante DEV'!$D$6,$G876='Comprovante DEV'!$D$7),COUNTIFS($N$6:$N876,'Comprovante DEV'!$D$6,$G$6:$G876,'Comprovante DEV'!$D$7),""))</f>
        <v/>
      </c>
      <c r="N876" s="48" t="str">
        <f aca="false">IF($F876="","",IFERROR(VLOOKUP($F876,Apelidos_Tecnico!$A:$B,2,0),$F876))</f>
        <v/>
      </c>
    </row>
    <row r="877" customFormat="false" ht="15" hidden="false" customHeight="false" outlineLevel="0" collapsed="false">
      <c r="A877" s="25"/>
      <c r="B877" s="25"/>
      <c r="C877" s="26"/>
      <c r="D877" s="25"/>
      <c r="E877" s="25"/>
      <c r="F877" s="25"/>
      <c r="G877" s="27"/>
      <c r="H877" s="25"/>
      <c r="I877" s="26"/>
      <c r="J877" s="48" t="str">
        <f aca="false">IF($N877="","",IF(AND($N877=Consulta!$C$3,$G877&lt;&gt;"",$G877&gt;=Consulta!$C$4,$G877&lt;=Consulta!$C$5),COUNTIFS($N$6:$N877,Consulta!$C$3,$G$6:$G877,"&gt;="&amp;Consulta!$C$4,$G$6:$G877,"&lt;="&amp;Consulta!$C$5),""))</f>
        <v/>
      </c>
      <c r="K877" s="48" t="str">
        <f aca="false">IF($C877="","",IF(AND($C877=Consulta!$L$3,$G877&lt;&gt;"",$G877&gt;=Consulta!$L$4,$G877&lt;=Consulta!$L$5),COUNTIFS($C$6:$C877,Consulta!$L$3,$G$6:$G877,"&gt;="&amp;Consulta!$L$4,$G$6:$G877,"&lt;="&amp;Consulta!$L$5),""))</f>
        <v/>
      </c>
      <c r="L877" s="48" t="str">
        <f aca="false">IF($D877="","",IF($D877=Consulta!$S$3,COUNTIF($D$6:$D877,Consulta!$S$3),""))</f>
        <v/>
      </c>
      <c r="M877" s="48" t="str">
        <f aca="false">IF($N877="","",IF(AND($N877='Comprovante DEV'!$D$6,$G877='Comprovante DEV'!$D$7),COUNTIFS($N$6:$N877,'Comprovante DEV'!$D$6,$G$6:$G877,'Comprovante DEV'!$D$7),""))</f>
        <v/>
      </c>
      <c r="N877" s="48" t="str">
        <f aca="false">IF($F877="","",IFERROR(VLOOKUP($F877,Apelidos_Tecnico!$A:$B,2,0),$F877))</f>
        <v/>
      </c>
    </row>
    <row r="878" customFormat="false" ht="15" hidden="false" customHeight="false" outlineLevel="0" collapsed="false">
      <c r="A878" s="25"/>
      <c r="B878" s="25"/>
      <c r="C878" s="26"/>
      <c r="D878" s="25"/>
      <c r="E878" s="25"/>
      <c r="F878" s="25"/>
      <c r="G878" s="27"/>
      <c r="H878" s="25"/>
      <c r="I878" s="26"/>
      <c r="J878" s="48" t="str">
        <f aca="false">IF($N878="","",IF(AND($N878=Consulta!$C$3,$G878&lt;&gt;"",$G878&gt;=Consulta!$C$4,$G878&lt;=Consulta!$C$5),COUNTIFS($N$6:$N878,Consulta!$C$3,$G$6:$G878,"&gt;="&amp;Consulta!$C$4,$G$6:$G878,"&lt;="&amp;Consulta!$C$5),""))</f>
        <v/>
      </c>
      <c r="K878" s="48" t="str">
        <f aca="false">IF($C878="","",IF(AND($C878=Consulta!$L$3,$G878&lt;&gt;"",$G878&gt;=Consulta!$L$4,$G878&lt;=Consulta!$L$5),COUNTIFS($C$6:$C878,Consulta!$L$3,$G$6:$G878,"&gt;="&amp;Consulta!$L$4,$G$6:$G878,"&lt;="&amp;Consulta!$L$5),""))</f>
        <v/>
      </c>
      <c r="L878" s="48" t="str">
        <f aca="false">IF($D878="","",IF($D878=Consulta!$S$3,COUNTIF($D$6:$D878,Consulta!$S$3),""))</f>
        <v/>
      </c>
      <c r="M878" s="48" t="str">
        <f aca="false">IF($N878="","",IF(AND($N878='Comprovante DEV'!$D$6,$G878='Comprovante DEV'!$D$7),COUNTIFS($N$6:$N878,'Comprovante DEV'!$D$6,$G$6:$G878,'Comprovante DEV'!$D$7),""))</f>
        <v/>
      </c>
      <c r="N878" s="48" t="str">
        <f aca="false">IF($F878="","",IFERROR(VLOOKUP($F878,Apelidos_Tecnico!$A:$B,2,0),$F878))</f>
        <v/>
      </c>
    </row>
    <row r="879" customFormat="false" ht="15" hidden="false" customHeight="false" outlineLevel="0" collapsed="false">
      <c r="A879" s="25"/>
      <c r="B879" s="25"/>
      <c r="C879" s="26"/>
      <c r="D879" s="25"/>
      <c r="E879" s="25"/>
      <c r="F879" s="25"/>
      <c r="G879" s="27"/>
      <c r="H879" s="25"/>
      <c r="I879" s="26"/>
      <c r="J879" s="48" t="str">
        <f aca="false">IF($N879="","",IF(AND($N879=Consulta!$C$3,$G879&lt;&gt;"",$G879&gt;=Consulta!$C$4,$G879&lt;=Consulta!$C$5),COUNTIFS($N$6:$N879,Consulta!$C$3,$G$6:$G879,"&gt;="&amp;Consulta!$C$4,$G$6:$G879,"&lt;="&amp;Consulta!$C$5),""))</f>
        <v/>
      </c>
      <c r="K879" s="48" t="str">
        <f aca="false">IF($C879="","",IF(AND($C879=Consulta!$L$3,$G879&lt;&gt;"",$G879&gt;=Consulta!$L$4,$G879&lt;=Consulta!$L$5),COUNTIFS($C$6:$C879,Consulta!$L$3,$G$6:$G879,"&gt;="&amp;Consulta!$L$4,$G$6:$G879,"&lt;="&amp;Consulta!$L$5),""))</f>
        <v/>
      </c>
      <c r="L879" s="48" t="str">
        <f aca="false">IF($D879="","",IF($D879=Consulta!$S$3,COUNTIF($D$6:$D879,Consulta!$S$3),""))</f>
        <v/>
      </c>
      <c r="M879" s="48" t="str">
        <f aca="false">IF($N879="","",IF(AND($N879='Comprovante DEV'!$D$6,$G879='Comprovante DEV'!$D$7),COUNTIFS($N$6:$N879,'Comprovante DEV'!$D$6,$G$6:$G879,'Comprovante DEV'!$D$7),""))</f>
        <v/>
      </c>
      <c r="N879" s="48" t="str">
        <f aca="false">IF($F879="","",IFERROR(VLOOKUP($F879,Apelidos_Tecnico!$A:$B,2,0),$F879))</f>
        <v/>
      </c>
    </row>
    <row r="880" customFormat="false" ht="15" hidden="false" customHeight="false" outlineLevel="0" collapsed="false">
      <c r="A880" s="25"/>
      <c r="B880" s="25"/>
      <c r="C880" s="26"/>
      <c r="D880" s="25"/>
      <c r="E880" s="25"/>
      <c r="F880" s="25"/>
      <c r="G880" s="27"/>
      <c r="H880" s="25"/>
      <c r="I880" s="26"/>
      <c r="J880" s="48" t="str">
        <f aca="false">IF($N880="","",IF(AND($N880=Consulta!$C$3,$G880&lt;&gt;"",$G880&gt;=Consulta!$C$4,$G880&lt;=Consulta!$C$5),COUNTIFS($N$6:$N880,Consulta!$C$3,$G$6:$G880,"&gt;="&amp;Consulta!$C$4,$G$6:$G880,"&lt;="&amp;Consulta!$C$5),""))</f>
        <v/>
      </c>
      <c r="K880" s="48" t="str">
        <f aca="false">IF($C880="","",IF(AND($C880=Consulta!$L$3,$G880&lt;&gt;"",$G880&gt;=Consulta!$L$4,$G880&lt;=Consulta!$L$5),COUNTIFS($C$6:$C880,Consulta!$L$3,$G$6:$G880,"&gt;="&amp;Consulta!$L$4,$G$6:$G880,"&lt;="&amp;Consulta!$L$5),""))</f>
        <v/>
      </c>
      <c r="L880" s="48" t="str">
        <f aca="false">IF($D880="","",IF($D880=Consulta!$S$3,COUNTIF($D$6:$D880,Consulta!$S$3),""))</f>
        <v/>
      </c>
      <c r="M880" s="48" t="str">
        <f aca="false">IF($N880="","",IF(AND($N880='Comprovante DEV'!$D$6,$G880='Comprovante DEV'!$D$7),COUNTIFS($N$6:$N880,'Comprovante DEV'!$D$6,$G$6:$G880,'Comprovante DEV'!$D$7),""))</f>
        <v/>
      </c>
      <c r="N880" s="48" t="str">
        <f aca="false">IF($F880="","",IFERROR(VLOOKUP($F880,Apelidos_Tecnico!$A:$B,2,0),$F880))</f>
        <v/>
      </c>
    </row>
    <row r="881" customFormat="false" ht="15" hidden="false" customHeight="false" outlineLevel="0" collapsed="false">
      <c r="A881" s="25"/>
      <c r="B881" s="25"/>
      <c r="C881" s="26"/>
      <c r="D881" s="25"/>
      <c r="E881" s="25"/>
      <c r="F881" s="25"/>
      <c r="G881" s="27"/>
      <c r="H881" s="25"/>
      <c r="I881" s="26"/>
      <c r="J881" s="48" t="str">
        <f aca="false">IF($N881="","",IF(AND($N881=Consulta!$C$3,$G881&lt;&gt;"",$G881&gt;=Consulta!$C$4,$G881&lt;=Consulta!$C$5),COUNTIFS($N$6:$N881,Consulta!$C$3,$G$6:$G881,"&gt;="&amp;Consulta!$C$4,$G$6:$G881,"&lt;="&amp;Consulta!$C$5),""))</f>
        <v/>
      </c>
      <c r="K881" s="48" t="str">
        <f aca="false">IF($C881="","",IF(AND($C881=Consulta!$L$3,$G881&lt;&gt;"",$G881&gt;=Consulta!$L$4,$G881&lt;=Consulta!$L$5),COUNTIFS($C$6:$C881,Consulta!$L$3,$G$6:$G881,"&gt;="&amp;Consulta!$L$4,$G$6:$G881,"&lt;="&amp;Consulta!$L$5),""))</f>
        <v/>
      </c>
      <c r="L881" s="48" t="str">
        <f aca="false">IF($D881="","",IF($D881=Consulta!$S$3,COUNTIF($D$6:$D881,Consulta!$S$3),""))</f>
        <v/>
      </c>
      <c r="M881" s="48" t="str">
        <f aca="false">IF($N881="","",IF(AND($N881='Comprovante DEV'!$D$6,$G881='Comprovante DEV'!$D$7),COUNTIFS($N$6:$N881,'Comprovante DEV'!$D$6,$G$6:$G881,'Comprovante DEV'!$D$7),""))</f>
        <v/>
      </c>
      <c r="N881" s="48" t="str">
        <f aca="false">IF($F881="","",IFERROR(VLOOKUP($F881,Apelidos_Tecnico!$A:$B,2,0),$F881))</f>
        <v/>
      </c>
    </row>
    <row r="882" customFormat="false" ht="15" hidden="false" customHeight="false" outlineLevel="0" collapsed="false">
      <c r="A882" s="25"/>
      <c r="B882" s="25"/>
      <c r="C882" s="26"/>
      <c r="D882" s="25"/>
      <c r="E882" s="25"/>
      <c r="F882" s="25"/>
      <c r="G882" s="27"/>
      <c r="H882" s="25"/>
      <c r="I882" s="26"/>
      <c r="J882" s="48" t="str">
        <f aca="false">IF($N882="","",IF(AND($N882=Consulta!$C$3,$G882&lt;&gt;"",$G882&gt;=Consulta!$C$4,$G882&lt;=Consulta!$C$5),COUNTIFS($N$6:$N882,Consulta!$C$3,$G$6:$G882,"&gt;="&amp;Consulta!$C$4,$G$6:$G882,"&lt;="&amp;Consulta!$C$5),""))</f>
        <v/>
      </c>
      <c r="K882" s="48" t="str">
        <f aca="false">IF($C882="","",IF(AND($C882=Consulta!$L$3,$G882&lt;&gt;"",$G882&gt;=Consulta!$L$4,$G882&lt;=Consulta!$L$5),COUNTIFS($C$6:$C882,Consulta!$L$3,$G$6:$G882,"&gt;="&amp;Consulta!$L$4,$G$6:$G882,"&lt;="&amp;Consulta!$L$5),""))</f>
        <v/>
      </c>
      <c r="L882" s="48" t="str">
        <f aca="false">IF($D882="","",IF($D882=Consulta!$S$3,COUNTIF($D$6:$D882,Consulta!$S$3),""))</f>
        <v/>
      </c>
      <c r="M882" s="48" t="str">
        <f aca="false">IF($N882="","",IF(AND($N882='Comprovante DEV'!$D$6,$G882='Comprovante DEV'!$D$7),COUNTIFS($N$6:$N882,'Comprovante DEV'!$D$6,$G$6:$G882,'Comprovante DEV'!$D$7),""))</f>
        <v/>
      </c>
      <c r="N882" s="48" t="str">
        <f aca="false">IF($F882="","",IFERROR(VLOOKUP($F882,Apelidos_Tecnico!$A:$B,2,0),$F882))</f>
        <v/>
      </c>
    </row>
    <row r="883" customFormat="false" ht="15" hidden="false" customHeight="false" outlineLevel="0" collapsed="false">
      <c r="A883" s="25"/>
      <c r="B883" s="25"/>
      <c r="C883" s="26"/>
      <c r="D883" s="25"/>
      <c r="E883" s="25"/>
      <c r="F883" s="25"/>
      <c r="G883" s="27"/>
      <c r="H883" s="25"/>
      <c r="I883" s="26"/>
      <c r="J883" s="48" t="str">
        <f aca="false">IF($N883="","",IF(AND($N883=Consulta!$C$3,$G883&lt;&gt;"",$G883&gt;=Consulta!$C$4,$G883&lt;=Consulta!$C$5),COUNTIFS($N$6:$N883,Consulta!$C$3,$G$6:$G883,"&gt;="&amp;Consulta!$C$4,$G$6:$G883,"&lt;="&amp;Consulta!$C$5),""))</f>
        <v/>
      </c>
      <c r="K883" s="48" t="str">
        <f aca="false">IF($C883="","",IF(AND($C883=Consulta!$L$3,$G883&lt;&gt;"",$G883&gt;=Consulta!$L$4,$G883&lt;=Consulta!$L$5),COUNTIFS($C$6:$C883,Consulta!$L$3,$G$6:$G883,"&gt;="&amp;Consulta!$L$4,$G$6:$G883,"&lt;="&amp;Consulta!$L$5),""))</f>
        <v/>
      </c>
      <c r="L883" s="48" t="str">
        <f aca="false">IF($D883="","",IF($D883=Consulta!$S$3,COUNTIF($D$6:$D883,Consulta!$S$3),""))</f>
        <v/>
      </c>
      <c r="M883" s="48" t="str">
        <f aca="false">IF($N883="","",IF(AND($N883='Comprovante DEV'!$D$6,$G883='Comprovante DEV'!$D$7),COUNTIFS($N$6:$N883,'Comprovante DEV'!$D$6,$G$6:$G883,'Comprovante DEV'!$D$7),""))</f>
        <v/>
      </c>
      <c r="N883" s="48" t="str">
        <f aca="false">IF($F883="","",IFERROR(VLOOKUP($F883,Apelidos_Tecnico!$A:$B,2,0),$F883))</f>
        <v/>
      </c>
    </row>
    <row r="884" customFormat="false" ht="15" hidden="false" customHeight="false" outlineLevel="0" collapsed="false">
      <c r="A884" s="25"/>
      <c r="B884" s="25"/>
      <c r="C884" s="26"/>
      <c r="D884" s="25"/>
      <c r="E884" s="25"/>
      <c r="F884" s="25"/>
      <c r="G884" s="27"/>
      <c r="H884" s="25"/>
      <c r="I884" s="26"/>
      <c r="J884" s="48" t="str">
        <f aca="false">IF($N884="","",IF(AND($N884=Consulta!$C$3,$G884&lt;&gt;"",$G884&gt;=Consulta!$C$4,$G884&lt;=Consulta!$C$5),COUNTIFS($N$6:$N884,Consulta!$C$3,$G$6:$G884,"&gt;="&amp;Consulta!$C$4,$G$6:$G884,"&lt;="&amp;Consulta!$C$5),""))</f>
        <v/>
      </c>
      <c r="K884" s="48" t="str">
        <f aca="false">IF($C884="","",IF(AND($C884=Consulta!$L$3,$G884&lt;&gt;"",$G884&gt;=Consulta!$L$4,$G884&lt;=Consulta!$L$5),COUNTIFS($C$6:$C884,Consulta!$L$3,$G$6:$G884,"&gt;="&amp;Consulta!$L$4,$G$6:$G884,"&lt;="&amp;Consulta!$L$5),""))</f>
        <v/>
      </c>
      <c r="L884" s="48" t="str">
        <f aca="false">IF($D884="","",IF($D884=Consulta!$S$3,COUNTIF($D$6:$D884,Consulta!$S$3),""))</f>
        <v/>
      </c>
      <c r="M884" s="48" t="str">
        <f aca="false">IF($N884="","",IF(AND($N884='Comprovante DEV'!$D$6,$G884='Comprovante DEV'!$D$7),COUNTIFS($N$6:$N884,'Comprovante DEV'!$D$6,$G$6:$G884,'Comprovante DEV'!$D$7),""))</f>
        <v/>
      </c>
      <c r="N884" s="48" t="str">
        <f aca="false">IF($F884="","",IFERROR(VLOOKUP($F884,Apelidos_Tecnico!$A:$B,2,0),$F884))</f>
        <v/>
      </c>
    </row>
    <row r="885" customFormat="false" ht="15" hidden="false" customHeight="false" outlineLevel="0" collapsed="false">
      <c r="A885" s="25"/>
      <c r="B885" s="25"/>
      <c r="C885" s="26"/>
      <c r="D885" s="25"/>
      <c r="E885" s="25"/>
      <c r="F885" s="25"/>
      <c r="G885" s="27"/>
      <c r="H885" s="25"/>
      <c r="I885" s="26"/>
      <c r="J885" s="48" t="str">
        <f aca="false">IF($N885="","",IF(AND($N885=Consulta!$C$3,$G885&lt;&gt;"",$G885&gt;=Consulta!$C$4,$G885&lt;=Consulta!$C$5),COUNTIFS($N$6:$N885,Consulta!$C$3,$G$6:$G885,"&gt;="&amp;Consulta!$C$4,$G$6:$G885,"&lt;="&amp;Consulta!$C$5),""))</f>
        <v/>
      </c>
      <c r="K885" s="48" t="str">
        <f aca="false">IF($C885="","",IF(AND($C885=Consulta!$L$3,$G885&lt;&gt;"",$G885&gt;=Consulta!$L$4,$G885&lt;=Consulta!$L$5),COUNTIFS($C$6:$C885,Consulta!$L$3,$G$6:$G885,"&gt;="&amp;Consulta!$L$4,$G$6:$G885,"&lt;="&amp;Consulta!$L$5),""))</f>
        <v/>
      </c>
      <c r="L885" s="48" t="str">
        <f aca="false">IF($D885="","",IF($D885=Consulta!$S$3,COUNTIF($D$6:$D885,Consulta!$S$3),""))</f>
        <v/>
      </c>
      <c r="M885" s="48" t="str">
        <f aca="false">IF($N885="","",IF(AND($N885='Comprovante DEV'!$D$6,$G885='Comprovante DEV'!$D$7),COUNTIFS($N$6:$N885,'Comprovante DEV'!$D$6,$G$6:$G885,'Comprovante DEV'!$D$7),""))</f>
        <v/>
      </c>
      <c r="N885" s="48" t="str">
        <f aca="false">IF($F885="","",IFERROR(VLOOKUP($F885,Apelidos_Tecnico!$A:$B,2,0),$F885))</f>
        <v/>
      </c>
    </row>
    <row r="886" customFormat="false" ht="15" hidden="false" customHeight="false" outlineLevel="0" collapsed="false">
      <c r="A886" s="25"/>
      <c r="B886" s="25"/>
      <c r="C886" s="26"/>
      <c r="D886" s="25"/>
      <c r="E886" s="25"/>
      <c r="F886" s="25"/>
      <c r="G886" s="27"/>
      <c r="H886" s="25"/>
      <c r="I886" s="26"/>
      <c r="J886" s="48" t="str">
        <f aca="false">IF($N886="","",IF(AND($N886=Consulta!$C$3,$G886&lt;&gt;"",$G886&gt;=Consulta!$C$4,$G886&lt;=Consulta!$C$5),COUNTIFS($N$6:$N886,Consulta!$C$3,$G$6:$G886,"&gt;="&amp;Consulta!$C$4,$G$6:$G886,"&lt;="&amp;Consulta!$C$5),""))</f>
        <v/>
      </c>
      <c r="K886" s="48" t="str">
        <f aca="false">IF($C886="","",IF(AND($C886=Consulta!$L$3,$G886&lt;&gt;"",$G886&gt;=Consulta!$L$4,$G886&lt;=Consulta!$L$5),COUNTIFS($C$6:$C886,Consulta!$L$3,$G$6:$G886,"&gt;="&amp;Consulta!$L$4,$G$6:$G886,"&lt;="&amp;Consulta!$L$5),""))</f>
        <v/>
      </c>
      <c r="L886" s="48" t="str">
        <f aca="false">IF($D886="","",IF($D886=Consulta!$S$3,COUNTIF($D$6:$D886,Consulta!$S$3),""))</f>
        <v/>
      </c>
      <c r="M886" s="48" t="str">
        <f aca="false">IF($N886="","",IF(AND($N886='Comprovante DEV'!$D$6,$G886='Comprovante DEV'!$D$7),COUNTIFS($N$6:$N886,'Comprovante DEV'!$D$6,$G$6:$G886,'Comprovante DEV'!$D$7),""))</f>
        <v/>
      </c>
      <c r="N886" s="48" t="str">
        <f aca="false">IF($F886="","",IFERROR(VLOOKUP($F886,Apelidos_Tecnico!$A:$B,2,0),$F886))</f>
        <v/>
      </c>
    </row>
    <row r="887" customFormat="false" ht="15" hidden="false" customHeight="false" outlineLevel="0" collapsed="false">
      <c r="A887" s="25"/>
      <c r="B887" s="25"/>
      <c r="C887" s="26"/>
      <c r="D887" s="25"/>
      <c r="E887" s="25"/>
      <c r="F887" s="25"/>
      <c r="G887" s="27"/>
      <c r="H887" s="25"/>
      <c r="I887" s="26"/>
      <c r="J887" s="48" t="str">
        <f aca="false">IF($N887="","",IF(AND($N887=Consulta!$C$3,$G887&lt;&gt;"",$G887&gt;=Consulta!$C$4,$G887&lt;=Consulta!$C$5),COUNTIFS($N$6:$N887,Consulta!$C$3,$G$6:$G887,"&gt;="&amp;Consulta!$C$4,$G$6:$G887,"&lt;="&amp;Consulta!$C$5),""))</f>
        <v/>
      </c>
      <c r="K887" s="48" t="str">
        <f aca="false">IF($C887="","",IF(AND($C887=Consulta!$L$3,$G887&lt;&gt;"",$G887&gt;=Consulta!$L$4,$G887&lt;=Consulta!$L$5),COUNTIFS($C$6:$C887,Consulta!$L$3,$G$6:$G887,"&gt;="&amp;Consulta!$L$4,$G$6:$G887,"&lt;="&amp;Consulta!$L$5),""))</f>
        <v/>
      </c>
      <c r="L887" s="48" t="str">
        <f aca="false">IF($D887="","",IF($D887=Consulta!$S$3,COUNTIF($D$6:$D887,Consulta!$S$3),""))</f>
        <v/>
      </c>
      <c r="M887" s="48" t="str">
        <f aca="false">IF($N887="","",IF(AND($N887='Comprovante DEV'!$D$6,$G887='Comprovante DEV'!$D$7),COUNTIFS($N$6:$N887,'Comprovante DEV'!$D$6,$G$6:$G887,'Comprovante DEV'!$D$7),""))</f>
        <v/>
      </c>
      <c r="N887" s="48" t="str">
        <f aca="false">IF($F887="","",IFERROR(VLOOKUP($F887,Apelidos_Tecnico!$A:$B,2,0),$F887))</f>
        <v/>
      </c>
    </row>
    <row r="888" customFormat="false" ht="15" hidden="false" customHeight="false" outlineLevel="0" collapsed="false">
      <c r="A888" s="25"/>
      <c r="B888" s="25"/>
      <c r="C888" s="26"/>
      <c r="D888" s="25"/>
      <c r="E888" s="25"/>
      <c r="F888" s="25"/>
      <c r="G888" s="27"/>
      <c r="H888" s="25"/>
      <c r="I888" s="26"/>
      <c r="J888" s="48" t="str">
        <f aca="false">IF($N888="","",IF(AND($N888=Consulta!$C$3,$G888&lt;&gt;"",$G888&gt;=Consulta!$C$4,$G888&lt;=Consulta!$C$5),COUNTIFS($N$6:$N888,Consulta!$C$3,$G$6:$G888,"&gt;="&amp;Consulta!$C$4,$G$6:$G888,"&lt;="&amp;Consulta!$C$5),""))</f>
        <v/>
      </c>
      <c r="K888" s="48" t="str">
        <f aca="false">IF($C888="","",IF(AND($C888=Consulta!$L$3,$G888&lt;&gt;"",$G888&gt;=Consulta!$L$4,$G888&lt;=Consulta!$L$5),COUNTIFS($C$6:$C888,Consulta!$L$3,$G$6:$G888,"&gt;="&amp;Consulta!$L$4,$G$6:$G888,"&lt;="&amp;Consulta!$L$5),""))</f>
        <v/>
      </c>
      <c r="L888" s="48" t="str">
        <f aca="false">IF($D888="","",IF($D888=Consulta!$S$3,COUNTIF($D$6:$D888,Consulta!$S$3),""))</f>
        <v/>
      </c>
      <c r="M888" s="48" t="str">
        <f aca="false">IF($N888="","",IF(AND($N888='Comprovante DEV'!$D$6,$G888='Comprovante DEV'!$D$7),COUNTIFS($N$6:$N888,'Comprovante DEV'!$D$6,$G$6:$G888,'Comprovante DEV'!$D$7),""))</f>
        <v/>
      </c>
      <c r="N888" s="48" t="str">
        <f aca="false">IF($F888="","",IFERROR(VLOOKUP($F888,Apelidos_Tecnico!$A:$B,2,0),$F888))</f>
        <v/>
      </c>
    </row>
    <row r="889" customFormat="false" ht="15" hidden="false" customHeight="false" outlineLevel="0" collapsed="false">
      <c r="A889" s="25"/>
      <c r="B889" s="25"/>
      <c r="C889" s="26"/>
      <c r="D889" s="25"/>
      <c r="E889" s="25"/>
      <c r="F889" s="25"/>
      <c r="G889" s="27"/>
      <c r="H889" s="25"/>
      <c r="I889" s="26"/>
      <c r="J889" s="48" t="str">
        <f aca="false">IF($N889="","",IF(AND($N889=Consulta!$C$3,$G889&lt;&gt;"",$G889&gt;=Consulta!$C$4,$G889&lt;=Consulta!$C$5),COUNTIFS($N$6:$N889,Consulta!$C$3,$G$6:$G889,"&gt;="&amp;Consulta!$C$4,$G$6:$G889,"&lt;="&amp;Consulta!$C$5),""))</f>
        <v/>
      </c>
      <c r="K889" s="48" t="str">
        <f aca="false">IF($C889="","",IF(AND($C889=Consulta!$L$3,$G889&lt;&gt;"",$G889&gt;=Consulta!$L$4,$G889&lt;=Consulta!$L$5),COUNTIFS($C$6:$C889,Consulta!$L$3,$G$6:$G889,"&gt;="&amp;Consulta!$L$4,$G$6:$G889,"&lt;="&amp;Consulta!$L$5),""))</f>
        <v/>
      </c>
      <c r="L889" s="48" t="str">
        <f aca="false">IF($D889="","",IF($D889=Consulta!$S$3,COUNTIF($D$6:$D889,Consulta!$S$3),""))</f>
        <v/>
      </c>
      <c r="M889" s="48" t="str">
        <f aca="false">IF($N889="","",IF(AND($N889='Comprovante DEV'!$D$6,$G889='Comprovante DEV'!$D$7),COUNTIFS($N$6:$N889,'Comprovante DEV'!$D$6,$G$6:$G889,'Comprovante DEV'!$D$7),""))</f>
        <v/>
      </c>
      <c r="N889" s="48" t="str">
        <f aca="false">IF($F889="","",IFERROR(VLOOKUP($F889,Apelidos_Tecnico!$A:$B,2,0),$F889))</f>
        <v/>
      </c>
    </row>
    <row r="890" customFormat="false" ht="15" hidden="false" customHeight="false" outlineLevel="0" collapsed="false">
      <c r="A890" s="25"/>
      <c r="B890" s="25"/>
      <c r="C890" s="26"/>
      <c r="D890" s="25"/>
      <c r="E890" s="25"/>
      <c r="F890" s="25"/>
      <c r="G890" s="27"/>
      <c r="H890" s="25"/>
      <c r="I890" s="26"/>
      <c r="J890" s="48" t="str">
        <f aca="false">IF($N890="","",IF(AND($N890=Consulta!$C$3,$G890&lt;&gt;"",$G890&gt;=Consulta!$C$4,$G890&lt;=Consulta!$C$5),COUNTIFS($N$6:$N890,Consulta!$C$3,$G$6:$G890,"&gt;="&amp;Consulta!$C$4,$G$6:$G890,"&lt;="&amp;Consulta!$C$5),""))</f>
        <v/>
      </c>
      <c r="K890" s="48" t="str">
        <f aca="false">IF($C890="","",IF(AND($C890=Consulta!$L$3,$G890&lt;&gt;"",$G890&gt;=Consulta!$L$4,$G890&lt;=Consulta!$L$5),COUNTIFS($C$6:$C890,Consulta!$L$3,$G$6:$G890,"&gt;="&amp;Consulta!$L$4,$G$6:$G890,"&lt;="&amp;Consulta!$L$5),""))</f>
        <v/>
      </c>
      <c r="L890" s="48" t="str">
        <f aca="false">IF($D890="","",IF($D890=Consulta!$S$3,COUNTIF($D$6:$D890,Consulta!$S$3),""))</f>
        <v/>
      </c>
      <c r="M890" s="48" t="str">
        <f aca="false">IF($N890="","",IF(AND($N890='Comprovante DEV'!$D$6,$G890='Comprovante DEV'!$D$7),COUNTIFS($N$6:$N890,'Comprovante DEV'!$D$6,$G$6:$G890,'Comprovante DEV'!$D$7),""))</f>
        <v/>
      </c>
      <c r="N890" s="48" t="str">
        <f aca="false">IF($F890="","",IFERROR(VLOOKUP($F890,Apelidos_Tecnico!$A:$B,2,0),$F890))</f>
        <v/>
      </c>
    </row>
    <row r="891" customFormat="false" ht="15" hidden="false" customHeight="false" outlineLevel="0" collapsed="false">
      <c r="A891" s="25"/>
      <c r="B891" s="25"/>
      <c r="C891" s="26"/>
      <c r="D891" s="25"/>
      <c r="E891" s="25"/>
      <c r="F891" s="25"/>
      <c r="G891" s="27"/>
      <c r="H891" s="25"/>
      <c r="I891" s="26"/>
      <c r="J891" s="48" t="str">
        <f aca="false">IF($N891="","",IF(AND($N891=Consulta!$C$3,$G891&lt;&gt;"",$G891&gt;=Consulta!$C$4,$G891&lt;=Consulta!$C$5),COUNTIFS($N$6:$N891,Consulta!$C$3,$G$6:$G891,"&gt;="&amp;Consulta!$C$4,$G$6:$G891,"&lt;="&amp;Consulta!$C$5),""))</f>
        <v/>
      </c>
      <c r="K891" s="48" t="str">
        <f aca="false">IF($C891="","",IF(AND($C891=Consulta!$L$3,$G891&lt;&gt;"",$G891&gt;=Consulta!$L$4,$G891&lt;=Consulta!$L$5),COUNTIFS($C$6:$C891,Consulta!$L$3,$G$6:$G891,"&gt;="&amp;Consulta!$L$4,$G$6:$G891,"&lt;="&amp;Consulta!$L$5),""))</f>
        <v/>
      </c>
      <c r="L891" s="48" t="str">
        <f aca="false">IF($D891="","",IF($D891=Consulta!$S$3,COUNTIF($D$6:$D891,Consulta!$S$3),""))</f>
        <v/>
      </c>
      <c r="M891" s="48" t="str">
        <f aca="false">IF($N891="","",IF(AND($N891='Comprovante DEV'!$D$6,$G891='Comprovante DEV'!$D$7),COUNTIFS($N$6:$N891,'Comprovante DEV'!$D$6,$G$6:$G891,'Comprovante DEV'!$D$7),""))</f>
        <v/>
      </c>
      <c r="N891" s="48" t="str">
        <f aca="false">IF($F891="","",IFERROR(VLOOKUP($F891,Apelidos_Tecnico!$A:$B,2,0),$F891))</f>
        <v/>
      </c>
    </row>
    <row r="892" customFormat="false" ht="15" hidden="false" customHeight="false" outlineLevel="0" collapsed="false">
      <c r="A892" s="25"/>
      <c r="B892" s="25"/>
      <c r="C892" s="26"/>
      <c r="D892" s="25"/>
      <c r="E892" s="25"/>
      <c r="F892" s="25"/>
      <c r="G892" s="27"/>
      <c r="H892" s="25"/>
      <c r="I892" s="26"/>
      <c r="J892" s="48" t="str">
        <f aca="false">IF($N892="","",IF(AND($N892=Consulta!$C$3,$G892&lt;&gt;"",$G892&gt;=Consulta!$C$4,$G892&lt;=Consulta!$C$5),COUNTIFS($N$6:$N892,Consulta!$C$3,$G$6:$G892,"&gt;="&amp;Consulta!$C$4,$G$6:$G892,"&lt;="&amp;Consulta!$C$5),""))</f>
        <v/>
      </c>
      <c r="K892" s="48" t="str">
        <f aca="false">IF($C892="","",IF(AND($C892=Consulta!$L$3,$G892&lt;&gt;"",$G892&gt;=Consulta!$L$4,$G892&lt;=Consulta!$L$5),COUNTIFS($C$6:$C892,Consulta!$L$3,$G$6:$G892,"&gt;="&amp;Consulta!$L$4,$G$6:$G892,"&lt;="&amp;Consulta!$L$5),""))</f>
        <v/>
      </c>
      <c r="L892" s="48" t="str">
        <f aca="false">IF($D892="","",IF($D892=Consulta!$S$3,COUNTIF($D$6:$D892,Consulta!$S$3),""))</f>
        <v/>
      </c>
      <c r="M892" s="48" t="str">
        <f aca="false">IF($N892="","",IF(AND($N892='Comprovante DEV'!$D$6,$G892='Comprovante DEV'!$D$7),COUNTIFS($N$6:$N892,'Comprovante DEV'!$D$6,$G$6:$G892,'Comprovante DEV'!$D$7),""))</f>
        <v/>
      </c>
      <c r="N892" s="48" t="str">
        <f aca="false">IF($F892="","",IFERROR(VLOOKUP($F892,Apelidos_Tecnico!$A:$B,2,0),$F892))</f>
        <v/>
      </c>
    </row>
    <row r="893" customFormat="false" ht="15" hidden="false" customHeight="false" outlineLevel="0" collapsed="false">
      <c r="A893" s="25"/>
      <c r="B893" s="25"/>
      <c r="C893" s="26"/>
      <c r="D893" s="25"/>
      <c r="E893" s="25"/>
      <c r="F893" s="25"/>
      <c r="G893" s="27"/>
      <c r="H893" s="25"/>
      <c r="I893" s="26"/>
      <c r="J893" s="48" t="str">
        <f aca="false">IF($N893="","",IF(AND($N893=Consulta!$C$3,$G893&lt;&gt;"",$G893&gt;=Consulta!$C$4,$G893&lt;=Consulta!$C$5),COUNTIFS($N$6:$N893,Consulta!$C$3,$G$6:$G893,"&gt;="&amp;Consulta!$C$4,$G$6:$G893,"&lt;="&amp;Consulta!$C$5),""))</f>
        <v/>
      </c>
      <c r="K893" s="48" t="str">
        <f aca="false">IF($C893="","",IF(AND($C893=Consulta!$L$3,$G893&lt;&gt;"",$G893&gt;=Consulta!$L$4,$G893&lt;=Consulta!$L$5),COUNTIFS($C$6:$C893,Consulta!$L$3,$G$6:$G893,"&gt;="&amp;Consulta!$L$4,$G$6:$G893,"&lt;="&amp;Consulta!$L$5),""))</f>
        <v/>
      </c>
      <c r="L893" s="48" t="str">
        <f aca="false">IF($D893="","",IF($D893=Consulta!$S$3,COUNTIF($D$6:$D893,Consulta!$S$3),""))</f>
        <v/>
      </c>
      <c r="M893" s="48" t="str">
        <f aca="false">IF($N893="","",IF(AND($N893='Comprovante DEV'!$D$6,$G893='Comprovante DEV'!$D$7),COUNTIFS($N$6:$N893,'Comprovante DEV'!$D$6,$G$6:$G893,'Comprovante DEV'!$D$7),""))</f>
        <v/>
      </c>
      <c r="N893" s="48" t="str">
        <f aca="false">IF($F893="","",IFERROR(VLOOKUP($F893,Apelidos_Tecnico!$A:$B,2,0),$F893))</f>
        <v/>
      </c>
    </row>
    <row r="894" customFormat="false" ht="15" hidden="false" customHeight="false" outlineLevel="0" collapsed="false">
      <c r="A894" s="25"/>
      <c r="B894" s="25"/>
      <c r="C894" s="26"/>
      <c r="D894" s="25"/>
      <c r="E894" s="25"/>
      <c r="F894" s="25"/>
      <c r="G894" s="27"/>
      <c r="H894" s="25"/>
      <c r="I894" s="26"/>
      <c r="J894" s="48" t="str">
        <f aca="false">IF($N894="","",IF(AND($N894=Consulta!$C$3,$G894&lt;&gt;"",$G894&gt;=Consulta!$C$4,$G894&lt;=Consulta!$C$5),COUNTIFS($N$6:$N894,Consulta!$C$3,$G$6:$G894,"&gt;="&amp;Consulta!$C$4,$G$6:$G894,"&lt;="&amp;Consulta!$C$5),""))</f>
        <v/>
      </c>
      <c r="K894" s="48" t="str">
        <f aca="false">IF($C894="","",IF(AND($C894=Consulta!$L$3,$G894&lt;&gt;"",$G894&gt;=Consulta!$L$4,$G894&lt;=Consulta!$L$5),COUNTIFS($C$6:$C894,Consulta!$L$3,$G$6:$G894,"&gt;="&amp;Consulta!$L$4,$G$6:$G894,"&lt;="&amp;Consulta!$L$5),""))</f>
        <v/>
      </c>
      <c r="L894" s="48" t="str">
        <f aca="false">IF($D894="","",IF($D894=Consulta!$S$3,COUNTIF($D$6:$D894,Consulta!$S$3),""))</f>
        <v/>
      </c>
      <c r="M894" s="48" t="str">
        <f aca="false">IF($N894="","",IF(AND($N894='Comprovante DEV'!$D$6,$G894='Comprovante DEV'!$D$7),COUNTIFS($N$6:$N894,'Comprovante DEV'!$D$6,$G$6:$G894,'Comprovante DEV'!$D$7),""))</f>
        <v/>
      </c>
      <c r="N894" s="48" t="str">
        <f aca="false">IF($F894="","",IFERROR(VLOOKUP($F894,Apelidos_Tecnico!$A:$B,2,0),$F894))</f>
        <v/>
      </c>
    </row>
    <row r="895" customFormat="false" ht="15" hidden="false" customHeight="false" outlineLevel="0" collapsed="false">
      <c r="A895" s="25"/>
      <c r="B895" s="25"/>
      <c r="C895" s="26"/>
      <c r="D895" s="25"/>
      <c r="E895" s="25"/>
      <c r="F895" s="25"/>
      <c r="G895" s="27"/>
      <c r="H895" s="25"/>
      <c r="I895" s="26"/>
      <c r="J895" s="48" t="str">
        <f aca="false">IF($N895="","",IF(AND($N895=Consulta!$C$3,$G895&lt;&gt;"",$G895&gt;=Consulta!$C$4,$G895&lt;=Consulta!$C$5),COUNTIFS($N$6:$N895,Consulta!$C$3,$G$6:$G895,"&gt;="&amp;Consulta!$C$4,$G$6:$G895,"&lt;="&amp;Consulta!$C$5),""))</f>
        <v/>
      </c>
      <c r="K895" s="48" t="str">
        <f aca="false">IF($C895="","",IF(AND($C895=Consulta!$L$3,$G895&lt;&gt;"",$G895&gt;=Consulta!$L$4,$G895&lt;=Consulta!$L$5),COUNTIFS($C$6:$C895,Consulta!$L$3,$G$6:$G895,"&gt;="&amp;Consulta!$L$4,$G$6:$G895,"&lt;="&amp;Consulta!$L$5),""))</f>
        <v/>
      </c>
      <c r="L895" s="48" t="str">
        <f aca="false">IF($D895="","",IF($D895=Consulta!$S$3,COUNTIF($D$6:$D895,Consulta!$S$3),""))</f>
        <v/>
      </c>
      <c r="M895" s="48" t="str">
        <f aca="false">IF($N895="","",IF(AND($N895='Comprovante DEV'!$D$6,$G895='Comprovante DEV'!$D$7),COUNTIFS($N$6:$N895,'Comprovante DEV'!$D$6,$G$6:$G895,'Comprovante DEV'!$D$7),""))</f>
        <v/>
      </c>
      <c r="N895" s="48" t="str">
        <f aca="false">IF($F895="","",IFERROR(VLOOKUP($F895,Apelidos_Tecnico!$A:$B,2,0),$F895))</f>
        <v/>
      </c>
    </row>
    <row r="896" customFormat="false" ht="15" hidden="false" customHeight="false" outlineLevel="0" collapsed="false">
      <c r="A896" s="25"/>
      <c r="B896" s="25"/>
      <c r="C896" s="26"/>
      <c r="D896" s="25"/>
      <c r="E896" s="25"/>
      <c r="F896" s="25"/>
      <c r="G896" s="27"/>
      <c r="H896" s="25"/>
      <c r="I896" s="26"/>
      <c r="J896" s="48" t="str">
        <f aca="false">IF($N896="","",IF(AND($N896=Consulta!$C$3,$G896&lt;&gt;"",$G896&gt;=Consulta!$C$4,$G896&lt;=Consulta!$C$5),COUNTIFS($N$6:$N896,Consulta!$C$3,$G$6:$G896,"&gt;="&amp;Consulta!$C$4,$G$6:$G896,"&lt;="&amp;Consulta!$C$5),""))</f>
        <v/>
      </c>
      <c r="K896" s="48" t="str">
        <f aca="false">IF($C896="","",IF(AND($C896=Consulta!$L$3,$G896&lt;&gt;"",$G896&gt;=Consulta!$L$4,$G896&lt;=Consulta!$L$5),COUNTIFS($C$6:$C896,Consulta!$L$3,$G$6:$G896,"&gt;="&amp;Consulta!$L$4,$G$6:$G896,"&lt;="&amp;Consulta!$L$5),""))</f>
        <v/>
      </c>
      <c r="L896" s="48" t="str">
        <f aca="false">IF($D896="","",IF($D896=Consulta!$S$3,COUNTIF($D$6:$D896,Consulta!$S$3),""))</f>
        <v/>
      </c>
      <c r="M896" s="48" t="str">
        <f aca="false">IF($N896="","",IF(AND($N896='Comprovante DEV'!$D$6,$G896='Comprovante DEV'!$D$7),COUNTIFS($N$6:$N896,'Comprovante DEV'!$D$6,$G$6:$G896,'Comprovante DEV'!$D$7),""))</f>
        <v/>
      </c>
      <c r="N896" s="48" t="str">
        <f aca="false">IF($F896="","",IFERROR(VLOOKUP($F896,Apelidos_Tecnico!$A:$B,2,0),$F896))</f>
        <v/>
      </c>
    </row>
    <row r="897" customFormat="false" ht="15" hidden="false" customHeight="false" outlineLevel="0" collapsed="false">
      <c r="A897" s="25"/>
      <c r="B897" s="25"/>
      <c r="C897" s="26"/>
      <c r="D897" s="25"/>
      <c r="E897" s="25"/>
      <c r="F897" s="25"/>
      <c r="G897" s="27"/>
      <c r="H897" s="25"/>
      <c r="I897" s="26"/>
      <c r="J897" s="48" t="str">
        <f aca="false">IF($N897="","",IF(AND($N897=Consulta!$C$3,$G897&lt;&gt;"",$G897&gt;=Consulta!$C$4,$G897&lt;=Consulta!$C$5),COUNTIFS($N$6:$N897,Consulta!$C$3,$G$6:$G897,"&gt;="&amp;Consulta!$C$4,$G$6:$G897,"&lt;="&amp;Consulta!$C$5),""))</f>
        <v/>
      </c>
      <c r="K897" s="48" t="str">
        <f aca="false">IF($C897="","",IF(AND($C897=Consulta!$L$3,$G897&lt;&gt;"",$G897&gt;=Consulta!$L$4,$G897&lt;=Consulta!$L$5),COUNTIFS($C$6:$C897,Consulta!$L$3,$G$6:$G897,"&gt;="&amp;Consulta!$L$4,$G$6:$G897,"&lt;="&amp;Consulta!$L$5),""))</f>
        <v/>
      </c>
      <c r="L897" s="48" t="str">
        <f aca="false">IF($D897="","",IF($D897=Consulta!$S$3,COUNTIF($D$6:$D897,Consulta!$S$3),""))</f>
        <v/>
      </c>
      <c r="M897" s="48" t="str">
        <f aca="false">IF($N897="","",IF(AND($N897='Comprovante DEV'!$D$6,$G897='Comprovante DEV'!$D$7),COUNTIFS($N$6:$N897,'Comprovante DEV'!$D$6,$G$6:$G897,'Comprovante DEV'!$D$7),""))</f>
        <v/>
      </c>
      <c r="N897" s="48" t="str">
        <f aca="false">IF($F897="","",IFERROR(VLOOKUP($F897,Apelidos_Tecnico!$A:$B,2,0),$F897))</f>
        <v/>
      </c>
    </row>
    <row r="898" customFormat="false" ht="15" hidden="false" customHeight="false" outlineLevel="0" collapsed="false">
      <c r="A898" s="25"/>
      <c r="B898" s="25"/>
      <c r="C898" s="26"/>
      <c r="D898" s="25"/>
      <c r="E898" s="25"/>
      <c r="F898" s="25"/>
      <c r="G898" s="27"/>
      <c r="H898" s="25"/>
      <c r="I898" s="26"/>
      <c r="J898" s="48" t="str">
        <f aca="false">IF($N898="","",IF(AND($N898=Consulta!$C$3,$G898&lt;&gt;"",$G898&gt;=Consulta!$C$4,$G898&lt;=Consulta!$C$5),COUNTIFS($N$6:$N898,Consulta!$C$3,$G$6:$G898,"&gt;="&amp;Consulta!$C$4,$G$6:$G898,"&lt;="&amp;Consulta!$C$5),""))</f>
        <v/>
      </c>
      <c r="K898" s="48" t="str">
        <f aca="false">IF($C898="","",IF(AND($C898=Consulta!$L$3,$G898&lt;&gt;"",$G898&gt;=Consulta!$L$4,$G898&lt;=Consulta!$L$5),COUNTIFS($C$6:$C898,Consulta!$L$3,$G$6:$G898,"&gt;="&amp;Consulta!$L$4,$G$6:$G898,"&lt;="&amp;Consulta!$L$5),""))</f>
        <v/>
      </c>
      <c r="L898" s="48" t="str">
        <f aca="false">IF($D898="","",IF($D898=Consulta!$S$3,COUNTIF($D$6:$D898,Consulta!$S$3),""))</f>
        <v/>
      </c>
      <c r="M898" s="48" t="str">
        <f aca="false">IF($N898="","",IF(AND($N898='Comprovante DEV'!$D$6,$G898='Comprovante DEV'!$D$7),COUNTIFS($N$6:$N898,'Comprovante DEV'!$D$6,$G$6:$G898,'Comprovante DEV'!$D$7),""))</f>
        <v/>
      </c>
      <c r="N898" s="48" t="str">
        <f aca="false">IF($F898="","",IFERROR(VLOOKUP($F898,Apelidos_Tecnico!$A:$B,2,0),$F898))</f>
        <v/>
      </c>
    </row>
    <row r="899" customFormat="false" ht="15" hidden="false" customHeight="false" outlineLevel="0" collapsed="false">
      <c r="A899" s="25"/>
      <c r="B899" s="25"/>
      <c r="C899" s="26"/>
      <c r="D899" s="25"/>
      <c r="E899" s="25"/>
      <c r="F899" s="25"/>
      <c r="G899" s="27"/>
      <c r="H899" s="25"/>
      <c r="I899" s="26"/>
      <c r="J899" s="48" t="str">
        <f aca="false">IF($N899="","",IF(AND($N899=Consulta!$C$3,$G899&lt;&gt;"",$G899&gt;=Consulta!$C$4,$G899&lt;=Consulta!$C$5),COUNTIFS($N$6:$N899,Consulta!$C$3,$G$6:$G899,"&gt;="&amp;Consulta!$C$4,$G$6:$G899,"&lt;="&amp;Consulta!$C$5),""))</f>
        <v/>
      </c>
      <c r="K899" s="48" t="str">
        <f aca="false">IF($C899="","",IF(AND($C899=Consulta!$L$3,$G899&lt;&gt;"",$G899&gt;=Consulta!$L$4,$G899&lt;=Consulta!$L$5),COUNTIFS($C$6:$C899,Consulta!$L$3,$G$6:$G899,"&gt;="&amp;Consulta!$L$4,$G$6:$G899,"&lt;="&amp;Consulta!$L$5),""))</f>
        <v/>
      </c>
      <c r="L899" s="48" t="str">
        <f aca="false">IF($D899="","",IF($D899=Consulta!$S$3,COUNTIF($D$6:$D899,Consulta!$S$3),""))</f>
        <v/>
      </c>
      <c r="M899" s="48" t="str">
        <f aca="false">IF($N899="","",IF(AND($N899='Comprovante DEV'!$D$6,$G899='Comprovante DEV'!$D$7),COUNTIFS($N$6:$N899,'Comprovante DEV'!$D$6,$G$6:$G899,'Comprovante DEV'!$D$7),""))</f>
        <v/>
      </c>
      <c r="N899" s="48" t="str">
        <f aca="false">IF($F899="","",IFERROR(VLOOKUP($F899,Apelidos_Tecnico!$A:$B,2,0),$F899))</f>
        <v/>
      </c>
    </row>
    <row r="900" customFormat="false" ht="15" hidden="false" customHeight="false" outlineLevel="0" collapsed="false">
      <c r="A900" s="25"/>
      <c r="B900" s="25"/>
      <c r="C900" s="26"/>
      <c r="D900" s="25"/>
      <c r="E900" s="25"/>
      <c r="F900" s="25"/>
      <c r="G900" s="27"/>
      <c r="H900" s="25"/>
      <c r="I900" s="26"/>
      <c r="J900" s="48" t="str">
        <f aca="false">IF($N900="","",IF(AND($N900=Consulta!$C$3,$G900&lt;&gt;"",$G900&gt;=Consulta!$C$4,$G900&lt;=Consulta!$C$5),COUNTIFS($N$6:$N900,Consulta!$C$3,$G$6:$G900,"&gt;="&amp;Consulta!$C$4,$G$6:$G900,"&lt;="&amp;Consulta!$C$5),""))</f>
        <v/>
      </c>
      <c r="K900" s="48" t="str">
        <f aca="false">IF($C900="","",IF(AND($C900=Consulta!$L$3,$G900&lt;&gt;"",$G900&gt;=Consulta!$L$4,$G900&lt;=Consulta!$L$5),COUNTIFS($C$6:$C900,Consulta!$L$3,$G$6:$G900,"&gt;="&amp;Consulta!$L$4,$G$6:$G900,"&lt;="&amp;Consulta!$L$5),""))</f>
        <v/>
      </c>
      <c r="L900" s="48" t="str">
        <f aca="false">IF($D900="","",IF($D900=Consulta!$S$3,COUNTIF($D$6:$D900,Consulta!$S$3),""))</f>
        <v/>
      </c>
      <c r="M900" s="48" t="str">
        <f aca="false">IF($N900="","",IF(AND($N900='Comprovante DEV'!$D$6,$G900='Comprovante DEV'!$D$7),COUNTIFS($N$6:$N900,'Comprovante DEV'!$D$6,$G$6:$G900,'Comprovante DEV'!$D$7),""))</f>
        <v/>
      </c>
      <c r="N900" s="48" t="str">
        <f aca="false">IF($F900="","",IFERROR(VLOOKUP($F900,Apelidos_Tecnico!$A:$B,2,0),$F900))</f>
        <v/>
      </c>
    </row>
    <row r="901" customFormat="false" ht="15" hidden="false" customHeight="false" outlineLevel="0" collapsed="false">
      <c r="A901" s="25"/>
      <c r="B901" s="25"/>
      <c r="C901" s="26"/>
      <c r="D901" s="25"/>
      <c r="E901" s="25"/>
      <c r="F901" s="25"/>
      <c r="G901" s="27"/>
      <c r="H901" s="25"/>
      <c r="I901" s="26"/>
      <c r="J901" s="48" t="str">
        <f aca="false">IF($N901="","",IF(AND($N901=Consulta!$C$3,$G901&lt;&gt;"",$G901&gt;=Consulta!$C$4,$G901&lt;=Consulta!$C$5),COUNTIFS($N$6:$N901,Consulta!$C$3,$G$6:$G901,"&gt;="&amp;Consulta!$C$4,$G$6:$G901,"&lt;="&amp;Consulta!$C$5),""))</f>
        <v/>
      </c>
      <c r="K901" s="48" t="str">
        <f aca="false">IF($C901="","",IF(AND($C901=Consulta!$L$3,$G901&lt;&gt;"",$G901&gt;=Consulta!$L$4,$G901&lt;=Consulta!$L$5),COUNTIFS($C$6:$C901,Consulta!$L$3,$G$6:$G901,"&gt;="&amp;Consulta!$L$4,$G$6:$G901,"&lt;="&amp;Consulta!$L$5),""))</f>
        <v/>
      </c>
      <c r="L901" s="48" t="str">
        <f aca="false">IF($D901="","",IF($D901=Consulta!$S$3,COUNTIF($D$6:$D901,Consulta!$S$3),""))</f>
        <v/>
      </c>
      <c r="M901" s="48" t="str">
        <f aca="false">IF($N901="","",IF(AND($N901='Comprovante DEV'!$D$6,$G901='Comprovante DEV'!$D$7),COUNTIFS($N$6:$N901,'Comprovante DEV'!$D$6,$G$6:$G901,'Comprovante DEV'!$D$7),""))</f>
        <v/>
      </c>
      <c r="N901" s="48" t="str">
        <f aca="false">IF($F901="","",IFERROR(VLOOKUP($F901,Apelidos_Tecnico!$A:$B,2,0),$F901))</f>
        <v/>
      </c>
    </row>
    <row r="902" customFormat="false" ht="15" hidden="false" customHeight="false" outlineLevel="0" collapsed="false">
      <c r="A902" s="25"/>
      <c r="B902" s="25"/>
      <c r="C902" s="26"/>
      <c r="D902" s="25"/>
      <c r="E902" s="25"/>
      <c r="F902" s="25"/>
      <c r="G902" s="27"/>
      <c r="H902" s="25"/>
      <c r="I902" s="26"/>
      <c r="J902" s="48" t="str">
        <f aca="false">IF($N902="","",IF(AND($N902=Consulta!$C$3,$G902&lt;&gt;"",$G902&gt;=Consulta!$C$4,$G902&lt;=Consulta!$C$5),COUNTIFS($N$6:$N902,Consulta!$C$3,$G$6:$G902,"&gt;="&amp;Consulta!$C$4,$G$6:$G902,"&lt;="&amp;Consulta!$C$5),""))</f>
        <v/>
      </c>
      <c r="K902" s="48" t="str">
        <f aca="false">IF($C902="","",IF(AND($C902=Consulta!$L$3,$G902&lt;&gt;"",$G902&gt;=Consulta!$L$4,$G902&lt;=Consulta!$L$5),COUNTIFS($C$6:$C902,Consulta!$L$3,$G$6:$G902,"&gt;="&amp;Consulta!$L$4,$G$6:$G902,"&lt;="&amp;Consulta!$L$5),""))</f>
        <v/>
      </c>
      <c r="L902" s="48" t="str">
        <f aca="false">IF($D902="","",IF($D902=Consulta!$S$3,COUNTIF($D$6:$D902,Consulta!$S$3),""))</f>
        <v/>
      </c>
      <c r="M902" s="48" t="str">
        <f aca="false">IF($N902="","",IF(AND($N902='Comprovante DEV'!$D$6,$G902='Comprovante DEV'!$D$7),COUNTIFS($N$6:$N902,'Comprovante DEV'!$D$6,$G$6:$G902,'Comprovante DEV'!$D$7),""))</f>
        <v/>
      </c>
      <c r="N902" s="48" t="str">
        <f aca="false">IF($F902="","",IFERROR(VLOOKUP($F902,Apelidos_Tecnico!$A:$B,2,0),$F902))</f>
        <v/>
      </c>
    </row>
    <row r="903" customFormat="false" ht="15" hidden="false" customHeight="false" outlineLevel="0" collapsed="false">
      <c r="A903" s="25"/>
      <c r="B903" s="25"/>
      <c r="C903" s="26"/>
      <c r="D903" s="25"/>
      <c r="E903" s="25"/>
      <c r="F903" s="25"/>
      <c r="G903" s="27"/>
      <c r="H903" s="25"/>
      <c r="I903" s="26"/>
      <c r="J903" s="48" t="str">
        <f aca="false">IF($N903="","",IF(AND($N903=Consulta!$C$3,$G903&lt;&gt;"",$G903&gt;=Consulta!$C$4,$G903&lt;=Consulta!$C$5),COUNTIFS($N$6:$N903,Consulta!$C$3,$G$6:$G903,"&gt;="&amp;Consulta!$C$4,$G$6:$G903,"&lt;="&amp;Consulta!$C$5),""))</f>
        <v/>
      </c>
      <c r="K903" s="48" t="str">
        <f aca="false">IF($C903="","",IF(AND($C903=Consulta!$L$3,$G903&lt;&gt;"",$G903&gt;=Consulta!$L$4,$G903&lt;=Consulta!$L$5),COUNTIFS($C$6:$C903,Consulta!$L$3,$G$6:$G903,"&gt;="&amp;Consulta!$L$4,$G$6:$G903,"&lt;="&amp;Consulta!$L$5),""))</f>
        <v/>
      </c>
      <c r="L903" s="48" t="str">
        <f aca="false">IF($D903="","",IF($D903=Consulta!$S$3,COUNTIF($D$6:$D903,Consulta!$S$3),""))</f>
        <v/>
      </c>
      <c r="M903" s="48" t="str">
        <f aca="false">IF($N903="","",IF(AND($N903='Comprovante DEV'!$D$6,$G903='Comprovante DEV'!$D$7),COUNTIFS($N$6:$N903,'Comprovante DEV'!$D$6,$G$6:$G903,'Comprovante DEV'!$D$7),""))</f>
        <v/>
      </c>
      <c r="N903" s="48" t="str">
        <f aca="false">IF($F903="","",IFERROR(VLOOKUP($F903,Apelidos_Tecnico!$A:$B,2,0),$F903))</f>
        <v/>
      </c>
    </row>
    <row r="904" customFormat="false" ht="15" hidden="false" customHeight="false" outlineLevel="0" collapsed="false">
      <c r="A904" s="25"/>
      <c r="B904" s="25"/>
      <c r="C904" s="26"/>
      <c r="D904" s="25"/>
      <c r="E904" s="25"/>
      <c r="F904" s="25"/>
      <c r="G904" s="27"/>
      <c r="H904" s="25"/>
      <c r="I904" s="26"/>
      <c r="J904" s="48" t="str">
        <f aca="false">IF($N904="","",IF(AND($N904=Consulta!$C$3,$G904&lt;&gt;"",$G904&gt;=Consulta!$C$4,$G904&lt;=Consulta!$C$5),COUNTIFS($N$6:$N904,Consulta!$C$3,$G$6:$G904,"&gt;="&amp;Consulta!$C$4,$G$6:$G904,"&lt;="&amp;Consulta!$C$5),""))</f>
        <v/>
      </c>
      <c r="K904" s="48" t="str">
        <f aca="false">IF($C904="","",IF(AND($C904=Consulta!$L$3,$G904&lt;&gt;"",$G904&gt;=Consulta!$L$4,$G904&lt;=Consulta!$L$5),COUNTIFS($C$6:$C904,Consulta!$L$3,$G$6:$G904,"&gt;="&amp;Consulta!$L$4,$G$6:$G904,"&lt;="&amp;Consulta!$L$5),""))</f>
        <v/>
      </c>
      <c r="L904" s="48" t="str">
        <f aca="false">IF($D904="","",IF($D904=Consulta!$S$3,COUNTIF($D$6:$D904,Consulta!$S$3),""))</f>
        <v/>
      </c>
      <c r="M904" s="48" t="str">
        <f aca="false">IF($N904="","",IF(AND($N904='Comprovante DEV'!$D$6,$G904='Comprovante DEV'!$D$7),COUNTIFS($N$6:$N904,'Comprovante DEV'!$D$6,$G$6:$G904,'Comprovante DEV'!$D$7),""))</f>
        <v/>
      </c>
      <c r="N904" s="48" t="str">
        <f aca="false">IF($F904="","",IFERROR(VLOOKUP($F904,Apelidos_Tecnico!$A:$B,2,0),$F904))</f>
        <v/>
      </c>
    </row>
    <row r="905" customFormat="false" ht="15" hidden="false" customHeight="false" outlineLevel="0" collapsed="false">
      <c r="A905" s="25"/>
      <c r="B905" s="25"/>
      <c r="C905" s="26"/>
      <c r="D905" s="25"/>
      <c r="E905" s="25"/>
      <c r="F905" s="25"/>
      <c r="G905" s="27"/>
      <c r="H905" s="25"/>
      <c r="I905" s="26"/>
      <c r="J905" s="48" t="str">
        <f aca="false">IF($N905="","",IF(AND($N905=Consulta!$C$3,$G905&lt;&gt;"",$G905&gt;=Consulta!$C$4,$G905&lt;=Consulta!$C$5),COUNTIFS($N$6:$N905,Consulta!$C$3,$G$6:$G905,"&gt;="&amp;Consulta!$C$4,$G$6:$G905,"&lt;="&amp;Consulta!$C$5),""))</f>
        <v/>
      </c>
      <c r="K905" s="48" t="str">
        <f aca="false">IF($C905="","",IF(AND($C905=Consulta!$L$3,$G905&lt;&gt;"",$G905&gt;=Consulta!$L$4,$G905&lt;=Consulta!$L$5),COUNTIFS($C$6:$C905,Consulta!$L$3,$G$6:$G905,"&gt;="&amp;Consulta!$L$4,$G$6:$G905,"&lt;="&amp;Consulta!$L$5),""))</f>
        <v/>
      </c>
      <c r="L905" s="48" t="str">
        <f aca="false">IF($D905="","",IF($D905=Consulta!$S$3,COUNTIF($D$6:$D905,Consulta!$S$3),""))</f>
        <v/>
      </c>
      <c r="M905" s="48" t="str">
        <f aca="false">IF($N905="","",IF(AND($N905='Comprovante DEV'!$D$6,$G905='Comprovante DEV'!$D$7),COUNTIFS($N$6:$N905,'Comprovante DEV'!$D$6,$G$6:$G905,'Comprovante DEV'!$D$7),""))</f>
        <v/>
      </c>
      <c r="N905" s="48" t="str">
        <f aca="false">IF($F905="","",IFERROR(VLOOKUP($F905,Apelidos_Tecnico!$A:$B,2,0),$F905))</f>
        <v/>
      </c>
    </row>
    <row r="906" customFormat="false" ht="15" hidden="false" customHeight="false" outlineLevel="0" collapsed="false">
      <c r="A906" s="25"/>
      <c r="B906" s="25"/>
      <c r="C906" s="26"/>
      <c r="D906" s="25"/>
      <c r="E906" s="25"/>
      <c r="F906" s="25"/>
      <c r="G906" s="27"/>
      <c r="H906" s="25"/>
      <c r="I906" s="26"/>
      <c r="J906" s="48" t="str">
        <f aca="false">IF($N906="","",IF(AND($N906=Consulta!$C$3,$G906&lt;&gt;"",$G906&gt;=Consulta!$C$4,$G906&lt;=Consulta!$C$5),COUNTIFS($N$6:$N906,Consulta!$C$3,$G$6:$G906,"&gt;="&amp;Consulta!$C$4,$G$6:$G906,"&lt;="&amp;Consulta!$C$5),""))</f>
        <v/>
      </c>
      <c r="K906" s="48" t="str">
        <f aca="false">IF($C906="","",IF(AND($C906=Consulta!$L$3,$G906&lt;&gt;"",$G906&gt;=Consulta!$L$4,$G906&lt;=Consulta!$L$5),COUNTIFS($C$6:$C906,Consulta!$L$3,$G$6:$G906,"&gt;="&amp;Consulta!$L$4,$G$6:$G906,"&lt;="&amp;Consulta!$L$5),""))</f>
        <v/>
      </c>
      <c r="L906" s="48" t="str">
        <f aca="false">IF($D906="","",IF($D906=Consulta!$S$3,COUNTIF($D$6:$D906,Consulta!$S$3),""))</f>
        <v/>
      </c>
      <c r="M906" s="48" t="str">
        <f aca="false">IF($N906="","",IF(AND($N906='Comprovante DEV'!$D$6,$G906='Comprovante DEV'!$D$7),COUNTIFS($N$6:$N906,'Comprovante DEV'!$D$6,$G$6:$G906,'Comprovante DEV'!$D$7),""))</f>
        <v/>
      </c>
      <c r="N906" s="48" t="str">
        <f aca="false">IF($F906="","",IFERROR(VLOOKUP($F906,Apelidos_Tecnico!$A:$B,2,0),$F906))</f>
        <v/>
      </c>
    </row>
    <row r="907" customFormat="false" ht="15" hidden="false" customHeight="false" outlineLevel="0" collapsed="false">
      <c r="A907" s="25"/>
      <c r="B907" s="25"/>
      <c r="C907" s="26"/>
      <c r="D907" s="25"/>
      <c r="E907" s="25"/>
      <c r="F907" s="25"/>
      <c r="G907" s="27"/>
      <c r="H907" s="25"/>
      <c r="I907" s="26"/>
      <c r="J907" s="48" t="str">
        <f aca="false">IF($N907="","",IF(AND($N907=Consulta!$C$3,$G907&lt;&gt;"",$G907&gt;=Consulta!$C$4,$G907&lt;=Consulta!$C$5),COUNTIFS($N$6:$N907,Consulta!$C$3,$G$6:$G907,"&gt;="&amp;Consulta!$C$4,$G$6:$G907,"&lt;="&amp;Consulta!$C$5),""))</f>
        <v/>
      </c>
      <c r="K907" s="48" t="str">
        <f aca="false">IF($C907="","",IF(AND($C907=Consulta!$L$3,$G907&lt;&gt;"",$G907&gt;=Consulta!$L$4,$G907&lt;=Consulta!$L$5),COUNTIFS($C$6:$C907,Consulta!$L$3,$G$6:$G907,"&gt;="&amp;Consulta!$L$4,$G$6:$G907,"&lt;="&amp;Consulta!$L$5),""))</f>
        <v/>
      </c>
      <c r="L907" s="48" t="str">
        <f aca="false">IF($D907="","",IF($D907=Consulta!$S$3,COUNTIF($D$6:$D907,Consulta!$S$3),""))</f>
        <v/>
      </c>
      <c r="M907" s="48" t="str">
        <f aca="false">IF($N907="","",IF(AND($N907='Comprovante DEV'!$D$6,$G907='Comprovante DEV'!$D$7),COUNTIFS($N$6:$N907,'Comprovante DEV'!$D$6,$G$6:$G907,'Comprovante DEV'!$D$7),""))</f>
        <v/>
      </c>
      <c r="N907" s="48" t="str">
        <f aca="false">IF($F907="","",IFERROR(VLOOKUP($F907,Apelidos_Tecnico!$A:$B,2,0),$F907))</f>
        <v/>
      </c>
    </row>
    <row r="908" customFormat="false" ht="15" hidden="false" customHeight="false" outlineLevel="0" collapsed="false">
      <c r="A908" s="25"/>
      <c r="B908" s="25"/>
      <c r="C908" s="26"/>
      <c r="D908" s="25"/>
      <c r="E908" s="25"/>
      <c r="F908" s="25"/>
      <c r="G908" s="27"/>
      <c r="H908" s="25"/>
      <c r="I908" s="26"/>
      <c r="J908" s="48" t="str">
        <f aca="false">IF($N908="","",IF(AND($N908=Consulta!$C$3,$G908&lt;&gt;"",$G908&gt;=Consulta!$C$4,$G908&lt;=Consulta!$C$5),COUNTIFS($N$6:$N908,Consulta!$C$3,$G$6:$G908,"&gt;="&amp;Consulta!$C$4,$G$6:$G908,"&lt;="&amp;Consulta!$C$5),""))</f>
        <v/>
      </c>
      <c r="K908" s="48" t="str">
        <f aca="false">IF($C908="","",IF(AND($C908=Consulta!$L$3,$G908&lt;&gt;"",$G908&gt;=Consulta!$L$4,$G908&lt;=Consulta!$L$5),COUNTIFS($C$6:$C908,Consulta!$L$3,$G$6:$G908,"&gt;="&amp;Consulta!$L$4,$G$6:$G908,"&lt;="&amp;Consulta!$L$5),""))</f>
        <v/>
      </c>
      <c r="L908" s="48" t="str">
        <f aca="false">IF($D908="","",IF($D908=Consulta!$S$3,COUNTIF($D$6:$D908,Consulta!$S$3),""))</f>
        <v/>
      </c>
      <c r="M908" s="48" t="str">
        <f aca="false">IF($N908="","",IF(AND($N908='Comprovante DEV'!$D$6,$G908='Comprovante DEV'!$D$7),COUNTIFS($N$6:$N908,'Comprovante DEV'!$D$6,$G$6:$G908,'Comprovante DEV'!$D$7),""))</f>
        <v/>
      </c>
      <c r="N908" s="48" t="str">
        <f aca="false">IF($F908="","",IFERROR(VLOOKUP($F908,Apelidos_Tecnico!$A:$B,2,0),$F908))</f>
        <v/>
      </c>
    </row>
    <row r="909" customFormat="false" ht="15" hidden="false" customHeight="false" outlineLevel="0" collapsed="false">
      <c r="A909" s="25"/>
      <c r="B909" s="25"/>
      <c r="C909" s="26"/>
      <c r="D909" s="25"/>
      <c r="E909" s="25"/>
      <c r="F909" s="25"/>
      <c r="G909" s="27"/>
      <c r="H909" s="25"/>
      <c r="I909" s="26"/>
      <c r="J909" s="48" t="str">
        <f aca="false">IF($N909="","",IF(AND($N909=Consulta!$C$3,$G909&lt;&gt;"",$G909&gt;=Consulta!$C$4,$G909&lt;=Consulta!$C$5),COUNTIFS($N$6:$N909,Consulta!$C$3,$G$6:$G909,"&gt;="&amp;Consulta!$C$4,$G$6:$G909,"&lt;="&amp;Consulta!$C$5),""))</f>
        <v/>
      </c>
      <c r="K909" s="48" t="str">
        <f aca="false">IF($C909="","",IF(AND($C909=Consulta!$L$3,$G909&lt;&gt;"",$G909&gt;=Consulta!$L$4,$G909&lt;=Consulta!$L$5),COUNTIFS($C$6:$C909,Consulta!$L$3,$G$6:$G909,"&gt;="&amp;Consulta!$L$4,$G$6:$G909,"&lt;="&amp;Consulta!$L$5),""))</f>
        <v/>
      </c>
      <c r="L909" s="48" t="str">
        <f aca="false">IF($D909="","",IF($D909=Consulta!$S$3,COUNTIF($D$6:$D909,Consulta!$S$3),""))</f>
        <v/>
      </c>
      <c r="M909" s="48" t="str">
        <f aca="false">IF($N909="","",IF(AND($N909='Comprovante DEV'!$D$6,$G909='Comprovante DEV'!$D$7),COUNTIFS($N$6:$N909,'Comprovante DEV'!$D$6,$G$6:$G909,'Comprovante DEV'!$D$7),""))</f>
        <v/>
      </c>
      <c r="N909" s="48" t="str">
        <f aca="false">IF($F909="","",IFERROR(VLOOKUP($F909,Apelidos_Tecnico!$A:$B,2,0),$F909))</f>
        <v/>
      </c>
    </row>
    <row r="910" customFormat="false" ht="15" hidden="false" customHeight="false" outlineLevel="0" collapsed="false">
      <c r="A910" s="25"/>
      <c r="B910" s="25"/>
      <c r="C910" s="26"/>
      <c r="D910" s="25"/>
      <c r="E910" s="25"/>
      <c r="F910" s="25"/>
      <c r="G910" s="27"/>
      <c r="H910" s="25"/>
      <c r="I910" s="26"/>
      <c r="J910" s="48" t="str">
        <f aca="false">IF($N910="","",IF(AND($N910=Consulta!$C$3,$G910&lt;&gt;"",$G910&gt;=Consulta!$C$4,$G910&lt;=Consulta!$C$5),COUNTIFS($N$6:$N910,Consulta!$C$3,$G$6:$G910,"&gt;="&amp;Consulta!$C$4,$G$6:$G910,"&lt;="&amp;Consulta!$C$5),""))</f>
        <v/>
      </c>
      <c r="K910" s="48" t="str">
        <f aca="false">IF($C910="","",IF(AND($C910=Consulta!$L$3,$G910&lt;&gt;"",$G910&gt;=Consulta!$L$4,$G910&lt;=Consulta!$L$5),COUNTIFS($C$6:$C910,Consulta!$L$3,$G$6:$G910,"&gt;="&amp;Consulta!$L$4,$G$6:$G910,"&lt;="&amp;Consulta!$L$5),""))</f>
        <v/>
      </c>
      <c r="L910" s="48" t="str">
        <f aca="false">IF($D910="","",IF($D910=Consulta!$S$3,COUNTIF($D$6:$D910,Consulta!$S$3),""))</f>
        <v/>
      </c>
      <c r="M910" s="48" t="str">
        <f aca="false">IF($N910="","",IF(AND($N910='Comprovante DEV'!$D$6,$G910='Comprovante DEV'!$D$7),COUNTIFS($N$6:$N910,'Comprovante DEV'!$D$6,$G$6:$G910,'Comprovante DEV'!$D$7),""))</f>
        <v/>
      </c>
      <c r="N910" s="48" t="str">
        <f aca="false">IF($F910="","",IFERROR(VLOOKUP($F910,Apelidos_Tecnico!$A:$B,2,0),$F910))</f>
        <v/>
      </c>
    </row>
    <row r="911" customFormat="false" ht="15" hidden="false" customHeight="false" outlineLevel="0" collapsed="false">
      <c r="A911" s="25"/>
      <c r="B911" s="25"/>
      <c r="C911" s="26"/>
      <c r="D911" s="25"/>
      <c r="E911" s="25"/>
      <c r="F911" s="25"/>
      <c r="G911" s="27"/>
      <c r="H911" s="25"/>
      <c r="I911" s="26"/>
      <c r="J911" s="48" t="str">
        <f aca="false">IF($N911="","",IF(AND($N911=Consulta!$C$3,$G911&lt;&gt;"",$G911&gt;=Consulta!$C$4,$G911&lt;=Consulta!$C$5),COUNTIFS($N$6:$N911,Consulta!$C$3,$G$6:$G911,"&gt;="&amp;Consulta!$C$4,$G$6:$G911,"&lt;="&amp;Consulta!$C$5),""))</f>
        <v/>
      </c>
      <c r="K911" s="48" t="str">
        <f aca="false">IF($C911="","",IF(AND($C911=Consulta!$L$3,$G911&lt;&gt;"",$G911&gt;=Consulta!$L$4,$G911&lt;=Consulta!$L$5),COUNTIFS($C$6:$C911,Consulta!$L$3,$G$6:$G911,"&gt;="&amp;Consulta!$L$4,$G$6:$G911,"&lt;="&amp;Consulta!$L$5),""))</f>
        <v/>
      </c>
      <c r="L911" s="48" t="str">
        <f aca="false">IF($D911="","",IF($D911=Consulta!$S$3,COUNTIF($D$6:$D911,Consulta!$S$3),""))</f>
        <v/>
      </c>
      <c r="M911" s="48" t="str">
        <f aca="false">IF($N911="","",IF(AND($N911='Comprovante DEV'!$D$6,$G911='Comprovante DEV'!$D$7),COUNTIFS($N$6:$N911,'Comprovante DEV'!$D$6,$G$6:$G911,'Comprovante DEV'!$D$7),""))</f>
        <v/>
      </c>
      <c r="N911" s="48" t="str">
        <f aca="false">IF($F911="","",IFERROR(VLOOKUP($F911,Apelidos_Tecnico!$A:$B,2,0),$F911))</f>
        <v/>
      </c>
    </row>
    <row r="912" customFormat="false" ht="15" hidden="false" customHeight="false" outlineLevel="0" collapsed="false">
      <c r="A912" s="25"/>
      <c r="B912" s="25"/>
      <c r="C912" s="26"/>
      <c r="D912" s="25"/>
      <c r="E912" s="25"/>
      <c r="F912" s="25"/>
      <c r="G912" s="27"/>
      <c r="H912" s="25"/>
      <c r="I912" s="26"/>
      <c r="J912" s="48" t="str">
        <f aca="false">IF($N912="","",IF(AND($N912=Consulta!$C$3,$G912&lt;&gt;"",$G912&gt;=Consulta!$C$4,$G912&lt;=Consulta!$C$5),COUNTIFS($N$6:$N912,Consulta!$C$3,$G$6:$G912,"&gt;="&amp;Consulta!$C$4,$G$6:$G912,"&lt;="&amp;Consulta!$C$5),""))</f>
        <v/>
      </c>
      <c r="K912" s="48" t="str">
        <f aca="false">IF($C912="","",IF(AND($C912=Consulta!$L$3,$G912&lt;&gt;"",$G912&gt;=Consulta!$L$4,$G912&lt;=Consulta!$L$5),COUNTIFS($C$6:$C912,Consulta!$L$3,$G$6:$G912,"&gt;="&amp;Consulta!$L$4,$G$6:$G912,"&lt;="&amp;Consulta!$L$5),""))</f>
        <v/>
      </c>
      <c r="L912" s="48" t="str">
        <f aca="false">IF($D912="","",IF($D912=Consulta!$S$3,COUNTIF($D$6:$D912,Consulta!$S$3),""))</f>
        <v/>
      </c>
      <c r="M912" s="48" t="str">
        <f aca="false">IF($N912="","",IF(AND($N912='Comprovante DEV'!$D$6,$G912='Comprovante DEV'!$D$7),COUNTIFS($N$6:$N912,'Comprovante DEV'!$D$6,$G$6:$G912,'Comprovante DEV'!$D$7),""))</f>
        <v/>
      </c>
      <c r="N912" s="48" t="str">
        <f aca="false">IF($F912="","",IFERROR(VLOOKUP($F912,Apelidos_Tecnico!$A:$B,2,0),$F912))</f>
        <v/>
      </c>
    </row>
    <row r="913" customFormat="false" ht="15" hidden="false" customHeight="false" outlineLevel="0" collapsed="false">
      <c r="A913" s="25"/>
      <c r="B913" s="25"/>
      <c r="C913" s="26"/>
      <c r="D913" s="25"/>
      <c r="E913" s="25"/>
      <c r="F913" s="25"/>
      <c r="G913" s="27"/>
      <c r="H913" s="25"/>
      <c r="I913" s="26"/>
      <c r="J913" s="48" t="str">
        <f aca="false">IF($N913="","",IF(AND($N913=Consulta!$C$3,$G913&lt;&gt;"",$G913&gt;=Consulta!$C$4,$G913&lt;=Consulta!$C$5),COUNTIFS($N$6:$N913,Consulta!$C$3,$G$6:$G913,"&gt;="&amp;Consulta!$C$4,$G$6:$G913,"&lt;="&amp;Consulta!$C$5),""))</f>
        <v/>
      </c>
      <c r="K913" s="48" t="str">
        <f aca="false">IF($C913="","",IF(AND($C913=Consulta!$L$3,$G913&lt;&gt;"",$G913&gt;=Consulta!$L$4,$G913&lt;=Consulta!$L$5),COUNTIFS($C$6:$C913,Consulta!$L$3,$G$6:$G913,"&gt;="&amp;Consulta!$L$4,$G$6:$G913,"&lt;="&amp;Consulta!$L$5),""))</f>
        <v/>
      </c>
      <c r="L913" s="48" t="str">
        <f aca="false">IF($D913="","",IF($D913=Consulta!$S$3,COUNTIF($D$6:$D913,Consulta!$S$3),""))</f>
        <v/>
      </c>
      <c r="M913" s="48" t="str">
        <f aca="false">IF($N913="","",IF(AND($N913='Comprovante DEV'!$D$6,$G913='Comprovante DEV'!$D$7),COUNTIFS($N$6:$N913,'Comprovante DEV'!$D$6,$G$6:$G913,'Comprovante DEV'!$D$7),""))</f>
        <v/>
      </c>
      <c r="N913" s="48" t="str">
        <f aca="false">IF($F913="","",IFERROR(VLOOKUP($F913,Apelidos_Tecnico!$A:$B,2,0),$F913))</f>
        <v/>
      </c>
    </row>
    <row r="914" customFormat="false" ht="15" hidden="false" customHeight="false" outlineLevel="0" collapsed="false">
      <c r="A914" s="25"/>
      <c r="B914" s="25"/>
      <c r="C914" s="26"/>
      <c r="D914" s="25"/>
      <c r="E914" s="25"/>
      <c r="F914" s="25"/>
      <c r="G914" s="27"/>
      <c r="H914" s="25"/>
      <c r="I914" s="26"/>
      <c r="J914" s="48" t="str">
        <f aca="false">IF($N914="","",IF(AND($N914=Consulta!$C$3,$G914&lt;&gt;"",$G914&gt;=Consulta!$C$4,$G914&lt;=Consulta!$C$5),COUNTIFS($N$6:$N914,Consulta!$C$3,$G$6:$G914,"&gt;="&amp;Consulta!$C$4,$G$6:$G914,"&lt;="&amp;Consulta!$C$5),""))</f>
        <v/>
      </c>
      <c r="K914" s="48" t="str">
        <f aca="false">IF($C914="","",IF(AND($C914=Consulta!$L$3,$G914&lt;&gt;"",$G914&gt;=Consulta!$L$4,$G914&lt;=Consulta!$L$5),COUNTIFS($C$6:$C914,Consulta!$L$3,$G$6:$G914,"&gt;="&amp;Consulta!$L$4,$G$6:$G914,"&lt;="&amp;Consulta!$L$5),""))</f>
        <v/>
      </c>
      <c r="L914" s="48" t="str">
        <f aca="false">IF($D914="","",IF($D914=Consulta!$S$3,COUNTIF($D$6:$D914,Consulta!$S$3),""))</f>
        <v/>
      </c>
      <c r="M914" s="48" t="str">
        <f aca="false">IF($N914="","",IF(AND($N914='Comprovante DEV'!$D$6,$G914='Comprovante DEV'!$D$7),COUNTIFS($N$6:$N914,'Comprovante DEV'!$D$6,$G$6:$G914,'Comprovante DEV'!$D$7),""))</f>
        <v/>
      </c>
      <c r="N914" s="48" t="str">
        <f aca="false">IF($F914="","",IFERROR(VLOOKUP($F914,Apelidos_Tecnico!$A:$B,2,0),$F914))</f>
        <v/>
      </c>
    </row>
    <row r="915" customFormat="false" ht="15" hidden="false" customHeight="false" outlineLevel="0" collapsed="false">
      <c r="A915" s="25"/>
      <c r="B915" s="25"/>
      <c r="C915" s="26"/>
      <c r="D915" s="25"/>
      <c r="E915" s="25"/>
      <c r="F915" s="25"/>
      <c r="G915" s="27"/>
      <c r="H915" s="25"/>
      <c r="I915" s="26"/>
      <c r="J915" s="48" t="str">
        <f aca="false">IF($N915="","",IF(AND($N915=Consulta!$C$3,$G915&lt;&gt;"",$G915&gt;=Consulta!$C$4,$G915&lt;=Consulta!$C$5),COUNTIFS($N$6:$N915,Consulta!$C$3,$G$6:$G915,"&gt;="&amp;Consulta!$C$4,$G$6:$G915,"&lt;="&amp;Consulta!$C$5),""))</f>
        <v/>
      </c>
      <c r="K915" s="48" t="str">
        <f aca="false">IF($C915="","",IF(AND($C915=Consulta!$L$3,$G915&lt;&gt;"",$G915&gt;=Consulta!$L$4,$G915&lt;=Consulta!$L$5),COUNTIFS($C$6:$C915,Consulta!$L$3,$G$6:$G915,"&gt;="&amp;Consulta!$L$4,$G$6:$G915,"&lt;="&amp;Consulta!$L$5),""))</f>
        <v/>
      </c>
      <c r="L915" s="48" t="str">
        <f aca="false">IF($D915="","",IF($D915=Consulta!$S$3,COUNTIF($D$6:$D915,Consulta!$S$3),""))</f>
        <v/>
      </c>
      <c r="M915" s="48" t="str">
        <f aca="false">IF($N915="","",IF(AND($N915='Comprovante DEV'!$D$6,$G915='Comprovante DEV'!$D$7),COUNTIFS($N$6:$N915,'Comprovante DEV'!$D$6,$G$6:$G915,'Comprovante DEV'!$D$7),""))</f>
        <v/>
      </c>
      <c r="N915" s="48" t="str">
        <f aca="false">IF($F915="","",IFERROR(VLOOKUP($F915,Apelidos_Tecnico!$A:$B,2,0),$F915))</f>
        <v/>
      </c>
    </row>
    <row r="916" customFormat="false" ht="15" hidden="false" customHeight="false" outlineLevel="0" collapsed="false">
      <c r="A916" s="25"/>
      <c r="B916" s="25"/>
      <c r="C916" s="26"/>
      <c r="D916" s="25"/>
      <c r="E916" s="25"/>
      <c r="F916" s="25"/>
      <c r="G916" s="27"/>
      <c r="H916" s="25"/>
      <c r="I916" s="26"/>
      <c r="J916" s="48" t="str">
        <f aca="false">IF($N916="","",IF(AND($N916=Consulta!$C$3,$G916&lt;&gt;"",$G916&gt;=Consulta!$C$4,$G916&lt;=Consulta!$C$5),COUNTIFS($N$6:$N916,Consulta!$C$3,$G$6:$G916,"&gt;="&amp;Consulta!$C$4,$G$6:$G916,"&lt;="&amp;Consulta!$C$5),""))</f>
        <v/>
      </c>
      <c r="K916" s="48" t="str">
        <f aca="false">IF($C916="","",IF(AND($C916=Consulta!$L$3,$G916&lt;&gt;"",$G916&gt;=Consulta!$L$4,$G916&lt;=Consulta!$L$5),COUNTIFS($C$6:$C916,Consulta!$L$3,$G$6:$G916,"&gt;="&amp;Consulta!$L$4,$G$6:$G916,"&lt;="&amp;Consulta!$L$5),""))</f>
        <v/>
      </c>
      <c r="L916" s="48" t="str">
        <f aca="false">IF($D916="","",IF($D916=Consulta!$S$3,COUNTIF($D$6:$D916,Consulta!$S$3),""))</f>
        <v/>
      </c>
      <c r="M916" s="48" t="str">
        <f aca="false">IF($N916="","",IF(AND($N916='Comprovante DEV'!$D$6,$G916='Comprovante DEV'!$D$7),COUNTIFS($N$6:$N916,'Comprovante DEV'!$D$6,$G$6:$G916,'Comprovante DEV'!$D$7),""))</f>
        <v/>
      </c>
      <c r="N916" s="48" t="str">
        <f aca="false">IF($F916="","",IFERROR(VLOOKUP($F916,Apelidos_Tecnico!$A:$B,2,0),$F916))</f>
        <v/>
      </c>
    </row>
    <row r="917" customFormat="false" ht="15" hidden="false" customHeight="false" outlineLevel="0" collapsed="false">
      <c r="A917" s="25"/>
      <c r="B917" s="25"/>
      <c r="C917" s="26"/>
      <c r="D917" s="25"/>
      <c r="E917" s="25"/>
      <c r="F917" s="25"/>
      <c r="G917" s="27"/>
      <c r="H917" s="25"/>
      <c r="I917" s="26"/>
      <c r="J917" s="48" t="str">
        <f aca="false">IF($N917="","",IF(AND($N917=Consulta!$C$3,$G917&lt;&gt;"",$G917&gt;=Consulta!$C$4,$G917&lt;=Consulta!$C$5),COUNTIFS($N$6:$N917,Consulta!$C$3,$G$6:$G917,"&gt;="&amp;Consulta!$C$4,$G$6:$G917,"&lt;="&amp;Consulta!$C$5),""))</f>
        <v/>
      </c>
      <c r="K917" s="48" t="str">
        <f aca="false">IF($C917="","",IF(AND($C917=Consulta!$L$3,$G917&lt;&gt;"",$G917&gt;=Consulta!$L$4,$G917&lt;=Consulta!$L$5),COUNTIFS($C$6:$C917,Consulta!$L$3,$G$6:$G917,"&gt;="&amp;Consulta!$L$4,$G$6:$G917,"&lt;="&amp;Consulta!$L$5),""))</f>
        <v/>
      </c>
      <c r="L917" s="48" t="str">
        <f aca="false">IF($D917="","",IF($D917=Consulta!$S$3,COUNTIF($D$6:$D917,Consulta!$S$3),""))</f>
        <v/>
      </c>
      <c r="M917" s="48" t="str">
        <f aca="false">IF($N917="","",IF(AND($N917='Comprovante DEV'!$D$6,$G917='Comprovante DEV'!$D$7),COUNTIFS($N$6:$N917,'Comprovante DEV'!$D$6,$G$6:$G917,'Comprovante DEV'!$D$7),""))</f>
        <v/>
      </c>
      <c r="N917" s="48" t="str">
        <f aca="false">IF($F917="","",IFERROR(VLOOKUP($F917,Apelidos_Tecnico!$A:$B,2,0),$F917))</f>
        <v/>
      </c>
    </row>
    <row r="918" customFormat="false" ht="15" hidden="false" customHeight="false" outlineLevel="0" collapsed="false">
      <c r="A918" s="25"/>
      <c r="B918" s="25"/>
      <c r="C918" s="26"/>
      <c r="D918" s="25"/>
      <c r="E918" s="25"/>
      <c r="F918" s="25"/>
      <c r="G918" s="27"/>
      <c r="H918" s="25"/>
      <c r="I918" s="26"/>
      <c r="J918" s="48" t="str">
        <f aca="false">IF($N918="","",IF(AND($N918=Consulta!$C$3,$G918&lt;&gt;"",$G918&gt;=Consulta!$C$4,$G918&lt;=Consulta!$C$5),COUNTIFS($N$6:$N918,Consulta!$C$3,$G$6:$G918,"&gt;="&amp;Consulta!$C$4,$G$6:$G918,"&lt;="&amp;Consulta!$C$5),""))</f>
        <v/>
      </c>
      <c r="K918" s="48" t="str">
        <f aca="false">IF($C918="","",IF(AND($C918=Consulta!$L$3,$G918&lt;&gt;"",$G918&gt;=Consulta!$L$4,$G918&lt;=Consulta!$L$5),COUNTIFS($C$6:$C918,Consulta!$L$3,$G$6:$G918,"&gt;="&amp;Consulta!$L$4,$G$6:$G918,"&lt;="&amp;Consulta!$L$5),""))</f>
        <v/>
      </c>
      <c r="L918" s="48" t="str">
        <f aca="false">IF($D918="","",IF($D918=Consulta!$S$3,COUNTIF($D$6:$D918,Consulta!$S$3),""))</f>
        <v/>
      </c>
      <c r="M918" s="48" t="str">
        <f aca="false">IF($N918="","",IF(AND($N918='Comprovante DEV'!$D$6,$G918='Comprovante DEV'!$D$7),COUNTIFS($N$6:$N918,'Comprovante DEV'!$D$6,$G$6:$G918,'Comprovante DEV'!$D$7),""))</f>
        <v/>
      </c>
      <c r="N918" s="48" t="str">
        <f aca="false">IF($F918="","",IFERROR(VLOOKUP($F918,Apelidos_Tecnico!$A:$B,2,0),$F918))</f>
        <v/>
      </c>
    </row>
    <row r="919" customFormat="false" ht="15" hidden="false" customHeight="false" outlineLevel="0" collapsed="false">
      <c r="A919" s="25"/>
      <c r="B919" s="25"/>
      <c r="C919" s="26"/>
      <c r="D919" s="25"/>
      <c r="E919" s="25"/>
      <c r="F919" s="25"/>
      <c r="G919" s="27"/>
      <c r="H919" s="25"/>
      <c r="I919" s="26"/>
      <c r="J919" s="48" t="str">
        <f aca="false">IF($N919="","",IF(AND($N919=Consulta!$C$3,$G919&lt;&gt;"",$G919&gt;=Consulta!$C$4,$G919&lt;=Consulta!$C$5),COUNTIFS($N$6:$N919,Consulta!$C$3,$G$6:$G919,"&gt;="&amp;Consulta!$C$4,$G$6:$G919,"&lt;="&amp;Consulta!$C$5),""))</f>
        <v/>
      </c>
      <c r="K919" s="48" t="str">
        <f aca="false">IF($C919="","",IF(AND($C919=Consulta!$L$3,$G919&lt;&gt;"",$G919&gt;=Consulta!$L$4,$G919&lt;=Consulta!$L$5),COUNTIFS($C$6:$C919,Consulta!$L$3,$G$6:$G919,"&gt;="&amp;Consulta!$L$4,$G$6:$G919,"&lt;="&amp;Consulta!$L$5),""))</f>
        <v/>
      </c>
      <c r="L919" s="48" t="str">
        <f aca="false">IF($D919="","",IF($D919=Consulta!$S$3,COUNTIF($D$6:$D919,Consulta!$S$3),""))</f>
        <v/>
      </c>
      <c r="M919" s="48" t="str">
        <f aca="false">IF($N919="","",IF(AND($N919='Comprovante DEV'!$D$6,$G919='Comprovante DEV'!$D$7),COUNTIFS($N$6:$N919,'Comprovante DEV'!$D$6,$G$6:$G919,'Comprovante DEV'!$D$7),""))</f>
        <v/>
      </c>
      <c r="N919" s="48" t="str">
        <f aca="false">IF($F919="","",IFERROR(VLOOKUP($F919,Apelidos_Tecnico!$A:$B,2,0),$F919))</f>
        <v/>
      </c>
    </row>
    <row r="920" customFormat="false" ht="15" hidden="false" customHeight="false" outlineLevel="0" collapsed="false">
      <c r="A920" s="25"/>
      <c r="B920" s="25"/>
      <c r="C920" s="26"/>
      <c r="D920" s="25"/>
      <c r="E920" s="25"/>
      <c r="F920" s="25"/>
      <c r="G920" s="27"/>
      <c r="H920" s="25"/>
      <c r="I920" s="26"/>
      <c r="J920" s="48" t="str">
        <f aca="false">IF($N920="","",IF(AND($N920=Consulta!$C$3,$G920&lt;&gt;"",$G920&gt;=Consulta!$C$4,$G920&lt;=Consulta!$C$5),COUNTIFS($N$6:$N920,Consulta!$C$3,$G$6:$G920,"&gt;="&amp;Consulta!$C$4,$G$6:$G920,"&lt;="&amp;Consulta!$C$5),""))</f>
        <v/>
      </c>
      <c r="K920" s="48" t="str">
        <f aca="false">IF($C920="","",IF(AND($C920=Consulta!$L$3,$G920&lt;&gt;"",$G920&gt;=Consulta!$L$4,$G920&lt;=Consulta!$L$5),COUNTIFS($C$6:$C920,Consulta!$L$3,$G$6:$G920,"&gt;="&amp;Consulta!$L$4,$G$6:$G920,"&lt;="&amp;Consulta!$L$5),""))</f>
        <v/>
      </c>
      <c r="L920" s="48" t="str">
        <f aca="false">IF($D920="","",IF($D920=Consulta!$S$3,COUNTIF($D$6:$D920,Consulta!$S$3),""))</f>
        <v/>
      </c>
      <c r="M920" s="48" t="str">
        <f aca="false">IF($N920="","",IF(AND($N920='Comprovante DEV'!$D$6,$G920='Comprovante DEV'!$D$7),COUNTIFS($N$6:$N920,'Comprovante DEV'!$D$6,$G$6:$G920,'Comprovante DEV'!$D$7),""))</f>
        <v/>
      </c>
      <c r="N920" s="48" t="str">
        <f aca="false">IF($F920="","",IFERROR(VLOOKUP($F920,Apelidos_Tecnico!$A:$B,2,0),$F920))</f>
        <v/>
      </c>
    </row>
    <row r="921" customFormat="false" ht="15" hidden="false" customHeight="false" outlineLevel="0" collapsed="false">
      <c r="A921" s="25"/>
      <c r="B921" s="25"/>
      <c r="C921" s="26"/>
      <c r="D921" s="25"/>
      <c r="E921" s="25"/>
      <c r="F921" s="25"/>
      <c r="G921" s="27"/>
      <c r="H921" s="25"/>
      <c r="I921" s="26"/>
      <c r="J921" s="48" t="str">
        <f aca="false">IF($N921="","",IF(AND($N921=Consulta!$C$3,$G921&lt;&gt;"",$G921&gt;=Consulta!$C$4,$G921&lt;=Consulta!$C$5),COUNTIFS($N$6:$N921,Consulta!$C$3,$G$6:$G921,"&gt;="&amp;Consulta!$C$4,$G$6:$G921,"&lt;="&amp;Consulta!$C$5),""))</f>
        <v/>
      </c>
      <c r="K921" s="48" t="str">
        <f aca="false">IF($C921="","",IF(AND($C921=Consulta!$L$3,$G921&lt;&gt;"",$G921&gt;=Consulta!$L$4,$G921&lt;=Consulta!$L$5),COUNTIFS($C$6:$C921,Consulta!$L$3,$G$6:$G921,"&gt;="&amp;Consulta!$L$4,$G$6:$G921,"&lt;="&amp;Consulta!$L$5),""))</f>
        <v/>
      </c>
      <c r="L921" s="48" t="str">
        <f aca="false">IF($D921="","",IF($D921=Consulta!$S$3,COUNTIF($D$6:$D921,Consulta!$S$3),""))</f>
        <v/>
      </c>
      <c r="M921" s="48" t="str">
        <f aca="false">IF($N921="","",IF(AND($N921='Comprovante DEV'!$D$6,$G921='Comprovante DEV'!$D$7),COUNTIFS($N$6:$N921,'Comprovante DEV'!$D$6,$G$6:$G921,'Comprovante DEV'!$D$7),""))</f>
        <v/>
      </c>
      <c r="N921" s="48" t="str">
        <f aca="false">IF($F921="","",IFERROR(VLOOKUP($F921,Apelidos_Tecnico!$A:$B,2,0),$F921))</f>
        <v/>
      </c>
    </row>
    <row r="922" customFormat="false" ht="15" hidden="false" customHeight="false" outlineLevel="0" collapsed="false">
      <c r="A922" s="25"/>
      <c r="B922" s="25"/>
      <c r="C922" s="26"/>
      <c r="D922" s="25"/>
      <c r="E922" s="25"/>
      <c r="F922" s="25"/>
      <c r="G922" s="27"/>
      <c r="H922" s="25"/>
      <c r="I922" s="26"/>
      <c r="J922" s="48" t="str">
        <f aca="false">IF($N922="","",IF(AND($N922=Consulta!$C$3,$G922&lt;&gt;"",$G922&gt;=Consulta!$C$4,$G922&lt;=Consulta!$C$5),COUNTIFS($N$6:$N922,Consulta!$C$3,$G$6:$G922,"&gt;="&amp;Consulta!$C$4,$G$6:$G922,"&lt;="&amp;Consulta!$C$5),""))</f>
        <v/>
      </c>
      <c r="K922" s="48" t="str">
        <f aca="false">IF($C922="","",IF(AND($C922=Consulta!$L$3,$G922&lt;&gt;"",$G922&gt;=Consulta!$L$4,$G922&lt;=Consulta!$L$5),COUNTIFS($C$6:$C922,Consulta!$L$3,$G$6:$G922,"&gt;="&amp;Consulta!$L$4,$G$6:$G922,"&lt;="&amp;Consulta!$L$5),""))</f>
        <v/>
      </c>
      <c r="L922" s="48" t="str">
        <f aca="false">IF($D922="","",IF($D922=Consulta!$S$3,COUNTIF($D$6:$D922,Consulta!$S$3),""))</f>
        <v/>
      </c>
      <c r="M922" s="48" t="str">
        <f aca="false">IF($N922="","",IF(AND($N922='Comprovante DEV'!$D$6,$G922='Comprovante DEV'!$D$7),COUNTIFS($N$6:$N922,'Comprovante DEV'!$D$6,$G$6:$G922,'Comprovante DEV'!$D$7),""))</f>
        <v/>
      </c>
      <c r="N922" s="48" t="str">
        <f aca="false">IF($F922="","",IFERROR(VLOOKUP($F922,Apelidos_Tecnico!$A:$B,2,0),$F922))</f>
        <v/>
      </c>
    </row>
    <row r="923" customFormat="false" ht="15" hidden="false" customHeight="false" outlineLevel="0" collapsed="false">
      <c r="A923" s="25"/>
      <c r="B923" s="25"/>
      <c r="C923" s="26"/>
      <c r="D923" s="25"/>
      <c r="E923" s="25"/>
      <c r="F923" s="25"/>
      <c r="G923" s="27"/>
      <c r="H923" s="25"/>
      <c r="I923" s="26"/>
      <c r="J923" s="48" t="str">
        <f aca="false">IF($N923="","",IF(AND($N923=Consulta!$C$3,$G923&lt;&gt;"",$G923&gt;=Consulta!$C$4,$G923&lt;=Consulta!$C$5),COUNTIFS($N$6:$N923,Consulta!$C$3,$G$6:$G923,"&gt;="&amp;Consulta!$C$4,$G$6:$G923,"&lt;="&amp;Consulta!$C$5),""))</f>
        <v/>
      </c>
      <c r="K923" s="48" t="str">
        <f aca="false">IF($C923="","",IF(AND($C923=Consulta!$L$3,$G923&lt;&gt;"",$G923&gt;=Consulta!$L$4,$G923&lt;=Consulta!$L$5),COUNTIFS($C$6:$C923,Consulta!$L$3,$G$6:$G923,"&gt;="&amp;Consulta!$L$4,$G$6:$G923,"&lt;="&amp;Consulta!$L$5),""))</f>
        <v/>
      </c>
      <c r="L923" s="48" t="str">
        <f aca="false">IF($D923="","",IF($D923=Consulta!$S$3,COUNTIF($D$6:$D923,Consulta!$S$3),""))</f>
        <v/>
      </c>
      <c r="M923" s="48" t="str">
        <f aca="false">IF($N923="","",IF(AND($N923='Comprovante DEV'!$D$6,$G923='Comprovante DEV'!$D$7),COUNTIFS($N$6:$N923,'Comprovante DEV'!$D$6,$G$6:$G923,'Comprovante DEV'!$D$7),""))</f>
        <v/>
      </c>
      <c r="N923" s="48" t="str">
        <f aca="false">IF($F923="","",IFERROR(VLOOKUP($F923,Apelidos_Tecnico!$A:$B,2,0),$F923))</f>
        <v/>
      </c>
    </row>
    <row r="924" customFormat="false" ht="15" hidden="false" customHeight="false" outlineLevel="0" collapsed="false">
      <c r="A924" s="25"/>
      <c r="B924" s="25"/>
      <c r="C924" s="26"/>
      <c r="D924" s="25"/>
      <c r="E924" s="25"/>
      <c r="F924" s="25"/>
      <c r="G924" s="27"/>
      <c r="H924" s="25"/>
      <c r="I924" s="26"/>
      <c r="J924" s="48" t="str">
        <f aca="false">IF($N924="","",IF(AND($N924=Consulta!$C$3,$G924&lt;&gt;"",$G924&gt;=Consulta!$C$4,$G924&lt;=Consulta!$C$5),COUNTIFS($N$6:$N924,Consulta!$C$3,$G$6:$G924,"&gt;="&amp;Consulta!$C$4,$G$6:$G924,"&lt;="&amp;Consulta!$C$5),""))</f>
        <v/>
      </c>
      <c r="K924" s="48" t="str">
        <f aca="false">IF($C924="","",IF(AND($C924=Consulta!$L$3,$G924&lt;&gt;"",$G924&gt;=Consulta!$L$4,$G924&lt;=Consulta!$L$5),COUNTIFS($C$6:$C924,Consulta!$L$3,$G$6:$G924,"&gt;="&amp;Consulta!$L$4,$G$6:$G924,"&lt;="&amp;Consulta!$L$5),""))</f>
        <v/>
      </c>
      <c r="L924" s="48" t="str">
        <f aca="false">IF($D924="","",IF($D924=Consulta!$S$3,COUNTIF($D$6:$D924,Consulta!$S$3),""))</f>
        <v/>
      </c>
      <c r="M924" s="48" t="str">
        <f aca="false">IF($N924="","",IF(AND($N924='Comprovante DEV'!$D$6,$G924='Comprovante DEV'!$D$7),COUNTIFS($N$6:$N924,'Comprovante DEV'!$D$6,$G$6:$G924,'Comprovante DEV'!$D$7),""))</f>
        <v/>
      </c>
      <c r="N924" s="48" t="str">
        <f aca="false">IF($F924="","",IFERROR(VLOOKUP($F924,Apelidos_Tecnico!$A:$B,2,0),$F924))</f>
        <v/>
      </c>
    </row>
    <row r="925" customFormat="false" ht="15" hidden="false" customHeight="false" outlineLevel="0" collapsed="false">
      <c r="A925" s="25"/>
      <c r="B925" s="25"/>
      <c r="C925" s="26"/>
      <c r="D925" s="25"/>
      <c r="E925" s="25"/>
      <c r="F925" s="25"/>
      <c r="G925" s="27"/>
      <c r="H925" s="25"/>
      <c r="I925" s="26"/>
      <c r="J925" s="48" t="str">
        <f aca="false">IF($N925="","",IF(AND($N925=Consulta!$C$3,$G925&lt;&gt;"",$G925&gt;=Consulta!$C$4,$G925&lt;=Consulta!$C$5),COUNTIFS($N$6:$N925,Consulta!$C$3,$G$6:$G925,"&gt;="&amp;Consulta!$C$4,$G$6:$G925,"&lt;="&amp;Consulta!$C$5),""))</f>
        <v/>
      </c>
      <c r="K925" s="48" t="str">
        <f aca="false">IF($C925="","",IF(AND($C925=Consulta!$L$3,$G925&lt;&gt;"",$G925&gt;=Consulta!$L$4,$G925&lt;=Consulta!$L$5),COUNTIFS($C$6:$C925,Consulta!$L$3,$G$6:$G925,"&gt;="&amp;Consulta!$L$4,$G$6:$G925,"&lt;="&amp;Consulta!$L$5),""))</f>
        <v/>
      </c>
      <c r="L925" s="48" t="str">
        <f aca="false">IF($D925="","",IF($D925=Consulta!$S$3,COUNTIF($D$6:$D925,Consulta!$S$3),""))</f>
        <v/>
      </c>
      <c r="M925" s="48" t="str">
        <f aca="false">IF($N925="","",IF(AND($N925='Comprovante DEV'!$D$6,$G925='Comprovante DEV'!$D$7),COUNTIFS($N$6:$N925,'Comprovante DEV'!$D$6,$G$6:$G925,'Comprovante DEV'!$D$7),""))</f>
        <v/>
      </c>
      <c r="N925" s="48" t="str">
        <f aca="false">IF($F925="","",IFERROR(VLOOKUP($F925,Apelidos_Tecnico!$A:$B,2,0),$F925))</f>
        <v/>
      </c>
    </row>
    <row r="926" customFormat="false" ht="15" hidden="false" customHeight="false" outlineLevel="0" collapsed="false">
      <c r="A926" s="25"/>
      <c r="B926" s="25"/>
      <c r="C926" s="26"/>
      <c r="D926" s="25"/>
      <c r="E926" s="25"/>
      <c r="F926" s="25"/>
      <c r="G926" s="27"/>
      <c r="H926" s="25"/>
      <c r="I926" s="26"/>
      <c r="J926" s="48" t="str">
        <f aca="false">IF($N926="","",IF(AND($N926=Consulta!$C$3,$G926&lt;&gt;"",$G926&gt;=Consulta!$C$4,$G926&lt;=Consulta!$C$5),COUNTIFS($N$6:$N926,Consulta!$C$3,$G$6:$G926,"&gt;="&amp;Consulta!$C$4,$G$6:$G926,"&lt;="&amp;Consulta!$C$5),""))</f>
        <v/>
      </c>
      <c r="K926" s="48" t="str">
        <f aca="false">IF($C926="","",IF(AND($C926=Consulta!$L$3,$G926&lt;&gt;"",$G926&gt;=Consulta!$L$4,$G926&lt;=Consulta!$L$5),COUNTIFS($C$6:$C926,Consulta!$L$3,$G$6:$G926,"&gt;="&amp;Consulta!$L$4,$G$6:$G926,"&lt;="&amp;Consulta!$L$5),""))</f>
        <v/>
      </c>
      <c r="L926" s="48" t="str">
        <f aca="false">IF($D926="","",IF($D926=Consulta!$S$3,COUNTIF($D$6:$D926,Consulta!$S$3),""))</f>
        <v/>
      </c>
      <c r="M926" s="48" t="str">
        <f aca="false">IF($N926="","",IF(AND($N926='Comprovante DEV'!$D$6,$G926='Comprovante DEV'!$D$7),COUNTIFS($N$6:$N926,'Comprovante DEV'!$D$6,$G$6:$G926,'Comprovante DEV'!$D$7),""))</f>
        <v/>
      </c>
      <c r="N926" s="48" t="str">
        <f aca="false">IF($F926="","",IFERROR(VLOOKUP($F926,Apelidos_Tecnico!$A:$B,2,0),$F926))</f>
        <v/>
      </c>
    </row>
    <row r="927" customFormat="false" ht="15" hidden="false" customHeight="false" outlineLevel="0" collapsed="false">
      <c r="A927" s="25"/>
      <c r="B927" s="25"/>
      <c r="C927" s="26"/>
      <c r="D927" s="25"/>
      <c r="E927" s="25"/>
      <c r="F927" s="25"/>
      <c r="G927" s="27"/>
      <c r="H927" s="25"/>
      <c r="I927" s="26"/>
      <c r="J927" s="48" t="str">
        <f aca="false">IF($N927="","",IF(AND($N927=Consulta!$C$3,$G927&lt;&gt;"",$G927&gt;=Consulta!$C$4,$G927&lt;=Consulta!$C$5),COUNTIFS($N$6:$N927,Consulta!$C$3,$G$6:$G927,"&gt;="&amp;Consulta!$C$4,$G$6:$G927,"&lt;="&amp;Consulta!$C$5),""))</f>
        <v/>
      </c>
      <c r="K927" s="48" t="str">
        <f aca="false">IF($C927="","",IF(AND($C927=Consulta!$L$3,$G927&lt;&gt;"",$G927&gt;=Consulta!$L$4,$G927&lt;=Consulta!$L$5),COUNTIFS($C$6:$C927,Consulta!$L$3,$G$6:$G927,"&gt;="&amp;Consulta!$L$4,$G$6:$G927,"&lt;="&amp;Consulta!$L$5),""))</f>
        <v/>
      </c>
      <c r="L927" s="48" t="str">
        <f aca="false">IF($D927="","",IF($D927=Consulta!$S$3,COUNTIF($D$6:$D927,Consulta!$S$3),""))</f>
        <v/>
      </c>
      <c r="M927" s="48" t="str">
        <f aca="false">IF($N927="","",IF(AND($N927='Comprovante DEV'!$D$6,$G927='Comprovante DEV'!$D$7),COUNTIFS($N$6:$N927,'Comprovante DEV'!$D$6,$G$6:$G927,'Comprovante DEV'!$D$7),""))</f>
        <v/>
      </c>
      <c r="N927" s="48" t="str">
        <f aca="false">IF($F927="","",IFERROR(VLOOKUP($F927,Apelidos_Tecnico!$A:$B,2,0),$F927))</f>
        <v/>
      </c>
    </row>
    <row r="928" customFormat="false" ht="15" hidden="false" customHeight="false" outlineLevel="0" collapsed="false">
      <c r="A928" s="25"/>
      <c r="B928" s="25"/>
      <c r="C928" s="26"/>
      <c r="D928" s="25"/>
      <c r="E928" s="25"/>
      <c r="F928" s="25"/>
      <c r="G928" s="27"/>
      <c r="H928" s="25"/>
      <c r="I928" s="26"/>
      <c r="J928" s="48" t="str">
        <f aca="false">IF($N928="","",IF(AND($N928=Consulta!$C$3,$G928&lt;&gt;"",$G928&gt;=Consulta!$C$4,$G928&lt;=Consulta!$C$5),COUNTIFS($N$6:$N928,Consulta!$C$3,$G$6:$G928,"&gt;="&amp;Consulta!$C$4,$G$6:$G928,"&lt;="&amp;Consulta!$C$5),""))</f>
        <v/>
      </c>
      <c r="K928" s="48" t="str">
        <f aca="false">IF($C928="","",IF(AND($C928=Consulta!$L$3,$G928&lt;&gt;"",$G928&gt;=Consulta!$L$4,$G928&lt;=Consulta!$L$5),COUNTIFS($C$6:$C928,Consulta!$L$3,$G$6:$G928,"&gt;="&amp;Consulta!$L$4,$G$6:$G928,"&lt;="&amp;Consulta!$L$5),""))</f>
        <v/>
      </c>
      <c r="L928" s="48" t="str">
        <f aca="false">IF($D928="","",IF($D928=Consulta!$S$3,COUNTIF($D$6:$D928,Consulta!$S$3),""))</f>
        <v/>
      </c>
      <c r="M928" s="48" t="str">
        <f aca="false">IF($N928="","",IF(AND($N928='Comprovante DEV'!$D$6,$G928='Comprovante DEV'!$D$7),COUNTIFS($N$6:$N928,'Comprovante DEV'!$D$6,$G$6:$G928,'Comprovante DEV'!$D$7),""))</f>
        <v/>
      </c>
      <c r="N928" s="48" t="str">
        <f aca="false">IF($F928="","",IFERROR(VLOOKUP($F928,Apelidos_Tecnico!$A:$B,2,0),$F928))</f>
        <v/>
      </c>
    </row>
    <row r="929" customFormat="false" ht="15" hidden="false" customHeight="false" outlineLevel="0" collapsed="false">
      <c r="A929" s="25"/>
      <c r="B929" s="25"/>
      <c r="C929" s="26"/>
      <c r="D929" s="25"/>
      <c r="E929" s="25"/>
      <c r="F929" s="25"/>
      <c r="G929" s="27"/>
      <c r="H929" s="25"/>
      <c r="I929" s="26"/>
      <c r="J929" s="48" t="str">
        <f aca="false">IF($N929="","",IF(AND($N929=Consulta!$C$3,$G929&lt;&gt;"",$G929&gt;=Consulta!$C$4,$G929&lt;=Consulta!$C$5),COUNTIFS($N$6:$N929,Consulta!$C$3,$G$6:$G929,"&gt;="&amp;Consulta!$C$4,$G$6:$G929,"&lt;="&amp;Consulta!$C$5),""))</f>
        <v/>
      </c>
      <c r="K929" s="48" t="str">
        <f aca="false">IF($C929="","",IF(AND($C929=Consulta!$L$3,$G929&lt;&gt;"",$G929&gt;=Consulta!$L$4,$G929&lt;=Consulta!$L$5),COUNTIFS($C$6:$C929,Consulta!$L$3,$G$6:$G929,"&gt;="&amp;Consulta!$L$4,$G$6:$G929,"&lt;="&amp;Consulta!$L$5),""))</f>
        <v/>
      </c>
      <c r="L929" s="48" t="str">
        <f aca="false">IF($D929="","",IF($D929=Consulta!$S$3,COUNTIF($D$6:$D929,Consulta!$S$3),""))</f>
        <v/>
      </c>
      <c r="M929" s="48" t="str">
        <f aca="false">IF($N929="","",IF(AND($N929='Comprovante DEV'!$D$6,$G929='Comprovante DEV'!$D$7),COUNTIFS($N$6:$N929,'Comprovante DEV'!$D$6,$G$6:$G929,'Comprovante DEV'!$D$7),""))</f>
        <v/>
      </c>
      <c r="N929" s="48" t="str">
        <f aca="false">IF($F929="","",IFERROR(VLOOKUP($F929,Apelidos_Tecnico!$A:$B,2,0),$F929))</f>
        <v/>
      </c>
    </row>
    <row r="930" customFormat="false" ht="15" hidden="false" customHeight="false" outlineLevel="0" collapsed="false">
      <c r="A930" s="25"/>
      <c r="B930" s="25"/>
      <c r="C930" s="26"/>
      <c r="D930" s="25"/>
      <c r="E930" s="25"/>
      <c r="F930" s="25"/>
      <c r="G930" s="27"/>
      <c r="H930" s="25"/>
      <c r="I930" s="26"/>
      <c r="J930" s="48" t="str">
        <f aca="false">IF($N930="","",IF(AND($N930=Consulta!$C$3,$G930&lt;&gt;"",$G930&gt;=Consulta!$C$4,$G930&lt;=Consulta!$C$5),COUNTIFS($N$6:$N930,Consulta!$C$3,$G$6:$G930,"&gt;="&amp;Consulta!$C$4,$G$6:$G930,"&lt;="&amp;Consulta!$C$5),""))</f>
        <v/>
      </c>
      <c r="K930" s="48" t="str">
        <f aca="false">IF($C930="","",IF(AND($C930=Consulta!$L$3,$G930&lt;&gt;"",$G930&gt;=Consulta!$L$4,$G930&lt;=Consulta!$L$5),COUNTIFS($C$6:$C930,Consulta!$L$3,$G$6:$G930,"&gt;="&amp;Consulta!$L$4,$G$6:$G930,"&lt;="&amp;Consulta!$L$5),""))</f>
        <v/>
      </c>
      <c r="L930" s="48" t="str">
        <f aca="false">IF($D930="","",IF($D930=Consulta!$S$3,COUNTIF($D$6:$D930,Consulta!$S$3),""))</f>
        <v/>
      </c>
      <c r="M930" s="48" t="str">
        <f aca="false">IF($N930="","",IF(AND($N930='Comprovante DEV'!$D$6,$G930='Comprovante DEV'!$D$7),COUNTIFS($N$6:$N930,'Comprovante DEV'!$D$6,$G$6:$G930,'Comprovante DEV'!$D$7),""))</f>
        <v/>
      </c>
      <c r="N930" s="48" t="str">
        <f aca="false">IF($F930="","",IFERROR(VLOOKUP($F930,Apelidos_Tecnico!$A:$B,2,0),$F930))</f>
        <v/>
      </c>
    </row>
    <row r="931" customFormat="false" ht="15" hidden="false" customHeight="false" outlineLevel="0" collapsed="false">
      <c r="A931" s="25"/>
      <c r="B931" s="25"/>
      <c r="C931" s="26"/>
      <c r="D931" s="25"/>
      <c r="E931" s="25"/>
      <c r="F931" s="25"/>
      <c r="G931" s="27"/>
      <c r="H931" s="25"/>
      <c r="I931" s="26"/>
      <c r="J931" s="48" t="str">
        <f aca="false">IF($N931="","",IF(AND($N931=Consulta!$C$3,$G931&lt;&gt;"",$G931&gt;=Consulta!$C$4,$G931&lt;=Consulta!$C$5),COUNTIFS($N$6:$N931,Consulta!$C$3,$G$6:$G931,"&gt;="&amp;Consulta!$C$4,$G$6:$G931,"&lt;="&amp;Consulta!$C$5),""))</f>
        <v/>
      </c>
      <c r="K931" s="48" t="str">
        <f aca="false">IF($C931="","",IF(AND($C931=Consulta!$L$3,$G931&lt;&gt;"",$G931&gt;=Consulta!$L$4,$G931&lt;=Consulta!$L$5),COUNTIFS($C$6:$C931,Consulta!$L$3,$G$6:$G931,"&gt;="&amp;Consulta!$L$4,$G$6:$G931,"&lt;="&amp;Consulta!$L$5),""))</f>
        <v/>
      </c>
      <c r="L931" s="48" t="str">
        <f aca="false">IF($D931="","",IF($D931=Consulta!$S$3,COUNTIF($D$6:$D931,Consulta!$S$3),""))</f>
        <v/>
      </c>
      <c r="M931" s="48" t="str">
        <f aca="false">IF($N931="","",IF(AND($N931='Comprovante DEV'!$D$6,$G931='Comprovante DEV'!$D$7),COUNTIFS($N$6:$N931,'Comprovante DEV'!$D$6,$G$6:$G931,'Comprovante DEV'!$D$7),""))</f>
        <v/>
      </c>
      <c r="N931" s="48" t="str">
        <f aca="false">IF($F931="","",IFERROR(VLOOKUP($F931,Apelidos_Tecnico!$A:$B,2,0),$F931))</f>
        <v/>
      </c>
    </row>
    <row r="932" customFormat="false" ht="15" hidden="false" customHeight="false" outlineLevel="0" collapsed="false">
      <c r="A932" s="25"/>
      <c r="B932" s="25"/>
      <c r="C932" s="26"/>
      <c r="D932" s="25"/>
      <c r="E932" s="25"/>
      <c r="F932" s="25"/>
      <c r="G932" s="27"/>
      <c r="H932" s="25"/>
      <c r="I932" s="26"/>
      <c r="J932" s="48" t="str">
        <f aca="false">IF($N932="","",IF(AND($N932=Consulta!$C$3,$G932&lt;&gt;"",$G932&gt;=Consulta!$C$4,$G932&lt;=Consulta!$C$5),COUNTIFS($N$6:$N932,Consulta!$C$3,$G$6:$G932,"&gt;="&amp;Consulta!$C$4,$G$6:$G932,"&lt;="&amp;Consulta!$C$5),""))</f>
        <v/>
      </c>
      <c r="K932" s="48" t="str">
        <f aca="false">IF($C932="","",IF(AND($C932=Consulta!$L$3,$G932&lt;&gt;"",$G932&gt;=Consulta!$L$4,$G932&lt;=Consulta!$L$5),COUNTIFS($C$6:$C932,Consulta!$L$3,$G$6:$G932,"&gt;="&amp;Consulta!$L$4,$G$6:$G932,"&lt;="&amp;Consulta!$L$5),""))</f>
        <v/>
      </c>
      <c r="L932" s="48" t="str">
        <f aca="false">IF($D932="","",IF($D932=Consulta!$S$3,COUNTIF($D$6:$D932,Consulta!$S$3),""))</f>
        <v/>
      </c>
      <c r="M932" s="48" t="str">
        <f aca="false">IF($N932="","",IF(AND($N932='Comprovante DEV'!$D$6,$G932='Comprovante DEV'!$D$7),COUNTIFS($N$6:$N932,'Comprovante DEV'!$D$6,$G$6:$G932,'Comprovante DEV'!$D$7),""))</f>
        <v/>
      </c>
      <c r="N932" s="48" t="str">
        <f aca="false">IF($F932="","",IFERROR(VLOOKUP($F932,Apelidos_Tecnico!$A:$B,2,0),$F932))</f>
        <v/>
      </c>
    </row>
    <row r="933" customFormat="false" ht="15" hidden="false" customHeight="false" outlineLevel="0" collapsed="false">
      <c r="A933" s="25"/>
      <c r="B933" s="25"/>
      <c r="C933" s="26"/>
      <c r="D933" s="25"/>
      <c r="E933" s="25"/>
      <c r="F933" s="25"/>
      <c r="G933" s="27"/>
      <c r="H933" s="25"/>
      <c r="I933" s="26"/>
      <c r="J933" s="48" t="str">
        <f aca="false">IF($N933="","",IF(AND($N933=Consulta!$C$3,$G933&lt;&gt;"",$G933&gt;=Consulta!$C$4,$G933&lt;=Consulta!$C$5),COUNTIFS($N$6:$N933,Consulta!$C$3,$G$6:$G933,"&gt;="&amp;Consulta!$C$4,$G$6:$G933,"&lt;="&amp;Consulta!$C$5),""))</f>
        <v/>
      </c>
      <c r="K933" s="48" t="str">
        <f aca="false">IF($C933="","",IF(AND($C933=Consulta!$L$3,$G933&lt;&gt;"",$G933&gt;=Consulta!$L$4,$G933&lt;=Consulta!$L$5),COUNTIFS($C$6:$C933,Consulta!$L$3,$G$6:$G933,"&gt;="&amp;Consulta!$L$4,$G$6:$G933,"&lt;="&amp;Consulta!$L$5),""))</f>
        <v/>
      </c>
      <c r="L933" s="48" t="str">
        <f aca="false">IF($D933="","",IF($D933=Consulta!$S$3,COUNTIF($D$6:$D933,Consulta!$S$3),""))</f>
        <v/>
      </c>
      <c r="M933" s="48" t="str">
        <f aca="false">IF($N933="","",IF(AND($N933='Comprovante DEV'!$D$6,$G933='Comprovante DEV'!$D$7),COUNTIFS($N$6:$N933,'Comprovante DEV'!$D$6,$G$6:$G933,'Comprovante DEV'!$D$7),""))</f>
        <v/>
      </c>
      <c r="N933" s="48" t="str">
        <f aca="false">IF($F933="","",IFERROR(VLOOKUP($F933,Apelidos_Tecnico!$A:$B,2,0),$F933))</f>
        <v/>
      </c>
    </row>
    <row r="934" customFormat="false" ht="15" hidden="false" customHeight="false" outlineLevel="0" collapsed="false">
      <c r="A934" s="25"/>
      <c r="B934" s="25"/>
      <c r="C934" s="26"/>
      <c r="D934" s="25"/>
      <c r="E934" s="25"/>
      <c r="F934" s="25"/>
      <c r="G934" s="27"/>
      <c r="H934" s="25"/>
      <c r="I934" s="26"/>
      <c r="J934" s="48" t="str">
        <f aca="false">IF($N934="","",IF(AND($N934=Consulta!$C$3,$G934&lt;&gt;"",$G934&gt;=Consulta!$C$4,$G934&lt;=Consulta!$C$5),COUNTIFS($N$6:$N934,Consulta!$C$3,$G$6:$G934,"&gt;="&amp;Consulta!$C$4,$G$6:$G934,"&lt;="&amp;Consulta!$C$5),""))</f>
        <v/>
      </c>
      <c r="K934" s="48" t="str">
        <f aca="false">IF($C934="","",IF(AND($C934=Consulta!$L$3,$G934&lt;&gt;"",$G934&gt;=Consulta!$L$4,$G934&lt;=Consulta!$L$5),COUNTIFS($C$6:$C934,Consulta!$L$3,$G$6:$G934,"&gt;="&amp;Consulta!$L$4,$G$6:$G934,"&lt;="&amp;Consulta!$L$5),""))</f>
        <v/>
      </c>
      <c r="L934" s="48" t="str">
        <f aca="false">IF($D934="","",IF($D934=Consulta!$S$3,COUNTIF($D$6:$D934,Consulta!$S$3),""))</f>
        <v/>
      </c>
      <c r="M934" s="48" t="str">
        <f aca="false">IF($N934="","",IF(AND($N934='Comprovante DEV'!$D$6,$G934='Comprovante DEV'!$D$7),COUNTIFS($N$6:$N934,'Comprovante DEV'!$D$6,$G$6:$G934,'Comprovante DEV'!$D$7),""))</f>
        <v/>
      </c>
      <c r="N934" s="48" t="str">
        <f aca="false">IF($F934="","",IFERROR(VLOOKUP($F934,Apelidos_Tecnico!$A:$B,2,0),$F934))</f>
        <v/>
      </c>
    </row>
    <row r="935" customFormat="false" ht="15" hidden="false" customHeight="false" outlineLevel="0" collapsed="false">
      <c r="A935" s="25"/>
      <c r="B935" s="25"/>
      <c r="C935" s="26"/>
      <c r="D935" s="25"/>
      <c r="E935" s="25"/>
      <c r="F935" s="25"/>
      <c r="G935" s="27"/>
      <c r="H935" s="25"/>
      <c r="I935" s="26"/>
      <c r="J935" s="48" t="str">
        <f aca="false">IF($N935="","",IF(AND($N935=Consulta!$C$3,$G935&lt;&gt;"",$G935&gt;=Consulta!$C$4,$G935&lt;=Consulta!$C$5),COUNTIFS($N$6:$N935,Consulta!$C$3,$G$6:$G935,"&gt;="&amp;Consulta!$C$4,$G$6:$G935,"&lt;="&amp;Consulta!$C$5),""))</f>
        <v/>
      </c>
      <c r="K935" s="48" t="str">
        <f aca="false">IF($C935="","",IF(AND($C935=Consulta!$L$3,$G935&lt;&gt;"",$G935&gt;=Consulta!$L$4,$G935&lt;=Consulta!$L$5),COUNTIFS($C$6:$C935,Consulta!$L$3,$G$6:$G935,"&gt;="&amp;Consulta!$L$4,$G$6:$G935,"&lt;="&amp;Consulta!$L$5),""))</f>
        <v/>
      </c>
      <c r="L935" s="48" t="str">
        <f aca="false">IF($D935="","",IF($D935=Consulta!$S$3,COUNTIF($D$6:$D935,Consulta!$S$3),""))</f>
        <v/>
      </c>
      <c r="M935" s="48" t="str">
        <f aca="false">IF($N935="","",IF(AND($N935='Comprovante DEV'!$D$6,$G935='Comprovante DEV'!$D$7),COUNTIFS($N$6:$N935,'Comprovante DEV'!$D$6,$G$6:$G935,'Comprovante DEV'!$D$7),""))</f>
        <v/>
      </c>
      <c r="N935" s="48" t="str">
        <f aca="false">IF($F935="","",IFERROR(VLOOKUP($F935,Apelidos_Tecnico!$A:$B,2,0),$F935))</f>
        <v/>
      </c>
    </row>
    <row r="936" customFormat="false" ht="15" hidden="false" customHeight="false" outlineLevel="0" collapsed="false">
      <c r="A936" s="25"/>
      <c r="B936" s="25"/>
      <c r="C936" s="26"/>
      <c r="D936" s="25"/>
      <c r="E936" s="25"/>
      <c r="F936" s="25"/>
      <c r="G936" s="27"/>
      <c r="H936" s="25"/>
      <c r="I936" s="26"/>
      <c r="J936" s="48" t="str">
        <f aca="false">IF($N936="","",IF(AND($N936=Consulta!$C$3,$G936&lt;&gt;"",$G936&gt;=Consulta!$C$4,$G936&lt;=Consulta!$C$5),COUNTIFS($N$6:$N936,Consulta!$C$3,$G$6:$G936,"&gt;="&amp;Consulta!$C$4,$G$6:$G936,"&lt;="&amp;Consulta!$C$5),""))</f>
        <v/>
      </c>
      <c r="K936" s="48" t="str">
        <f aca="false">IF($C936="","",IF(AND($C936=Consulta!$L$3,$G936&lt;&gt;"",$G936&gt;=Consulta!$L$4,$G936&lt;=Consulta!$L$5),COUNTIFS($C$6:$C936,Consulta!$L$3,$G$6:$G936,"&gt;="&amp;Consulta!$L$4,$G$6:$G936,"&lt;="&amp;Consulta!$L$5),""))</f>
        <v/>
      </c>
      <c r="L936" s="48" t="str">
        <f aca="false">IF($D936="","",IF($D936=Consulta!$S$3,COUNTIF($D$6:$D936,Consulta!$S$3),""))</f>
        <v/>
      </c>
      <c r="M936" s="48" t="str">
        <f aca="false">IF($N936="","",IF(AND($N936='Comprovante DEV'!$D$6,$G936='Comprovante DEV'!$D$7),COUNTIFS($N$6:$N936,'Comprovante DEV'!$D$6,$G$6:$G936,'Comprovante DEV'!$D$7),""))</f>
        <v/>
      </c>
      <c r="N936" s="48" t="str">
        <f aca="false">IF($F936="","",IFERROR(VLOOKUP($F936,Apelidos_Tecnico!$A:$B,2,0),$F936))</f>
        <v/>
      </c>
    </row>
    <row r="937" customFormat="false" ht="15" hidden="false" customHeight="false" outlineLevel="0" collapsed="false">
      <c r="A937" s="25"/>
      <c r="B937" s="25"/>
      <c r="C937" s="26"/>
      <c r="D937" s="25"/>
      <c r="E937" s="25"/>
      <c r="F937" s="25"/>
      <c r="G937" s="27"/>
      <c r="H937" s="25"/>
      <c r="I937" s="26"/>
      <c r="J937" s="48" t="str">
        <f aca="false">IF($N937="","",IF(AND($N937=Consulta!$C$3,$G937&lt;&gt;"",$G937&gt;=Consulta!$C$4,$G937&lt;=Consulta!$C$5),COUNTIFS($N$6:$N937,Consulta!$C$3,$G$6:$G937,"&gt;="&amp;Consulta!$C$4,$G$6:$G937,"&lt;="&amp;Consulta!$C$5),""))</f>
        <v/>
      </c>
      <c r="K937" s="48" t="str">
        <f aca="false">IF($C937="","",IF(AND($C937=Consulta!$L$3,$G937&lt;&gt;"",$G937&gt;=Consulta!$L$4,$G937&lt;=Consulta!$L$5),COUNTIFS($C$6:$C937,Consulta!$L$3,$G$6:$G937,"&gt;="&amp;Consulta!$L$4,$G$6:$G937,"&lt;="&amp;Consulta!$L$5),""))</f>
        <v/>
      </c>
      <c r="L937" s="48" t="str">
        <f aca="false">IF($D937="","",IF($D937=Consulta!$S$3,COUNTIF($D$6:$D937,Consulta!$S$3),""))</f>
        <v/>
      </c>
      <c r="M937" s="48" t="str">
        <f aca="false">IF($N937="","",IF(AND($N937='Comprovante DEV'!$D$6,$G937='Comprovante DEV'!$D$7),COUNTIFS($N$6:$N937,'Comprovante DEV'!$D$6,$G$6:$G937,'Comprovante DEV'!$D$7),""))</f>
        <v/>
      </c>
      <c r="N937" s="48" t="str">
        <f aca="false">IF($F937="","",IFERROR(VLOOKUP($F937,Apelidos_Tecnico!$A:$B,2,0),$F937))</f>
        <v/>
      </c>
    </row>
    <row r="938" customFormat="false" ht="15" hidden="false" customHeight="false" outlineLevel="0" collapsed="false">
      <c r="A938" s="25"/>
      <c r="B938" s="25"/>
      <c r="C938" s="26"/>
      <c r="D938" s="25"/>
      <c r="E938" s="25"/>
      <c r="F938" s="25"/>
      <c r="G938" s="27"/>
      <c r="H938" s="25"/>
      <c r="I938" s="26"/>
      <c r="J938" s="48" t="str">
        <f aca="false">IF($N938="","",IF(AND($N938=Consulta!$C$3,$G938&lt;&gt;"",$G938&gt;=Consulta!$C$4,$G938&lt;=Consulta!$C$5),COUNTIFS($N$6:$N938,Consulta!$C$3,$G$6:$G938,"&gt;="&amp;Consulta!$C$4,$G$6:$G938,"&lt;="&amp;Consulta!$C$5),""))</f>
        <v/>
      </c>
      <c r="K938" s="48" t="str">
        <f aca="false">IF($C938="","",IF(AND($C938=Consulta!$L$3,$G938&lt;&gt;"",$G938&gt;=Consulta!$L$4,$G938&lt;=Consulta!$L$5),COUNTIFS($C$6:$C938,Consulta!$L$3,$G$6:$G938,"&gt;="&amp;Consulta!$L$4,$G$6:$G938,"&lt;="&amp;Consulta!$L$5),""))</f>
        <v/>
      </c>
      <c r="L938" s="48" t="str">
        <f aca="false">IF($D938="","",IF($D938=Consulta!$S$3,COUNTIF($D$6:$D938,Consulta!$S$3),""))</f>
        <v/>
      </c>
      <c r="M938" s="48" t="str">
        <f aca="false">IF($N938="","",IF(AND($N938='Comprovante DEV'!$D$6,$G938='Comprovante DEV'!$D$7),COUNTIFS($N$6:$N938,'Comprovante DEV'!$D$6,$G$6:$G938,'Comprovante DEV'!$D$7),""))</f>
        <v/>
      </c>
      <c r="N938" s="48" t="str">
        <f aca="false">IF($F938="","",IFERROR(VLOOKUP($F938,Apelidos_Tecnico!$A:$B,2,0),$F938))</f>
        <v/>
      </c>
    </row>
    <row r="939" customFormat="false" ht="15" hidden="false" customHeight="false" outlineLevel="0" collapsed="false">
      <c r="A939" s="25"/>
      <c r="B939" s="25"/>
      <c r="C939" s="26"/>
      <c r="D939" s="25"/>
      <c r="E939" s="25"/>
      <c r="F939" s="25"/>
      <c r="G939" s="27"/>
      <c r="H939" s="25"/>
      <c r="I939" s="26"/>
      <c r="J939" s="48" t="str">
        <f aca="false">IF($N939="","",IF(AND($N939=Consulta!$C$3,$G939&lt;&gt;"",$G939&gt;=Consulta!$C$4,$G939&lt;=Consulta!$C$5),COUNTIFS($N$6:$N939,Consulta!$C$3,$G$6:$G939,"&gt;="&amp;Consulta!$C$4,$G$6:$G939,"&lt;="&amp;Consulta!$C$5),""))</f>
        <v/>
      </c>
      <c r="K939" s="48" t="str">
        <f aca="false">IF($C939="","",IF(AND($C939=Consulta!$L$3,$G939&lt;&gt;"",$G939&gt;=Consulta!$L$4,$G939&lt;=Consulta!$L$5),COUNTIFS($C$6:$C939,Consulta!$L$3,$G$6:$G939,"&gt;="&amp;Consulta!$L$4,$G$6:$G939,"&lt;="&amp;Consulta!$L$5),""))</f>
        <v/>
      </c>
      <c r="L939" s="48" t="str">
        <f aca="false">IF($D939="","",IF($D939=Consulta!$S$3,COUNTIF($D$6:$D939,Consulta!$S$3),""))</f>
        <v/>
      </c>
      <c r="M939" s="48" t="str">
        <f aca="false">IF($N939="","",IF(AND($N939='Comprovante DEV'!$D$6,$G939='Comprovante DEV'!$D$7),COUNTIFS($N$6:$N939,'Comprovante DEV'!$D$6,$G$6:$G939,'Comprovante DEV'!$D$7),""))</f>
        <v/>
      </c>
      <c r="N939" s="48" t="str">
        <f aca="false">IF($F939="","",IFERROR(VLOOKUP($F939,Apelidos_Tecnico!$A:$B,2,0),$F939))</f>
        <v/>
      </c>
    </row>
    <row r="940" customFormat="false" ht="15" hidden="false" customHeight="false" outlineLevel="0" collapsed="false">
      <c r="A940" s="25"/>
      <c r="B940" s="25"/>
      <c r="C940" s="26"/>
      <c r="D940" s="25"/>
      <c r="E940" s="25"/>
      <c r="F940" s="25"/>
      <c r="G940" s="27"/>
      <c r="H940" s="25"/>
      <c r="I940" s="26"/>
      <c r="J940" s="48" t="str">
        <f aca="false">IF($N940="","",IF(AND($N940=Consulta!$C$3,$G940&lt;&gt;"",$G940&gt;=Consulta!$C$4,$G940&lt;=Consulta!$C$5),COUNTIFS($N$6:$N940,Consulta!$C$3,$G$6:$G940,"&gt;="&amp;Consulta!$C$4,$G$6:$G940,"&lt;="&amp;Consulta!$C$5),""))</f>
        <v/>
      </c>
      <c r="K940" s="48" t="str">
        <f aca="false">IF($C940="","",IF(AND($C940=Consulta!$L$3,$G940&lt;&gt;"",$G940&gt;=Consulta!$L$4,$G940&lt;=Consulta!$L$5),COUNTIFS($C$6:$C940,Consulta!$L$3,$G$6:$G940,"&gt;="&amp;Consulta!$L$4,$G$6:$G940,"&lt;="&amp;Consulta!$L$5),""))</f>
        <v/>
      </c>
      <c r="L940" s="48" t="str">
        <f aca="false">IF($D940="","",IF($D940=Consulta!$S$3,COUNTIF($D$6:$D940,Consulta!$S$3),""))</f>
        <v/>
      </c>
      <c r="M940" s="48" t="str">
        <f aca="false">IF($N940="","",IF(AND($N940='Comprovante DEV'!$D$6,$G940='Comprovante DEV'!$D$7),COUNTIFS($N$6:$N940,'Comprovante DEV'!$D$6,$G$6:$G940,'Comprovante DEV'!$D$7),""))</f>
        <v/>
      </c>
      <c r="N940" s="48" t="str">
        <f aca="false">IF($F940="","",IFERROR(VLOOKUP($F940,Apelidos_Tecnico!$A:$B,2,0),$F940))</f>
        <v/>
      </c>
    </row>
    <row r="941" customFormat="false" ht="15" hidden="false" customHeight="false" outlineLevel="0" collapsed="false">
      <c r="A941" s="25"/>
      <c r="B941" s="25"/>
      <c r="C941" s="26"/>
      <c r="D941" s="25"/>
      <c r="E941" s="25"/>
      <c r="F941" s="25"/>
      <c r="G941" s="27"/>
      <c r="H941" s="25"/>
      <c r="I941" s="26"/>
      <c r="J941" s="48" t="str">
        <f aca="false">IF($N941="","",IF(AND($N941=Consulta!$C$3,$G941&lt;&gt;"",$G941&gt;=Consulta!$C$4,$G941&lt;=Consulta!$C$5),COUNTIFS($N$6:$N941,Consulta!$C$3,$G$6:$G941,"&gt;="&amp;Consulta!$C$4,$G$6:$G941,"&lt;="&amp;Consulta!$C$5),""))</f>
        <v/>
      </c>
      <c r="K941" s="48" t="str">
        <f aca="false">IF($C941="","",IF(AND($C941=Consulta!$L$3,$G941&lt;&gt;"",$G941&gt;=Consulta!$L$4,$G941&lt;=Consulta!$L$5),COUNTIFS($C$6:$C941,Consulta!$L$3,$G$6:$G941,"&gt;="&amp;Consulta!$L$4,$G$6:$G941,"&lt;="&amp;Consulta!$L$5),""))</f>
        <v/>
      </c>
      <c r="L941" s="48" t="str">
        <f aca="false">IF($D941="","",IF($D941=Consulta!$S$3,COUNTIF($D$6:$D941,Consulta!$S$3),""))</f>
        <v/>
      </c>
      <c r="M941" s="48" t="str">
        <f aca="false">IF($N941="","",IF(AND($N941='Comprovante DEV'!$D$6,$G941='Comprovante DEV'!$D$7),COUNTIFS($N$6:$N941,'Comprovante DEV'!$D$6,$G$6:$G941,'Comprovante DEV'!$D$7),""))</f>
        <v/>
      </c>
      <c r="N941" s="48" t="str">
        <f aca="false">IF($F941="","",IFERROR(VLOOKUP($F941,Apelidos_Tecnico!$A:$B,2,0),$F941))</f>
        <v/>
      </c>
    </row>
    <row r="942" customFormat="false" ht="15" hidden="false" customHeight="false" outlineLevel="0" collapsed="false">
      <c r="A942" s="25"/>
      <c r="B942" s="25"/>
      <c r="C942" s="26"/>
      <c r="D942" s="25"/>
      <c r="E942" s="25"/>
      <c r="F942" s="25"/>
      <c r="G942" s="27"/>
      <c r="H942" s="25"/>
      <c r="I942" s="26"/>
      <c r="J942" s="48" t="str">
        <f aca="false">IF($N942="","",IF(AND($N942=Consulta!$C$3,$G942&lt;&gt;"",$G942&gt;=Consulta!$C$4,$G942&lt;=Consulta!$C$5),COUNTIFS($N$6:$N942,Consulta!$C$3,$G$6:$G942,"&gt;="&amp;Consulta!$C$4,$G$6:$G942,"&lt;="&amp;Consulta!$C$5),""))</f>
        <v/>
      </c>
      <c r="K942" s="48" t="str">
        <f aca="false">IF($C942="","",IF(AND($C942=Consulta!$L$3,$G942&lt;&gt;"",$G942&gt;=Consulta!$L$4,$G942&lt;=Consulta!$L$5),COUNTIFS($C$6:$C942,Consulta!$L$3,$G$6:$G942,"&gt;="&amp;Consulta!$L$4,$G$6:$G942,"&lt;="&amp;Consulta!$L$5),""))</f>
        <v/>
      </c>
      <c r="L942" s="48" t="str">
        <f aca="false">IF($D942="","",IF($D942=Consulta!$S$3,COUNTIF($D$6:$D942,Consulta!$S$3),""))</f>
        <v/>
      </c>
      <c r="M942" s="48" t="str">
        <f aca="false">IF($N942="","",IF(AND($N942='Comprovante DEV'!$D$6,$G942='Comprovante DEV'!$D$7),COUNTIFS($N$6:$N942,'Comprovante DEV'!$D$6,$G$6:$G942,'Comprovante DEV'!$D$7),""))</f>
        <v/>
      </c>
      <c r="N942" s="48" t="str">
        <f aca="false">IF($F942="","",IFERROR(VLOOKUP($F942,Apelidos_Tecnico!$A:$B,2,0),$F942))</f>
        <v/>
      </c>
    </row>
    <row r="943" customFormat="false" ht="15" hidden="false" customHeight="false" outlineLevel="0" collapsed="false">
      <c r="A943" s="25"/>
      <c r="B943" s="25"/>
      <c r="C943" s="26"/>
      <c r="D943" s="25"/>
      <c r="E943" s="25"/>
      <c r="F943" s="25"/>
      <c r="G943" s="27"/>
      <c r="H943" s="25"/>
      <c r="I943" s="26"/>
      <c r="J943" s="48" t="str">
        <f aca="false">IF($N943="","",IF(AND($N943=Consulta!$C$3,$G943&lt;&gt;"",$G943&gt;=Consulta!$C$4,$G943&lt;=Consulta!$C$5),COUNTIFS($N$6:$N943,Consulta!$C$3,$G$6:$G943,"&gt;="&amp;Consulta!$C$4,$G$6:$G943,"&lt;="&amp;Consulta!$C$5),""))</f>
        <v/>
      </c>
      <c r="K943" s="48" t="str">
        <f aca="false">IF($C943="","",IF(AND($C943=Consulta!$L$3,$G943&lt;&gt;"",$G943&gt;=Consulta!$L$4,$G943&lt;=Consulta!$L$5),COUNTIFS($C$6:$C943,Consulta!$L$3,$G$6:$G943,"&gt;="&amp;Consulta!$L$4,$G$6:$G943,"&lt;="&amp;Consulta!$L$5),""))</f>
        <v/>
      </c>
      <c r="L943" s="48" t="str">
        <f aca="false">IF($D943="","",IF($D943=Consulta!$S$3,COUNTIF($D$6:$D943,Consulta!$S$3),""))</f>
        <v/>
      </c>
      <c r="M943" s="48" t="str">
        <f aca="false">IF($N943="","",IF(AND($N943='Comprovante DEV'!$D$6,$G943='Comprovante DEV'!$D$7),COUNTIFS($N$6:$N943,'Comprovante DEV'!$D$6,$G$6:$G943,'Comprovante DEV'!$D$7),""))</f>
        <v/>
      </c>
      <c r="N943" s="48" t="str">
        <f aca="false">IF($F943="","",IFERROR(VLOOKUP($F943,Apelidos_Tecnico!$A:$B,2,0),$F943))</f>
        <v/>
      </c>
    </row>
    <row r="944" customFormat="false" ht="15" hidden="false" customHeight="false" outlineLevel="0" collapsed="false">
      <c r="A944" s="25"/>
      <c r="B944" s="25"/>
      <c r="C944" s="26"/>
      <c r="D944" s="25"/>
      <c r="E944" s="25"/>
      <c r="F944" s="25"/>
      <c r="G944" s="27"/>
      <c r="H944" s="25"/>
      <c r="I944" s="26"/>
      <c r="J944" s="48" t="str">
        <f aca="false">IF($N944="","",IF(AND($N944=Consulta!$C$3,$G944&lt;&gt;"",$G944&gt;=Consulta!$C$4,$G944&lt;=Consulta!$C$5),COUNTIFS($N$6:$N944,Consulta!$C$3,$G$6:$G944,"&gt;="&amp;Consulta!$C$4,$G$6:$G944,"&lt;="&amp;Consulta!$C$5),""))</f>
        <v/>
      </c>
      <c r="K944" s="48" t="str">
        <f aca="false">IF($C944="","",IF(AND($C944=Consulta!$L$3,$G944&lt;&gt;"",$G944&gt;=Consulta!$L$4,$G944&lt;=Consulta!$L$5),COUNTIFS($C$6:$C944,Consulta!$L$3,$G$6:$G944,"&gt;="&amp;Consulta!$L$4,$G$6:$G944,"&lt;="&amp;Consulta!$L$5),""))</f>
        <v/>
      </c>
      <c r="L944" s="48" t="str">
        <f aca="false">IF($D944="","",IF($D944=Consulta!$S$3,COUNTIF($D$6:$D944,Consulta!$S$3),""))</f>
        <v/>
      </c>
      <c r="M944" s="48" t="str">
        <f aca="false">IF($N944="","",IF(AND($N944='Comprovante DEV'!$D$6,$G944='Comprovante DEV'!$D$7),COUNTIFS($N$6:$N944,'Comprovante DEV'!$D$6,$G$6:$G944,'Comprovante DEV'!$D$7),""))</f>
        <v/>
      </c>
      <c r="N944" s="48" t="str">
        <f aca="false">IF($F944="","",IFERROR(VLOOKUP($F944,Apelidos_Tecnico!$A:$B,2,0),$F944))</f>
        <v/>
      </c>
    </row>
    <row r="945" customFormat="false" ht="15" hidden="false" customHeight="false" outlineLevel="0" collapsed="false">
      <c r="A945" s="25"/>
      <c r="B945" s="25"/>
      <c r="C945" s="26"/>
      <c r="D945" s="25"/>
      <c r="E945" s="25"/>
      <c r="F945" s="25"/>
      <c r="G945" s="27"/>
      <c r="H945" s="25"/>
      <c r="I945" s="26"/>
      <c r="J945" s="48" t="str">
        <f aca="false">IF($N945="","",IF(AND($N945=Consulta!$C$3,$G945&lt;&gt;"",$G945&gt;=Consulta!$C$4,$G945&lt;=Consulta!$C$5),COUNTIFS($N$6:$N945,Consulta!$C$3,$G$6:$G945,"&gt;="&amp;Consulta!$C$4,$G$6:$G945,"&lt;="&amp;Consulta!$C$5),""))</f>
        <v/>
      </c>
      <c r="K945" s="48" t="str">
        <f aca="false">IF($C945="","",IF(AND($C945=Consulta!$L$3,$G945&lt;&gt;"",$G945&gt;=Consulta!$L$4,$G945&lt;=Consulta!$L$5),COUNTIFS($C$6:$C945,Consulta!$L$3,$G$6:$G945,"&gt;="&amp;Consulta!$L$4,$G$6:$G945,"&lt;="&amp;Consulta!$L$5),""))</f>
        <v/>
      </c>
      <c r="L945" s="48" t="str">
        <f aca="false">IF($D945="","",IF($D945=Consulta!$S$3,COUNTIF($D$6:$D945,Consulta!$S$3),""))</f>
        <v/>
      </c>
      <c r="M945" s="48" t="str">
        <f aca="false">IF($N945="","",IF(AND($N945='Comprovante DEV'!$D$6,$G945='Comprovante DEV'!$D$7),COUNTIFS($N$6:$N945,'Comprovante DEV'!$D$6,$G$6:$G945,'Comprovante DEV'!$D$7),""))</f>
        <v/>
      </c>
      <c r="N945" s="48" t="str">
        <f aca="false">IF($F945="","",IFERROR(VLOOKUP($F945,Apelidos_Tecnico!$A:$B,2,0),$F945))</f>
        <v/>
      </c>
    </row>
    <row r="946" customFormat="false" ht="15" hidden="false" customHeight="false" outlineLevel="0" collapsed="false">
      <c r="A946" s="25"/>
      <c r="B946" s="25"/>
      <c r="C946" s="26"/>
      <c r="D946" s="25"/>
      <c r="E946" s="25"/>
      <c r="F946" s="25"/>
      <c r="G946" s="27"/>
      <c r="H946" s="25"/>
      <c r="I946" s="26"/>
      <c r="J946" s="48" t="str">
        <f aca="false">IF($N946="","",IF(AND($N946=Consulta!$C$3,$G946&lt;&gt;"",$G946&gt;=Consulta!$C$4,$G946&lt;=Consulta!$C$5),COUNTIFS($N$6:$N946,Consulta!$C$3,$G$6:$G946,"&gt;="&amp;Consulta!$C$4,$G$6:$G946,"&lt;="&amp;Consulta!$C$5),""))</f>
        <v/>
      </c>
      <c r="K946" s="48" t="str">
        <f aca="false">IF($C946="","",IF(AND($C946=Consulta!$L$3,$G946&lt;&gt;"",$G946&gt;=Consulta!$L$4,$G946&lt;=Consulta!$L$5),COUNTIFS($C$6:$C946,Consulta!$L$3,$G$6:$G946,"&gt;="&amp;Consulta!$L$4,$G$6:$G946,"&lt;="&amp;Consulta!$L$5),""))</f>
        <v/>
      </c>
      <c r="L946" s="48" t="str">
        <f aca="false">IF($D946="","",IF($D946=Consulta!$S$3,COUNTIF($D$6:$D946,Consulta!$S$3),""))</f>
        <v/>
      </c>
      <c r="M946" s="48" t="str">
        <f aca="false">IF($N946="","",IF(AND($N946='Comprovante DEV'!$D$6,$G946='Comprovante DEV'!$D$7),COUNTIFS($N$6:$N946,'Comprovante DEV'!$D$6,$G$6:$G946,'Comprovante DEV'!$D$7),""))</f>
        <v/>
      </c>
      <c r="N946" s="48" t="str">
        <f aca="false">IF($F946="","",IFERROR(VLOOKUP($F946,Apelidos_Tecnico!$A:$B,2,0),$F946))</f>
        <v/>
      </c>
    </row>
    <row r="947" customFormat="false" ht="15" hidden="false" customHeight="false" outlineLevel="0" collapsed="false">
      <c r="A947" s="25"/>
      <c r="B947" s="25"/>
      <c r="C947" s="26"/>
      <c r="D947" s="25"/>
      <c r="E947" s="25"/>
      <c r="F947" s="25"/>
      <c r="G947" s="27"/>
      <c r="H947" s="25"/>
      <c r="I947" s="26"/>
      <c r="J947" s="48" t="str">
        <f aca="false">IF($N947="","",IF(AND($N947=Consulta!$C$3,$G947&lt;&gt;"",$G947&gt;=Consulta!$C$4,$G947&lt;=Consulta!$C$5),COUNTIFS($N$6:$N947,Consulta!$C$3,$G$6:$G947,"&gt;="&amp;Consulta!$C$4,$G$6:$G947,"&lt;="&amp;Consulta!$C$5),""))</f>
        <v/>
      </c>
      <c r="K947" s="48" t="str">
        <f aca="false">IF($C947="","",IF(AND($C947=Consulta!$L$3,$G947&lt;&gt;"",$G947&gt;=Consulta!$L$4,$G947&lt;=Consulta!$L$5),COUNTIFS($C$6:$C947,Consulta!$L$3,$G$6:$G947,"&gt;="&amp;Consulta!$L$4,$G$6:$G947,"&lt;="&amp;Consulta!$L$5),""))</f>
        <v/>
      </c>
      <c r="L947" s="48" t="str">
        <f aca="false">IF($D947="","",IF($D947=Consulta!$S$3,COUNTIF($D$6:$D947,Consulta!$S$3),""))</f>
        <v/>
      </c>
      <c r="M947" s="48" t="str">
        <f aca="false">IF($N947="","",IF(AND($N947='Comprovante DEV'!$D$6,$G947='Comprovante DEV'!$D$7),COUNTIFS($N$6:$N947,'Comprovante DEV'!$D$6,$G$6:$G947,'Comprovante DEV'!$D$7),""))</f>
        <v/>
      </c>
      <c r="N947" s="48" t="str">
        <f aca="false">IF($F947="","",IFERROR(VLOOKUP($F947,Apelidos_Tecnico!$A:$B,2,0),$F947))</f>
        <v/>
      </c>
    </row>
    <row r="948" customFormat="false" ht="15" hidden="false" customHeight="false" outlineLevel="0" collapsed="false">
      <c r="A948" s="25"/>
      <c r="B948" s="25"/>
      <c r="C948" s="26"/>
      <c r="D948" s="25"/>
      <c r="E948" s="25"/>
      <c r="F948" s="25"/>
      <c r="G948" s="27"/>
      <c r="H948" s="25"/>
      <c r="I948" s="26"/>
      <c r="J948" s="48" t="str">
        <f aca="false">IF($N948="","",IF(AND($N948=Consulta!$C$3,$G948&lt;&gt;"",$G948&gt;=Consulta!$C$4,$G948&lt;=Consulta!$C$5),COUNTIFS($N$6:$N948,Consulta!$C$3,$G$6:$G948,"&gt;="&amp;Consulta!$C$4,$G$6:$G948,"&lt;="&amp;Consulta!$C$5),""))</f>
        <v/>
      </c>
      <c r="K948" s="48" t="str">
        <f aca="false">IF($C948="","",IF(AND($C948=Consulta!$L$3,$G948&lt;&gt;"",$G948&gt;=Consulta!$L$4,$G948&lt;=Consulta!$L$5),COUNTIFS($C$6:$C948,Consulta!$L$3,$G$6:$G948,"&gt;="&amp;Consulta!$L$4,$G$6:$G948,"&lt;="&amp;Consulta!$L$5),""))</f>
        <v/>
      </c>
      <c r="L948" s="48" t="str">
        <f aca="false">IF($D948="","",IF($D948=Consulta!$S$3,COUNTIF($D$6:$D948,Consulta!$S$3),""))</f>
        <v/>
      </c>
      <c r="M948" s="48" t="str">
        <f aca="false">IF($N948="","",IF(AND($N948='Comprovante DEV'!$D$6,$G948='Comprovante DEV'!$D$7),COUNTIFS($N$6:$N948,'Comprovante DEV'!$D$6,$G$6:$G948,'Comprovante DEV'!$D$7),""))</f>
        <v/>
      </c>
      <c r="N948" s="48" t="str">
        <f aca="false">IF($F948="","",IFERROR(VLOOKUP($F948,Apelidos_Tecnico!$A:$B,2,0),$F948))</f>
        <v/>
      </c>
    </row>
    <row r="949" customFormat="false" ht="15" hidden="false" customHeight="false" outlineLevel="0" collapsed="false">
      <c r="A949" s="25"/>
      <c r="B949" s="25"/>
      <c r="C949" s="26"/>
      <c r="D949" s="25"/>
      <c r="E949" s="25"/>
      <c r="F949" s="25"/>
      <c r="G949" s="27"/>
      <c r="H949" s="25"/>
      <c r="I949" s="26"/>
      <c r="J949" s="48" t="str">
        <f aca="false">IF($N949="","",IF(AND($N949=Consulta!$C$3,$G949&lt;&gt;"",$G949&gt;=Consulta!$C$4,$G949&lt;=Consulta!$C$5),COUNTIFS($N$6:$N949,Consulta!$C$3,$G$6:$G949,"&gt;="&amp;Consulta!$C$4,$G$6:$G949,"&lt;="&amp;Consulta!$C$5),""))</f>
        <v/>
      </c>
      <c r="K949" s="48" t="str">
        <f aca="false">IF($C949="","",IF(AND($C949=Consulta!$L$3,$G949&lt;&gt;"",$G949&gt;=Consulta!$L$4,$G949&lt;=Consulta!$L$5),COUNTIFS($C$6:$C949,Consulta!$L$3,$G$6:$G949,"&gt;="&amp;Consulta!$L$4,$G$6:$G949,"&lt;="&amp;Consulta!$L$5),""))</f>
        <v/>
      </c>
      <c r="L949" s="48" t="str">
        <f aca="false">IF($D949="","",IF($D949=Consulta!$S$3,COUNTIF($D$6:$D949,Consulta!$S$3),""))</f>
        <v/>
      </c>
      <c r="M949" s="48" t="str">
        <f aca="false">IF($N949="","",IF(AND($N949='Comprovante DEV'!$D$6,$G949='Comprovante DEV'!$D$7),COUNTIFS($N$6:$N949,'Comprovante DEV'!$D$6,$G$6:$G949,'Comprovante DEV'!$D$7),""))</f>
        <v/>
      </c>
      <c r="N949" s="48" t="str">
        <f aca="false">IF($F949="","",IFERROR(VLOOKUP($F949,Apelidos_Tecnico!$A:$B,2,0),$F949))</f>
        <v/>
      </c>
    </row>
    <row r="950" customFormat="false" ht="15" hidden="false" customHeight="false" outlineLevel="0" collapsed="false">
      <c r="A950" s="25"/>
      <c r="B950" s="25"/>
      <c r="C950" s="26"/>
      <c r="D950" s="25"/>
      <c r="E950" s="25"/>
      <c r="F950" s="25"/>
      <c r="G950" s="27"/>
      <c r="H950" s="25"/>
      <c r="I950" s="26"/>
      <c r="J950" s="48" t="str">
        <f aca="false">IF($N950="","",IF(AND($N950=Consulta!$C$3,$G950&lt;&gt;"",$G950&gt;=Consulta!$C$4,$G950&lt;=Consulta!$C$5),COUNTIFS($N$6:$N950,Consulta!$C$3,$G$6:$G950,"&gt;="&amp;Consulta!$C$4,$G$6:$G950,"&lt;="&amp;Consulta!$C$5),""))</f>
        <v/>
      </c>
      <c r="K950" s="48" t="str">
        <f aca="false">IF($C950="","",IF(AND($C950=Consulta!$L$3,$G950&lt;&gt;"",$G950&gt;=Consulta!$L$4,$G950&lt;=Consulta!$L$5),COUNTIFS($C$6:$C950,Consulta!$L$3,$G$6:$G950,"&gt;="&amp;Consulta!$L$4,$G$6:$G950,"&lt;="&amp;Consulta!$L$5),""))</f>
        <v/>
      </c>
      <c r="L950" s="48" t="str">
        <f aca="false">IF($D950="","",IF($D950=Consulta!$S$3,COUNTIF($D$6:$D950,Consulta!$S$3),""))</f>
        <v/>
      </c>
      <c r="M950" s="48" t="str">
        <f aca="false">IF($N950="","",IF(AND($N950='Comprovante DEV'!$D$6,$G950='Comprovante DEV'!$D$7),COUNTIFS($N$6:$N950,'Comprovante DEV'!$D$6,$G$6:$G950,'Comprovante DEV'!$D$7),""))</f>
        <v/>
      </c>
      <c r="N950" s="48" t="str">
        <f aca="false">IF($F950="","",IFERROR(VLOOKUP($F950,Apelidos_Tecnico!$A:$B,2,0),$F950))</f>
        <v/>
      </c>
    </row>
    <row r="951" customFormat="false" ht="15" hidden="false" customHeight="false" outlineLevel="0" collapsed="false">
      <c r="A951" s="25"/>
      <c r="B951" s="25"/>
      <c r="C951" s="26"/>
      <c r="D951" s="25"/>
      <c r="E951" s="25"/>
      <c r="F951" s="25"/>
      <c r="G951" s="27"/>
      <c r="H951" s="25"/>
      <c r="I951" s="26"/>
      <c r="J951" s="48" t="str">
        <f aca="false">IF($N951="","",IF(AND($N951=Consulta!$C$3,$G951&lt;&gt;"",$G951&gt;=Consulta!$C$4,$G951&lt;=Consulta!$C$5),COUNTIFS($N$6:$N951,Consulta!$C$3,$G$6:$G951,"&gt;="&amp;Consulta!$C$4,$G$6:$G951,"&lt;="&amp;Consulta!$C$5),""))</f>
        <v/>
      </c>
      <c r="K951" s="48" t="str">
        <f aca="false">IF($C951="","",IF(AND($C951=Consulta!$L$3,$G951&lt;&gt;"",$G951&gt;=Consulta!$L$4,$G951&lt;=Consulta!$L$5),COUNTIFS($C$6:$C951,Consulta!$L$3,$G$6:$G951,"&gt;="&amp;Consulta!$L$4,$G$6:$G951,"&lt;="&amp;Consulta!$L$5),""))</f>
        <v/>
      </c>
      <c r="L951" s="48" t="str">
        <f aca="false">IF($D951="","",IF($D951=Consulta!$S$3,COUNTIF($D$6:$D951,Consulta!$S$3),""))</f>
        <v/>
      </c>
      <c r="M951" s="48" t="str">
        <f aca="false">IF($N951="","",IF(AND($N951='Comprovante DEV'!$D$6,$G951='Comprovante DEV'!$D$7),COUNTIFS($N$6:$N951,'Comprovante DEV'!$D$6,$G$6:$G951,'Comprovante DEV'!$D$7),""))</f>
        <v/>
      </c>
      <c r="N951" s="48" t="str">
        <f aca="false">IF($F951="","",IFERROR(VLOOKUP($F951,Apelidos_Tecnico!$A:$B,2,0),$F951))</f>
        <v/>
      </c>
    </row>
    <row r="952" customFormat="false" ht="15" hidden="false" customHeight="false" outlineLevel="0" collapsed="false">
      <c r="A952" s="25"/>
      <c r="B952" s="25"/>
      <c r="C952" s="26"/>
      <c r="D952" s="25"/>
      <c r="E952" s="25"/>
      <c r="F952" s="25"/>
      <c r="G952" s="27"/>
      <c r="H952" s="25"/>
      <c r="I952" s="26"/>
      <c r="J952" s="48" t="str">
        <f aca="false">IF($N952="","",IF(AND($N952=Consulta!$C$3,$G952&lt;&gt;"",$G952&gt;=Consulta!$C$4,$G952&lt;=Consulta!$C$5),COUNTIFS($N$6:$N952,Consulta!$C$3,$G$6:$G952,"&gt;="&amp;Consulta!$C$4,$G$6:$G952,"&lt;="&amp;Consulta!$C$5),""))</f>
        <v/>
      </c>
      <c r="K952" s="48" t="str">
        <f aca="false">IF($C952="","",IF(AND($C952=Consulta!$L$3,$G952&lt;&gt;"",$G952&gt;=Consulta!$L$4,$G952&lt;=Consulta!$L$5),COUNTIFS($C$6:$C952,Consulta!$L$3,$G$6:$G952,"&gt;="&amp;Consulta!$L$4,$G$6:$G952,"&lt;="&amp;Consulta!$L$5),""))</f>
        <v/>
      </c>
      <c r="L952" s="48" t="str">
        <f aca="false">IF($D952="","",IF($D952=Consulta!$S$3,COUNTIF($D$6:$D952,Consulta!$S$3),""))</f>
        <v/>
      </c>
      <c r="M952" s="48" t="str">
        <f aca="false">IF($N952="","",IF(AND($N952='Comprovante DEV'!$D$6,$G952='Comprovante DEV'!$D$7),COUNTIFS($N$6:$N952,'Comprovante DEV'!$D$6,$G$6:$G952,'Comprovante DEV'!$D$7),""))</f>
        <v/>
      </c>
      <c r="N952" s="48" t="str">
        <f aca="false">IF($F952="","",IFERROR(VLOOKUP($F952,Apelidos_Tecnico!$A:$B,2,0),$F952))</f>
        <v/>
      </c>
    </row>
    <row r="953" customFormat="false" ht="15" hidden="false" customHeight="false" outlineLevel="0" collapsed="false">
      <c r="A953" s="25"/>
      <c r="B953" s="25"/>
      <c r="C953" s="26"/>
      <c r="D953" s="25"/>
      <c r="E953" s="25"/>
      <c r="F953" s="25"/>
      <c r="G953" s="27"/>
      <c r="H953" s="25"/>
      <c r="I953" s="26"/>
      <c r="J953" s="48" t="str">
        <f aca="false">IF($N953="","",IF(AND($N953=Consulta!$C$3,$G953&lt;&gt;"",$G953&gt;=Consulta!$C$4,$G953&lt;=Consulta!$C$5),COUNTIFS($N$6:$N953,Consulta!$C$3,$G$6:$G953,"&gt;="&amp;Consulta!$C$4,$G$6:$G953,"&lt;="&amp;Consulta!$C$5),""))</f>
        <v/>
      </c>
      <c r="K953" s="48" t="str">
        <f aca="false">IF($C953="","",IF(AND($C953=Consulta!$L$3,$G953&lt;&gt;"",$G953&gt;=Consulta!$L$4,$G953&lt;=Consulta!$L$5),COUNTIFS($C$6:$C953,Consulta!$L$3,$G$6:$G953,"&gt;="&amp;Consulta!$L$4,$G$6:$G953,"&lt;="&amp;Consulta!$L$5),""))</f>
        <v/>
      </c>
      <c r="L953" s="48" t="str">
        <f aca="false">IF($D953="","",IF($D953=Consulta!$S$3,COUNTIF($D$6:$D953,Consulta!$S$3),""))</f>
        <v/>
      </c>
      <c r="M953" s="48" t="str">
        <f aca="false">IF($N953="","",IF(AND($N953='Comprovante DEV'!$D$6,$G953='Comprovante DEV'!$D$7),COUNTIFS($N$6:$N953,'Comprovante DEV'!$D$6,$G$6:$G953,'Comprovante DEV'!$D$7),""))</f>
        <v/>
      </c>
      <c r="N953" s="48" t="str">
        <f aca="false">IF($F953="","",IFERROR(VLOOKUP($F953,Apelidos_Tecnico!$A:$B,2,0),$F953))</f>
        <v/>
      </c>
    </row>
    <row r="954" customFormat="false" ht="15" hidden="false" customHeight="false" outlineLevel="0" collapsed="false">
      <c r="A954" s="25"/>
      <c r="B954" s="25"/>
      <c r="C954" s="26"/>
      <c r="D954" s="25"/>
      <c r="E954" s="25"/>
      <c r="F954" s="25"/>
      <c r="G954" s="27"/>
      <c r="H954" s="25"/>
      <c r="I954" s="26"/>
      <c r="J954" s="48" t="str">
        <f aca="false">IF($N954="","",IF(AND($N954=Consulta!$C$3,$G954&lt;&gt;"",$G954&gt;=Consulta!$C$4,$G954&lt;=Consulta!$C$5),COUNTIFS($N$6:$N954,Consulta!$C$3,$G$6:$G954,"&gt;="&amp;Consulta!$C$4,$G$6:$G954,"&lt;="&amp;Consulta!$C$5),""))</f>
        <v/>
      </c>
      <c r="K954" s="48" t="str">
        <f aca="false">IF($C954="","",IF(AND($C954=Consulta!$L$3,$G954&lt;&gt;"",$G954&gt;=Consulta!$L$4,$G954&lt;=Consulta!$L$5),COUNTIFS($C$6:$C954,Consulta!$L$3,$G$6:$G954,"&gt;="&amp;Consulta!$L$4,$G$6:$G954,"&lt;="&amp;Consulta!$L$5),""))</f>
        <v/>
      </c>
      <c r="L954" s="48" t="str">
        <f aca="false">IF($D954="","",IF($D954=Consulta!$S$3,COUNTIF($D$6:$D954,Consulta!$S$3),""))</f>
        <v/>
      </c>
      <c r="M954" s="48" t="str">
        <f aca="false">IF($N954="","",IF(AND($N954='Comprovante DEV'!$D$6,$G954='Comprovante DEV'!$D$7),COUNTIFS($N$6:$N954,'Comprovante DEV'!$D$6,$G$6:$G954,'Comprovante DEV'!$D$7),""))</f>
        <v/>
      </c>
      <c r="N954" s="48" t="str">
        <f aca="false">IF($F954="","",IFERROR(VLOOKUP($F954,Apelidos_Tecnico!$A:$B,2,0),$F954))</f>
        <v/>
      </c>
    </row>
    <row r="955" customFormat="false" ht="15" hidden="false" customHeight="false" outlineLevel="0" collapsed="false">
      <c r="A955" s="25"/>
      <c r="B955" s="25"/>
      <c r="C955" s="26"/>
      <c r="D955" s="25"/>
      <c r="E955" s="25"/>
      <c r="F955" s="25"/>
      <c r="G955" s="27"/>
      <c r="H955" s="25"/>
      <c r="I955" s="26"/>
      <c r="J955" s="48" t="str">
        <f aca="false">IF($N955="","",IF(AND($N955=Consulta!$C$3,$G955&lt;&gt;"",$G955&gt;=Consulta!$C$4,$G955&lt;=Consulta!$C$5),COUNTIFS($N$6:$N955,Consulta!$C$3,$G$6:$G955,"&gt;="&amp;Consulta!$C$4,$G$6:$G955,"&lt;="&amp;Consulta!$C$5),""))</f>
        <v/>
      </c>
      <c r="K955" s="48" t="str">
        <f aca="false">IF($C955="","",IF(AND($C955=Consulta!$L$3,$G955&lt;&gt;"",$G955&gt;=Consulta!$L$4,$G955&lt;=Consulta!$L$5),COUNTIFS($C$6:$C955,Consulta!$L$3,$G$6:$G955,"&gt;="&amp;Consulta!$L$4,$G$6:$G955,"&lt;="&amp;Consulta!$L$5),""))</f>
        <v/>
      </c>
      <c r="L955" s="48" t="str">
        <f aca="false">IF($D955="","",IF($D955=Consulta!$S$3,COUNTIF($D$6:$D955,Consulta!$S$3),""))</f>
        <v/>
      </c>
      <c r="M955" s="48" t="str">
        <f aca="false">IF($N955="","",IF(AND($N955='Comprovante DEV'!$D$6,$G955='Comprovante DEV'!$D$7),COUNTIFS($N$6:$N955,'Comprovante DEV'!$D$6,$G$6:$G955,'Comprovante DEV'!$D$7),""))</f>
        <v/>
      </c>
      <c r="N955" s="48" t="str">
        <f aca="false">IF($F955="","",IFERROR(VLOOKUP($F955,Apelidos_Tecnico!$A:$B,2,0),$F955))</f>
        <v/>
      </c>
    </row>
    <row r="956" customFormat="false" ht="15" hidden="false" customHeight="false" outlineLevel="0" collapsed="false">
      <c r="A956" s="25"/>
      <c r="B956" s="25"/>
      <c r="C956" s="26"/>
      <c r="D956" s="25"/>
      <c r="E956" s="25"/>
      <c r="F956" s="25"/>
      <c r="G956" s="27"/>
      <c r="H956" s="25"/>
      <c r="I956" s="26"/>
      <c r="J956" s="48" t="str">
        <f aca="false">IF($N956="","",IF(AND($N956=Consulta!$C$3,$G956&lt;&gt;"",$G956&gt;=Consulta!$C$4,$G956&lt;=Consulta!$C$5),COUNTIFS($N$6:$N956,Consulta!$C$3,$G$6:$G956,"&gt;="&amp;Consulta!$C$4,$G$6:$G956,"&lt;="&amp;Consulta!$C$5),""))</f>
        <v/>
      </c>
      <c r="K956" s="48" t="str">
        <f aca="false">IF($C956="","",IF(AND($C956=Consulta!$L$3,$G956&lt;&gt;"",$G956&gt;=Consulta!$L$4,$G956&lt;=Consulta!$L$5),COUNTIFS($C$6:$C956,Consulta!$L$3,$G$6:$G956,"&gt;="&amp;Consulta!$L$4,$G$6:$G956,"&lt;="&amp;Consulta!$L$5),""))</f>
        <v/>
      </c>
      <c r="L956" s="48" t="str">
        <f aca="false">IF($D956="","",IF($D956=Consulta!$S$3,COUNTIF($D$6:$D956,Consulta!$S$3),""))</f>
        <v/>
      </c>
      <c r="M956" s="48" t="str">
        <f aca="false">IF($N956="","",IF(AND($N956='Comprovante DEV'!$D$6,$G956='Comprovante DEV'!$D$7),COUNTIFS($N$6:$N956,'Comprovante DEV'!$D$6,$G$6:$G956,'Comprovante DEV'!$D$7),""))</f>
        <v/>
      </c>
      <c r="N956" s="48" t="str">
        <f aca="false">IF($F956="","",IFERROR(VLOOKUP($F956,Apelidos_Tecnico!$A:$B,2,0),$F956))</f>
        <v/>
      </c>
    </row>
    <row r="957" customFormat="false" ht="15" hidden="false" customHeight="false" outlineLevel="0" collapsed="false">
      <c r="A957" s="25"/>
      <c r="B957" s="25"/>
      <c r="C957" s="26"/>
      <c r="D957" s="25"/>
      <c r="E957" s="25"/>
      <c r="F957" s="25"/>
      <c r="G957" s="27"/>
      <c r="H957" s="25"/>
      <c r="I957" s="26"/>
      <c r="J957" s="48" t="str">
        <f aca="false">IF($N957="","",IF(AND($N957=Consulta!$C$3,$G957&lt;&gt;"",$G957&gt;=Consulta!$C$4,$G957&lt;=Consulta!$C$5),COUNTIFS($N$6:$N957,Consulta!$C$3,$G$6:$G957,"&gt;="&amp;Consulta!$C$4,$G$6:$G957,"&lt;="&amp;Consulta!$C$5),""))</f>
        <v/>
      </c>
      <c r="K957" s="48" t="str">
        <f aca="false">IF($C957="","",IF(AND($C957=Consulta!$L$3,$G957&lt;&gt;"",$G957&gt;=Consulta!$L$4,$G957&lt;=Consulta!$L$5),COUNTIFS($C$6:$C957,Consulta!$L$3,$G$6:$G957,"&gt;="&amp;Consulta!$L$4,$G$6:$G957,"&lt;="&amp;Consulta!$L$5),""))</f>
        <v/>
      </c>
      <c r="L957" s="48" t="str">
        <f aca="false">IF($D957="","",IF($D957=Consulta!$S$3,COUNTIF($D$6:$D957,Consulta!$S$3),""))</f>
        <v/>
      </c>
      <c r="M957" s="48" t="str">
        <f aca="false">IF($N957="","",IF(AND($N957='Comprovante DEV'!$D$6,$G957='Comprovante DEV'!$D$7),COUNTIFS($N$6:$N957,'Comprovante DEV'!$D$6,$G$6:$G957,'Comprovante DEV'!$D$7),""))</f>
        <v/>
      </c>
      <c r="N957" s="48" t="str">
        <f aca="false">IF($F957="","",IFERROR(VLOOKUP($F957,Apelidos_Tecnico!$A:$B,2,0),$F957))</f>
        <v/>
      </c>
    </row>
    <row r="958" customFormat="false" ht="15" hidden="false" customHeight="false" outlineLevel="0" collapsed="false">
      <c r="A958" s="25"/>
      <c r="B958" s="25"/>
      <c r="C958" s="26"/>
      <c r="D958" s="25"/>
      <c r="E958" s="25"/>
      <c r="F958" s="25"/>
      <c r="G958" s="27"/>
      <c r="H958" s="25"/>
      <c r="I958" s="26"/>
      <c r="J958" s="48" t="str">
        <f aca="false">IF($N958="","",IF(AND($N958=Consulta!$C$3,$G958&lt;&gt;"",$G958&gt;=Consulta!$C$4,$G958&lt;=Consulta!$C$5),COUNTIFS($N$6:$N958,Consulta!$C$3,$G$6:$G958,"&gt;="&amp;Consulta!$C$4,$G$6:$G958,"&lt;="&amp;Consulta!$C$5),""))</f>
        <v/>
      </c>
      <c r="K958" s="48" t="str">
        <f aca="false">IF($C958="","",IF(AND($C958=Consulta!$L$3,$G958&lt;&gt;"",$G958&gt;=Consulta!$L$4,$G958&lt;=Consulta!$L$5),COUNTIFS($C$6:$C958,Consulta!$L$3,$G$6:$G958,"&gt;="&amp;Consulta!$L$4,$G$6:$G958,"&lt;="&amp;Consulta!$L$5),""))</f>
        <v/>
      </c>
      <c r="L958" s="48" t="str">
        <f aca="false">IF($D958="","",IF($D958=Consulta!$S$3,COUNTIF($D$6:$D958,Consulta!$S$3),""))</f>
        <v/>
      </c>
      <c r="M958" s="48" t="str">
        <f aca="false">IF($N958="","",IF(AND($N958='Comprovante DEV'!$D$6,$G958='Comprovante DEV'!$D$7),COUNTIFS($N$6:$N958,'Comprovante DEV'!$D$6,$G$6:$G958,'Comprovante DEV'!$D$7),""))</f>
        <v/>
      </c>
      <c r="N958" s="48" t="str">
        <f aca="false">IF($F958="","",IFERROR(VLOOKUP($F958,Apelidos_Tecnico!$A:$B,2,0),$F958))</f>
        <v/>
      </c>
    </row>
    <row r="959" customFormat="false" ht="15" hidden="false" customHeight="false" outlineLevel="0" collapsed="false">
      <c r="A959" s="25"/>
      <c r="B959" s="25"/>
      <c r="C959" s="26"/>
      <c r="D959" s="25"/>
      <c r="E959" s="25"/>
      <c r="F959" s="25"/>
      <c r="G959" s="27"/>
      <c r="H959" s="25"/>
      <c r="I959" s="26"/>
      <c r="J959" s="48" t="str">
        <f aca="false">IF($N959="","",IF(AND($N959=Consulta!$C$3,$G959&lt;&gt;"",$G959&gt;=Consulta!$C$4,$G959&lt;=Consulta!$C$5),COUNTIFS($N$6:$N959,Consulta!$C$3,$G$6:$G959,"&gt;="&amp;Consulta!$C$4,$G$6:$G959,"&lt;="&amp;Consulta!$C$5),""))</f>
        <v/>
      </c>
      <c r="K959" s="48" t="str">
        <f aca="false">IF($C959="","",IF(AND($C959=Consulta!$L$3,$G959&lt;&gt;"",$G959&gt;=Consulta!$L$4,$G959&lt;=Consulta!$L$5),COUNTIFS($C$6:$C959,Consulta!$L$3,$G$6:$G959,"&gt;="&amp;Consulta!$L$4,$G$6:$G959,"&lt;="&amp;Consulta!$L$5),""))</f>
        <v/>
      </c>
      <c r="L959" s="48" t="str">
        <f aca="false">IF($D959="","",IF($D959=Consulta!$S$3,COUNTIF($D$6:$D959,Consulta!$S$3),""))</f>
        <v/>
      </c>
      <c r="M959" s="48" t="str">
        <f aca="false">IF($N959="","",IF(AND($N959='Comprovante DEV'!$D$6,$G959='Comprovante DEV'!$D$7),COUNTIFS($N$6:$N959,'Comprovante DEV'!$D$6,$G$6:$G959,'Comprovante DEV'!$D$7),""))</f>
        <v/>
      </c>
      <c r="N959" s="48" t="str">
        <f aca="false">IF($F959="","",IFERROR(VLOOKUP($F959,Apelidos_Tecnico!$A:$B,2,0),$F959))</f>
        <v/>
      </c>
    </row>
    <row r="960" customFormat="false" ht="15" hidden="false" customHeight="false" outlineLevel="0" collapsed="false">
      <c r="A960" s="25"/>
      <c r="B960" s="25"/>
      <c r="C960" s="26"/>
      <c r="D960" s="25"/>
      <c r="E960" s="25"/>
      <c r="F960" s="25"/>
      <c r="G960" s="27"/>
      <c r="H960" s="25"/>
      <c r="I960" s="26"/>
      <c r="J960" s="48" t="str">
        <f aca="false">IF($N960="","",IF(AND($N960=Consulta!$C$3,$G960&lt;&gt;"",$G960&gt;=Consulta!$C$4,$G960&lt;=Consulta!$C$5),COUNTIFS($N$6:$N960,Consulta!$C$3,$G$6:$G960,"&gt;="&amp;Consulta!$C$4,$G$6:$G960,"&lt;="&amp;Consulta!$C$5),""))</f>
        <v/>
      </c>
      <c r="K960" s="48" t="str">
        <f aca="false">IF($C960="","",IF(AND($C960=Consulta!$L$3,$G960&lt;&gt;"",$G960&gt;=Consulta!$L$4,$G960&lt;=Consulta!$L$5),COUNTIFS($C$6:$C960,Consulta!$L$3,$G$6:$G960,"&gt;="&amp;Consulta!$L$4,$G$6:$G960,"&lt;="&amp;Consulta!$L$5),""))</f>
        <v/>
      </c>
      <c r="L960" s="48" t="str">
        <f aca="false">IF($D960="","",IF($D960=Consulta!$S$3,COUNTIF($D$6:$D960,Consulta!$S$3),""))</f>
        <v/>
      </c>
      <c r="M960" s="48" t="str">
        <f aca="false">IF($N960="","",IF(AND($N960='Comprovante DEV'!$D$6,$G960='Comprovante DEV'!$D$7),COUNTIFS($N$6:$N960,'Comprovante DEV'!$D$6,$G$6:$G960,'Comprovante DEV'!$D$7),""))</f>
        <v/>
      </c>
      <c r="N960" s="48" t="str">
        <f aca="false">IF($F960="","",IFERROR(VLOOKUP($F960,Apelidos_Tecnico!$A:$B,2,0),$F960))</f>
        <v/>
      </c>
    </row>
    <row r="961" customFormat="false" ht="15" hidden="false" customHeight="false" outlineLevel="0" collapsed="false">
      <c r="A961" s="25"/>
      <c r="B961" s="25"/>
      <c r="C961" s="26"/>
      <c r="D961" s="25"/>
      <c r="E961" s="25"/>
      <c r="F961" s="25"/>
      <c r="G961" s="27"/>
      <c r="H961" s="25"/>
      <c r="I961" s="26"/>
      <c r="J961" s="48" t="str">
        <f aca="false">IF($N961="","",IF(AND($N961=Consulta!$C$3,$G961&lt;&gt;"",$G961&gt;=Consulta!$C$4,$G961&lt;=Consulta!$C$5),COUNTIFS($N$6:$N961,Consulta!$C$3,$G$6:$G961,"&gt;="&amp;Consulta!$C$4,$G$6:$G961,"&lt;="&amp;Consulta!$C$5),""))</f>
        <v/>
      </c>
      <c r="K961" s="48" t="str">
        <f aca="false">IF($C961="","",IF(AND($C961=Consulta!$L$3,$G961&lt;&gt;"",$G961&gt;=Consulta!$L$4,$G961&lt;=Consulta!$L$5),COUNTIFS($C$6:$C961,Consulta!$L$3,$G$6:$G961,"&gt;="&amp;Consulta!$L$4,$G$6:$G961,"&lt;="&amp;Consulta!$L$5),""))</f>
        <v/>
      </c>
      <c r="L961" s="48" t="str">
        <f aca="false">IF($D961="","",IF($D961=Consulta!$S$3,COUNTIF($D$6:$D961,Consulta!$S$3),""))</f>
        <v/>
      </c>
      <c r="M961" s="48" t="str">
        <f aca="false">IF($N961="","",IF(AND($N961='Comprovante DEV'!$D$6,$G961='Comprovante DEV'!$D$7),COUNTIFS($N$6:$N961,'Comprovante DEV'!$D$6,$G$6:$G961,'Comprovante DEV'!$D$7),""))</f>
        <v/>
      </c>
      <c r="N961" s="48" t="str">
        <f aca="false">IF($F961="","",IFERROR(VLOOKUP($F961,Apelidos_Tecnico!$A:$B,2,0),$F961))</f>
        <v/>
      </c>
    </row>
    <row r="962" customFormat="false" ht="15" hidden="false" customHeight="false" outlineLevel="0" collapsed="false">
      <c r="A962" s="25"/>
      <c r="B962" s="25"/>
      <c r="C962" s="26"/>
      <c r="D962" s="25"/>
      <c r="E962" s="25"/>
      <c r="F962" s="25"/>
      <c r="G962" s="27"/>
      <c r="H962" s="25"/>
      <c r="I962" s="26"/>
      <c r="J962" s="48" t="str">
        <f aca="false">IF($N962="","",IF(AND($N962=Consulta!$C$3,$G962&lt;&gt;"",$G962&gt;=Consulta!$C$4,$G962&lt;=Consulta!$C$5),COUNTIFS($N$6:$N962,Consulta!$C$3,$G$6:$G962,"&gt;="&amp;Consulta!$C$4,$G$6:$G962,"&lt;="&amp;Consulta!$C$5),""))</f>
        <v/>
      </c>
      <c r="K962" s="48" t="str">
        <f aca="false">IF($C962="","",IF(AND($C962=Consulta!$L$3,$G962&lt;&gt;"",$G962&gt;=Consulta!$L$4,$G962&lt;=Consulta!$L$5),COUNTIFS($C$6:$C962,Consulta!$L$3,$G$6:$G962,"&gt;="&amp;Consulta!$L$4,$G$6:$G962,"&lt;="&amp;Consulta!$L$5),""))</f>
        <v/>
      </c>
      <c r="L962" s="48" t="str">
        <f aca="false">IF($D962="","",IF($D962=Consulta!$S$3,COUNTIF($D$6:$D962,Consulta!$S$3),""))</f>
        <v/>
      </c>
      <c r="M962" s="48" t="str">
        <f aca="false">IF($N962="","",IF(AND($N962='Comprovante DEV'!$D$6,$G962='Comprovante DEV'!$D$7),COUNTIFS($N$6:$N962,'Comprovante DEV'!$D$6,$G$6:$G962,'Comprovante DEV'!$D$7),""))</f>
        <v/>
      </c>
      <c r="N962" s="48" t="str">
        <f aca="false">IF($F962="","",IFERROR(VLOOKUP($F962,Apelidos_Tecnico!$A:$B,2,0),$F962))</f>
        <v/>
      </c>
    </row>
    <row r="963" customFormat="false" ht="15" hidden="false" customHeight="false" outlineLevel="0" collapsed="false">
      <c r="A963" s="25"/>
      <c r="B963" s="25"/>
      <c r="C963" s="26"/>
      <c r="D963" s="25"/>
      <c r="E963" s="25"/>
      <c r="F963" s="25"/>
      <c r="G963" s="27"/>
      <c r="H963" s="25"/>
      <c r="I963" s="26"/>
      <c r="J963" s="48" t="str">
        <f aca="false">IF($N963="","",IF(AND($N963=Consulta!$C$3,$G963&lt;&gt;"",$G963&gt;=Consulta!$C$4,$G963&lt;=Consulta!$C$5),COUNTIFS($N$6:$N963,Consulta!$C$3,$G$6:$G963,"&gt;="&amp;Consulta!$C$4,$G$6:$G963,"&lt;="&amp;Consulta!$C$5),""))</f>
        <v/>
      </c>
      <c r="K963" s="48" t="str">
        <f aca="false">IF($C963="","",IF(AND($C963=Consulta!$L$3,$G963&lt;&gt;"",$G963&gt;=Consulta!$L$4,$G963&lt;=Consulta!$L$5),COUNTIFS($C$6:$C963,Consulta!$L$3,$G$6:$G963,"&gt;="&amp;Consulta!$L$4,$G$6:$G963,"&lt;="&amp;Consulta!$L$5),""))</f>
        <v/>
      </c>
      <c r="L963" s="48" t="str">
        <f aca="false">IF($D963="","",IF($D963=Consulta!$S$3,COUNTIF($D$6:$D963,Consulta!$S$3),""))</f>
        <v/>
      </c>
      <c r="M963" s="48" t="str">
        <f aca="false">IF($N963="","",IF(AND($N963='Comprovante DEV'!$D$6,$G963='Comprovante DEV'!$D$7),COUNTIFS($N$6:$N963,'Comprovante DEV'!$D$6,$G$6:$G963,'Comprovante DEV'!$D$7),""))</f>
        <v/>
      </c>
      <c r="N963" s="48" t="str">
        <f aca="false">IF($F963="","",IFERROR(VLOOKUP($F963,Apelidos_Tecnico!$A:$B,2,0),$F963))</f>
        <v/>
      </c>
    </row>
    <row r="964" customFormat="false" ht="15" hidden="false" customHeight="false" outlineLevel="0" collapsed="false">
      <c r="A964" s="25"/>
      <c r="B964" s="25"/>
      <c r="C964" s="26"/>
      <c r="D964" s="25"/>
      <c r="E964" s="25"/>
      <c r="F964" s="25"/>
      <c r="G964" s="27"/>
      <c r="H964" s="25"/>
      <c r="I964" s="26"/>
      <c r="J964" s="48" t="str">
        <f aca="false">IF($N964="","",IF(AND($N964=Consulta!$C$3,$G964&lt;&gt;"",$G964&gt;=Consulta!$C$4,$G964&lt;=Consulta!$C$5),COUNTIFS($N$6:$N964,Consulta!$C$3,$G$6:$G964,"&gt;="&amp;Consulta!$C$4,$G$6:$G964,"&lt;="&amp;Consulta!$C$5),""))</f>
        <v/>
      </c>
      <c r="K964" s="48" t="str">
        <f aca="false">IF($C964="","",IF(AND($C964=Consulta!$L$3,$G964&lt;&gt;"",$G964&gt;=Consulta!$L$4,$G964&lt;=Consulta!$L$5),COUNTIFS($C$6:$C964,Consulta!$L$3,$G$6:$G964,"&gt;="&amp;Consulta!$L$4,$G$6:$G964,"&lt;="&amp;Consulta!$L$5),""))</f>
        <v/>
      </c>
      <c r="L964" s="48" t="str">
        <f aca="false">IF($D964="","",IF($D964=Consulta!$S$3,COUNTIF($D$6:$D964,Consulta!$S$3),""))</f>
        <v/>
      </c>
      <c r="M964" s="48" t="str">
        <f aca="false">IF($N964="","",IF(AND($N964='Comprovante DEV'!$D$6,$G964='Comprovante DEV'!$D$7),COUNTIFS($N$6:$N964,'Comprovante DEV'!$D$6,$G$6:$G964,'Comprovante DEV'!$D$7),""))</f>
        <v/>
      </c>
      <c r="N964" s="48" t="str">
        <f aca="false">IF($F964="","",IFERROR(VLOOKUP($F964,Apelidos_Tecnico!$A:$B,2,0),$F964))</f>
        <v/>
      </c>
    </row>
    <row r="965" customFormat="false" ht="15" hidden="false" customHeight="false" outlineLevel="0" collapsed="false">
      <c r="A965" s="25"/>
      <c r="B965" s="25"/>
      <c r="C965" s="26"/>
      <c r="D965" s="25"/>
      <c r="E965" s="25"/>
      <c r="F965" s="25"/>
      <c r="G965" s="27"/>
      <c r="H965" s="25"/>
      <c r="I965" s="26"/>
      <c r="J965" s="48" t="str">
        <f aca="false">IF($N965="","",IF(AND($N965=Consulta!$C$3,$G965&lt;&gt;"",$G965&gt;=Consulta!$C$4,$G965&lt;=Consulta!$C$5),COUNTIFS($N$6:$N965,Consulta!$C$3,$G$6:$G965,"&gt;="&amp;Consulta!$C$4,$G$6:$G965,"&lt;="&amp;Consulta!$C$5),""))</f>
        <v/>
      </c>
      <c r="K965" s="48" t="str">
        <f aca="false">IF($C965="","",IF(AND($C965=Consulta!$L$3,$G965&lt;&gt;"",$G965&gt;=Consulta!$L$4,$G965&lt;=Consulta!$L$5),COUNTIFS($C$6:$C965,Consulta!$L$3,$G$6:$G965,"&gt;="&amp;Consulta!$L$4,$G$6:$G965,"&lt;="&amp;Consulta!$L$5),""))</f>
        <v/>
      </c>
      <c r="L965" s="48" t="str">
        <f aca="false">IF($D965="","",IF($D965=Consulta!$S$3,COUNTIF($D$6:$D965,Consulta!$S$3),""))</f>
        <v/>
      </c>
      <c r="M965" s="48" t="str">
        <f aca="false">IF($N965="","",IF(AND($N965='Comprovante DEV'!$D$6,$G965='Comprovante DEV'!$D$7),COUNTIFS($N$6:$N965,'Comprovante DEV'!$D$6,$G$6:$G965,'Comprovante DEV'!$D$7),""))</f>
        <v/>
      </c>
      <c r="N965" s="48" t="str">
        <f aca="false">IF($F965="","",IFERROR(VLOOKUP($F965,Apelidos_Tecnico!$A:$B,2,0),$F965))</f>
        <v/>
      </c>
    </row>
    <row r="966" customFormat="false" ht="15" hidden="false" customHeight="false" outlineLevel="0" collapsed="false">
      <c r="A966" s="25"/>
      <c r="B966" s="25"/>
      <c r="C966" s="26"/>
      <c r="D966" s="25"/>
      <c r="E966" s="25"/>
      <c r="F966" s="25"/>
      <c r="G966" s="27"/>
      <c r="H966" s="25"/>
      <c r="I966" s="26"/>
      <c r="J966" s="48" t="str">
        <f aca="false">IF($N966="","",IF(AND($N966=Consulta!$C$3,$G966&lt;&gt;"",$G966&gt;=Consulta!$C$4,$G966&lt;=Consulta!$C$5),COUNTIFS($N$6:$N966,Consulta!$C$3,$G$6:$G966,"&gt;="&amp;Consulta!$C$4,$G$6:$G966,"&lt;="&amp;Consulta!$C$5),""))</f>
        <v/>
      </c>
      <c r="K966" s="48" t="str">
        <f aca="false">IF($C966="","",IF(AND($C966=Consulta!$L$3,$G966&lt;&gt;"",$G966&gt;=Consulta!$L$4,$G966&lt;=Consulta!$L$5),COUNTIFS($C$6:$C966,Consulta!$L$3,$G$6:$G966,"&gt;="&amp;Consulta!$L$4,$G$6:$G966,"&lt;="&amp;Consulta!$L$5),""))</f>
        <v/>
      </c>
      <c r="L966" s="48" t="str">
        <f aca="false">IF($D966="","",IF($D966=Consulta!$S$3,COUNTIF($D$6:$D966,Consulta!$S$3),""))</f>
        <v/>
      </c>
      <c r="M966" s="48" t="str">
        <f aca="false">IF($N966="","",IF(AND($N966='Comprovante DEV'!$D$6,$G966='Comprovante DEV'!$D$7),COUNTIFS($N$6:$N966,'Comprovante DEV'!$D$6,$G$6:$G966,'Comprovante DEV'!$D$7),""))</f>
        <v/>
      </c>
      <c r="N966" s="48" t="str">
        <f aca="false">IF($F966="","",IFERROR(VLOOKUP($F966,Apelidos_Tecnico!$A:$B,2,0),$F966))</f>
        <v/>
      </c>
    </row>
    <row r="967" customFormat="false" ht="15" hidden="false" customHeight="false" outlineLevel="0" collapsed="false">
      <c r="A967" s="25"/>
      <c r="B967" s="25"/>
      <c r="C967" s="26"/>
      <c r="D967" s="25"/>
      <c r="E967" s="25"/>
      <c r="F967" s="25"/>
      <c r="G967" s="27"/>
      <c r="H967" s="25"/>
      <c r="I967" s="26"/>
      <c r="J967" s="48" t="str">
        <f aca="false">IF($N967="","",IF(AND($N967=Consulta!$C$3,$G967&lt;&gt;"",$G967&gt;=Consulta!$C$4,$G967&lt;=Consulta!$C$5),COUNTIFS($N$6:$N967,Consulta!$C$3,$G$6:$G967,"&gt;="&amp;Consulta!$C$4,$G$6:$G967,"&lt;="&amp;Consulta!$C$5),""))</f>
        <v/>
      </c>
      <c r="K967" s="48" t="str">
        <f aca="false">IF($C967="","",IF(AND($C967=Consulta!$L$3,$G967&lt;&gt;"",$G967&gt;=Consulta!$L$4,$G967&lt;=Consulta!$L$5),COUNTIFS($C$6:$C967,Consulta!$L$3,$G$6:$G967,"&gt;="&amp;Consulta!$L$4,$G$6:$G967,"&lt;="&amp;Consulta!$L$5),""))</f>
        <v/>
      </c>
      <c r="L967" s="48" t="str">
        <f aca="false">IF($D967="","",IF($D967=Consulta!$S$3,COUNTIF($D$6:$D967,Consulta!$S$3),""))</f>
        <v/>
      </c>
      <c r="M967" s="48" t="str">
        <f aca="false">IF($N967="","",IF(AND($N967='Comprovante DEV'!$D$6,$G967='Comprovante DEV'!$D$7),COUNTIFS($N$6:$N967,'Comprovante DEV'!$D$6,$G$6:$G967,'Comprovante DEV'!$D$7),""))</f>
        <v/>
      </c>
      <c r="N967" s="48" t="str">
        <f aca="false">IF($F967="","",IFERROR(VLOOKUP($F967,Apelidos_Tecnico!$A:$B,2,0),$F967))</f>
        <v/>
      </c>
    </row>
    <row r="968" customFormat="false" ht="15" hidden="false" customHeight="false" outlineLevel="0" collapsed="false">
      <c r="A968" s="25"/>
      <c r="B968" s="25"/>
      <c r="C968" s="26"/>
      <c r="D968" s="25"/>
      <c r="E968" s="25"/>
      <c r="F968" s="25"/>
      <c r="G968" s="27"/>
      <c r="H968" s="25"/>
      <c r="I968" s="26"/>
      <c r="J968" s="48" t="str">
        <f aca="false">IF($N968="","",IF(AND($N968=Consulta!$C$3,$G968&lt;&gt;"",$G968&gt;=Consulta!$C$4,$G968&lt;=Consulta!$C$5),COUNTIFS($N$6:$N968,Consulta!$C$3,$G$6:$G968,"&gt;="&amp;Consulta!$C$4,$G$6:$G968,"&lt;="&amp;Consulta!$C$5),""))</f>
        <v/>
      </c>
      <c r="K968" s="48" t="str">
        <f aca="false">IF($C968="","",IF(AND($C968=Consulta!$L$3,$G968&lt;&gt;"",$G968&gt;=Consulta!$L$4,$G968&lt;=Consulta!$L$5),COUNTIFS($C$6:$C968,Consulta!$L$3,$G$6:$G968,"&gt;="&amp;Consulta!$L$4,$G$6:$G968,"&lt;="&amp;Consulta!$L$5),""))</f>
        <v/>
      </c>
      <c r="L968" s="48" t="str">
        <f aca="false">IF($D968="","",IF($D968=Consulta!$S$3,COUNTIF($D$6:$D968,Consulta!$S$3),""))</f>
        <v/>
      </c>
      <c r="M968" s="48" t="str">
        <f aca="false">IF($N968="","",IF(AND($N968='Comprovante DEV'!$D$6,$G968='Comprovante DEV'!$D$7),COUNTIFS($N$6:$N968,'Comprovante DEV'!$D$6,$G$6:$G968,'Comprovante DEV'!$D$7),""))</f>
        <v/>
      </c>
      <c r="N968" s="48" t="str">
        <f aca="false">IF($F968="","",IFERROR(VLOOKUP($F968,Apelidos_Tecnico!$A:$B,2,0),$F968))</f>
        <v/>
      </c>
    </row>
    <row r="969" customFormat="false" ht="15" hidden="false" customHeight="false" outlineLevel="0" collapsed="false">
      <c r="A969" s="25"/>
      <c r="B969" s="25"/>
      <c r="C969" s="26"/>
      <c r="D969" s="25"/>
      <c r="E969" s="25"/>
      <c r="F969" s="25"/>
      <c r="G969" s="27"/>
      <c r="H969" s="25"/>
      <c r="I969" s="26"/>
      <c r="J969" s="48" t="str">
        <f aca="false">IF($N969="","",IF(AND($N969=Consulta!$C$3,$G969&lt;&gt;"",$G969&gt;=Consulta!$C$4,$G969&lt;=Consulta!$C$5),COUNTIFS($N$6:$N969,Consulta!$C$3,$G$6:$G969,"&gt;="&amp;Consulta!$C$4,$G$6:$G969,"&lt;="&amp;Consulta!$C$5),""))</f>
        <v/>
      </c>
      <c r="K969" s="48" t="str">
        <f aca="false">IF($C969="","",IF(AND($C969=Consulta!$L$3,$G969&lt;&gt;"",$G969&gt;=Consulta!$L$4,$G969&lt;=Consulta!$L$5),COUNTIFS($C$6:$C969,Consulta!$L$3,$G$6:$G969,"&gt;="&amp;Consulta!$L$4,$G$6:$G969,"&lt;="&amp;Consulta!$L$5),""))</f>
        <v/>
      </c>
      <c r="L969" s="48" t="str">
        <f aca="false">IF($D969="","",IF($D969=Consulta!$S$3,COUNTIF($D$6:$D969,Consulta!$S$3),""))</f>
        <v/>
      </c>
      <c r="M969" s="48" t="str">
        <f aca="false">IF($N969="","",IF(AND($N969='Comprovante DEV'!$D$6,$G969='Comprovante DEV'!$D$7),COUNTIFS($N$6:$N969,'Comprovante DEV'!$D$6,$G$6:$G969,'Comprovante DEV'!$D$7),""))</f>
        <v/>
      </c>
      <c r="N969" s="48" t="str">
        <f aca="false">IF($F969="","",IFERROR(VLOOKUP($F969,Apelidos_Tecnico!$A:$B,2,0),$F969))</f>
        <v/>
      </c>
    </row>
    <row r="970" customFormat="false" ht="15" hidden="false" customHeight="false" outlineLevel="0" collapsed="false">
      <c r="A970" s="25"/>
      <c r="B970" s="25"/>
      <c r="C970" s="26"/>
      <c r="D970" s="25"/>
      <c r="E970" s="25"/>
      <c r="F970" s="25"/>
      <c r="G970" s="27"/>
      <c r="H970" s="25"/>
      <c r="I970" s="26"/>
      <c r="J970" s="48" t="str">
        <f aca="false">IF($N970="","",IF(AND($N970=Consulta!$C$3,$G970&lt;&gt;"",$G970&gt;=Consulta!$C$4,$G970&lt;=Consulta!$C$5),COUNTIFS($N$6:$N970,Consulta!$C$3,$G$6:$G970,"&gt;="&amp;Consulta!$C$4,$G$6:$G970,"&lt;="&amp;Consulta!$C$5),""))</f>
        <v/>
      </c>
      <c r="K970" s="48" t="str">
        <f aca="false">IF($C970="","",IF(AND($C970=Consulta!$L$3,$G970&lt;&gt;"",$G970&gt;=Consulta!$L$4,$G970&lt;=Consulta!$L$5),COUNTIFS($C$6:$C970,Consulta!$L$3,$G$6:$G970,"&gt;="&amp;Consulta!$L$4,$G$6:$G970,"&lt;="&amp;Consulta!$L$5),""))</f>
        <v/>
      </c>
      <c r="L970" s="48" t="str">
        <f aca="false">IF($D970="","",IF($D970=Consulta!$S$3,COUNTIF($D$6:$D970,Consulta!$S$3),""))</f>
        <v/>
      </c>
      <c r="M970" s="48" t="str">
        <f aca="false">IF($N970="","",IF(AND($N970='Comprovante DEV'!$D$6,$G970='Comprovante DEV'!$D$7),COUNTIFS($N$6:$N970,'Comprovante DEV'!$D$6,$G$6:$G970,'Comprovante DEV'!$D$7),""))</f>
        <v/>
      </c>
      <c r="N970" s="48" t="str">
        <f aca="false">IF($F970="","",IFERROR(VLOOKUP($F970,Apelidos_Tecnico!$A:$B,2,0),$F970))</f>
        <v/>
      </c>
    </row>
    <row r="971" customFormat="false" ht="15" hidden="false" customHeight="false" outlineLevel="0" collapsed="false">
      <c r="A971" s="25"/>
      <c r="B971" s="25"/>
      <c r="C971" s="26"/>
      <c r="D971" s="25"/>
      <c r="E971" s="25"/>
      <c r="F971" s="25"/>
      <c r="G971" s="27"/>
      <c r="H971" s="25"/>
      <c r="I971" s="26"/>
      <c r="J971" s="48" t="str">
        <f aca="false">IF($N971="","",IF(AND($N971=Consulta!$C$3,$G971&lt;&gt;"",$G971&gt;=Consulta!$C$4,$G971&lt;=Consulta!$C$5),COUNTIFS($N$6:$N971,Consulta!$C$3,$G$6:$G971,"&gt;="&amp;Consulta!$C$4,$G$6:$G971,"&lt;="&amp;Consulta!$C$5),""))</f>
        <v/>
      </c>
      <c r="K971" s="48" t="str">
        <f aca="false">IF($C971="","",IF(AND($C971=Consulta!$L$3,$G971&lt;&gt;"",$G971&gt;=Consulta!$L$4,$G971&lt;=Consulta!$L$5),COUNTIFS($C$6:$C971,Consulta!$L$3,$G$6:$G971,"&gt;="&amp;Consulta!$L$4,$G$6:$G971,"&lt;="&amp;Consulta!$L$5),""))</f>
        <v/>
      </c>
      <c r="L971" s="48" t="str">
        <f aca="false">IF($D971="","",IF($D971=Consulta!$S$3,COUNTIF($D$6:$D971,Consulta!$S$3),""))</f>
        <v/>
      </c>
      <c r="M971" s="48" t="str">
        <f aca="false">IF($N971="","",IF(AND($N971='Comprovante DEV'!$D$6,$G971='Comprovante DEV'!$D$7),COUNTIFS($N$6:$N971,'Comprovante DEV'!$D$6,$G$6:$G971,'Comprovante DEV'!$D$7),""))</f>
        <v/>
      </c>
      <c r="N971" s="48" t="str">
        <f aca="false">IF($F971="","",IFERROR(VLOOKUP($F971,Apelidos_Tecnico!$A:$B,2,0),$F971))</f>
        <v/>
      </c>
    </row>
    <row r="972" customFormat="false" ht="15" hidden="false" customHeight="false" outlineLevel="0" collapsed="false">
      <c r="A972" s="25"/>
      <c r="B972" s="25"/>
      <c r="C972" s="26"/>
      <c r="D972" s="25"/>
      <c r="E972" s="25"/>
      <c r="F972" s="25"/>
      <c r="G972" s="27"/>
      <c r="H972" s="25"/>
      <c r="I972" s="26"/>
      <c r="J972" s="48" t="str">
        <f aca="false">IF($N972="","",IF(AND($N972=Consulta!$C$3,$G972&lt;&gt;"",$G972&gt;=Consulta!$C$4,$G972&lt;=Consulta!$C$5),COUNTIFS($N$6:$N972,Consulta!$C$3,$G$6:$G972,"&gt;="&amp;Consulta!$C$4,$G$6:$G972,"&lt;="&amp;Consulta!$C$5),""))</f>
        <v/>
      </c>
      <c r="K972" s="48" t="str">
        <f aca="false">IF($C972="","",IF(AND($C972=Consulta!$L$3,$G972&lt;&gt;"",$G972&gt;=Consulta!$L$4,$G972&lt;=Consulta!$L$5),COUNTIFS($C$6:$C972,Consulta!$L$3,$G$6:$G972,"&gt;="&amp;Consulta!$L$4,$G$6:$G972,"&lt;="&amp;Consulta!$L$5),""))</f>
        <v/>
      </c>
      <c r="L972" s="48" t="str">
        <f aca="false">IF($D972="","",IF($D972=Consulta!$S$3,COUNTIF($D$6:$D972,Consulta!$S$3),""))</f>
        <v/>
      </c>
      <c r="M972" s="48" t="str">
        <f aca="false">IF($N972="","",IF(AND($N972='Comprovante DEV'!$D$6,$G972='Comprovante DEV'!$D$7),COUNTIFS($N$6:$N972,'Comprovante DEV'!$D$6,$G$6:$G972,'Comprovante DEV'!$D$7),""))</f>
        <v/>
      </c>
      <c r="N972" s="48" t="str">
        <f aca="false">IF($F972="","",IFERROR(VLOOKUP($F972,Apelidos_Tecnico!$A:$B,2,0),$F972))</f>
        <v/>
      </c>
    </row>
    <row r="973" customFormat="false" ht="15" hidden="false" customHeight="false" outlineLevel="0" collapsed="false">
      <c r="A973" s="25"/>
      <c r="B973" s="25"/>
      <c r="C973" s="26"/>
      <c r="D973" s="25"/>
      <c r="E973" s="25"/>
      <c r="F973" s="25"/>
      <c r="G973" s="27"/>
      <c r="H973" s="25"/>
      <c r="I973" s="26"/>
      <c r="J973" s="48" t="str">
        <f aca="false">IF($N973="","",IF(AND($N973=Consulta!$C$3,$G973&lt;&gt;"",$G973&gt;=Consulta!$C$4,$G973&lt;=Consulta!$C$5),COUNTIFS($N$6:$N973,Consulta!$C$3,$G$6:$G973,"&gt;="&amp;Consulta!$C$4,$G$6:$G973,"&lt;="&amp;Consulta!$C$5),""))</f>
        <v/>
      </c>
      <c r="K973" s="48" t="str">
        <f aca="false">IF($C973="","",IF(AND($C973=Consulta!$L$3,$G973&lt;&gt;"",$G973&gt;=Consulta!$L$4,$G973&lt;=Consulta!$L$5),COUNTIFS($C$6:$C973,Consulta!$L$3,$G$6:$G973,"&gt;="&amp;Consulta!$L$4,$G$6:$G973,"&lt;="&amp;Consulta!$L$5),""))</f>
        <v/>
      </c>
      <c r="L973" s="48" t="str">
        <f aca="false">IF($D973="","",IF($D973=Consulta!$S$3,COUNTIF($D$6:$D973,Consulta!$S$3),""))</f>
        <v/>
      </c>
      <c r="M973" s="48" t="str">
        <f aca="false">IF($N973="","",IF(AND($N973='Comprovante DEV'!$D$6,$G973='Comprovante DEV'!$D$7),COUNTIFS($N$6:$N973,'Comprovante DEV'!$D$6,$G$6:$G973,'Comprovante DEV'!$D$7),""))</f>
        <v/>
      </c>
      <c r="N973" s="48" t="str">
        <f aca="false">IF($F973="","",IFERROR(VLOOKUP($F973,Apelidos_Tecnico!$A:$B,2,0),$F973))</f>
        <v/>
      </c>
    </row>
    <row r="974" customFormat="false" ht="15" hidden="false" customHeight="false" outlineLevel="0" collapsed="false">
      <c r="A974" s="25"/>
      <c r="B974" s="25"/>
      <c r="C974" s="26"/>
      <c r="D974" s="25"/>
      <c r="E974" s="25"/>
      <c r="F974" s="25"/>
      <c r="G974" s="27"/>
      <c r="H974" s="25"/>
      <c r="I974" s="26"/>
      <c r="J974" s="48" t="str">
        <f aca="false">IF($N974="","",IF(AND($N974=Consulta!$C$3,$G974&lt;&gt;"",$G974&gt;=Consulta!$C$4,$G974&lt;=Consulta!$C$5),COUNTIFS($N$6:$N974,Consulta!$C$3,$G$6:$G974,"&gt;="&amp;Consulta!$C$4,$G$6:$G974,"&lt;="&amp;Consulta!$C$5),""))</f>
        <v/>
      </c>
      <c r="K974" s="48" t="str">
        <f aca="false">IF($C974="","",IF(AND($C974=Consulta!$L$3,$G974&lt;&gt;"",$G974&gt;=Consulta!$L$4,$G974&lt;=Consulta!$L$5),COUNTIFS($C$6:$C974,Consulta!$L$3,$G$6:$G974,"&gt;="&amp;Consulta!$L$4,$G$6:$G974,"&lt;="&amp;Consulta!$L$5),""))</f>
        <v/>
      </c>
      <c r="L974" s="48" t="str">
        <f aca="false">IF($D974="","",IF($D974=Consulta!$S$3,COUNTIF($D$6:$D974,Consulta!$S$3),""))</f>
        <v/>
      </c>
      <c r="M974" s="48" t="str">
        <f aca="false">IF($N974="","",IF(AND($N974='Comprovante DEV'!$D$6,$G974='Comprovante DEV'!$D$7),COUNTIFS($N$6:$N974,'Comprovante DEV'!$D$6,$G$6:$G974,'Comprovante DEV'!$D$7),""))</f>
        <v/>
      </c>
      <c r="N974" s="48" t="str">
        <f aca="false">IF($F974="","",IFERROR(VLOOKUP($F974,Apelidos_Tecnico!$A:$B,2,0),$F974))</f>
        <v/>
      </c>
    </row>
    <row r="975" customFormat="false" ht="15" hidden="false" customHeight="false" outlineLevel="0" collapsed="false">
      <c r="A975" s="25"/>
      <c r="B975" s="25"/>
      <c r="C975" s="26"/>
      <c r="D975" s="25"/>
      <c r="E975" s="25"/>
      <c r="F975" s="25"/>
      <c r="G975" s="27"/>
      <c r="H975" s="25"/>
      <c r="I975" s="26"/>
      <c r="J975" s="48" t="str">
        <f aca="false">IF($N975="","",IF(AND($N975=Consulta!$C$3,$G975&lt;&gt;"",$G975&gt;=Consulta!$C$4,$G975&lt;=Consulta!$C$5),COUNTIFS($N$6:$N975,Consulta!$C$3,$G$6:$G975,"&gt;="&amp;Consulta!$C$4,$G$6:$G975,"&lt;="&amp;Consulta!$C$5),""))</f>
        <v/>
      </c>
      <c r="K975" s="48" t="str">
        <f aca="false">IF($C975="","",IF(AND($C975=Consulta!$L$3,$G975&lt;&gt;"",$G975&gt;=Consulta!$L$4,$G975&lt;=Consulta!$L$5),COUNTIFS($C$6:$C975,Consulta!$L$3,$G$6:$G975,"&gt;="&amp;Consulta!$L$4,$G$6:$G975,"&lt;="&amp;Consulta!$L$5),""))</f>
        <v/>
      </c>
      <c r="L975" s="48" t="str">
        <f aca="false">IF($D975="","",IF($D975=Consulta!$S$3,COUNTIF($D$6:$D975,Consulta!$S$3),""))</f>
        <v/>
      </c>
      <c r="M975" s="48" t="str">
        <f aca="false">IF($N975="","",IF(AND($N975='Comprovante DEV'!$D$6,$G975='Comprovante DEV'!$D$7),COUNTIFS($N$6:$N975,'Comprovante DEV'!$D$6,$G$6:$G975,'Comprovante DEV'!$D$7),""))</f>
        <v/>
      </c>
      <c r="N975" s="48" t="str">
        <f aca="false">IF($F975="","",IFERROR(VLOOKUP($F975,Apelidos_Tecnico!$A:$B,2,0),$F975))</f>
        <v/>
      </c>
    </row>
    <row r="976" customFormat="false" ht="15" hidden="false" customHeight="false" outlineLevel="0" collapsed="false">
      <c r="A976" s="25"/>
      <c r="B976" s="25"/>
      <c r="C976" s="26"/>
      <c r="D976" s="25"/>
      <c r="E976" s="25"/>
      <c r="F976" s="25"/>
      <c r="G976" s="27"/>
      <c r="H976" s="25"/>
      <c r="I976" s="26"/>
      <c r="J976" s="48" t="str">
        <f aca="false">IF($N976="","",IF(AND($N976=Consulta!$C$3,$G976&lt;&gt;"",$G976&gt;=Consulta!$C$4,$G976&lt;=Consulta!$C$5),COUNTIFS($N$6:$N976,Consulta!$C$3,$G$6:$G976,"&gt;="&amp;Consulta!$C$4,$G$6:$G976,"&lt;="&amp;Consulta!$C$5),""))</f>
        <v/>
      </c>
      <c r="K976" s="48" t="str">
        <f aca="false">IF($C976="","",IF(AND($C976=Consulta!$L$3,$G976&lt;&gt;"",$G976&gt;=Consulta!$L$4,$G976&lt;=Consulta!$L$5),COUNTIFS($C$6:$C976,Consulta!$L$3,$G$6:$G976,"&gt;="&amp;Consulta!$L$4,$G$6:$G976,"&lt;="&amp;Consulta!$L$5),""))</f>
        <v/>
      </c>
      <c r="L976" s="48" t="str">
        <f aca="false">IF($D976="","",IF($D976=Consulta!$S$3,COUNTIF($D$6:$D976,Consulta!$S$3),""))</f>
        <v/>
      </c>
      <c r="M976" s="48" t="str">
        <f aca="false">IF($N976="","",IF(AND($N976='Comprovante DEV'!$D$6,$G976='Comprovante DEV'!$D$7),COUNTIFS($N$6:$N976,'Comprovante DEV'!$D$6,$G$6:$G976,'Comprovante DEV'!$D$7),""))</f>
        <v/>
      </c>
      <c r="N976" s="48" t="str">
        <f aca="false">IF($F976="","",IFERROR(VLOOKUP($F976,Apelidos_Tecnico!$A:$B,2,0),$F976))</f>
        <v/>
      </c>
    </row>
    <row r="977" customFormat="false" ht="15" hidden="false" customHeight="false" outlineLevel="0" collapsed="false">
      <c r="A977" s="25"/>
      <c r="B977" s="25"/>
      <c r="C977" s="26"/>
      <c r="D977" s="25"/>
      <c r="E977" s="25"/>
      <c r="F977" s="25"/>
      <c r="G977" s="27"/>
      <c r="H977" s="25"/>
      <c r="I977" s="26"/>
      <c r="J977" s="48" t="str">
        <f aca="false">IF($N977="","",IF(AND($N977=Consulta!$C$3,$G977&lt;&gt;"",$G977&gt;=Consulta!$C$4,$G977&lt;=Consulta!$C$5),COUNTIFS($N$6:$N977,Consulta!$C$3,$G$6:$G977,"&gt;="&amp;Consulta!$C$4,$G$6:$G977,"&lt;="&amp;Consulta!$C$5),""))</f>
        <v/>
      </c>
      <c r="K977" s="48" t="str">
        <f aca="false">IF($C977="","",IF(AND($C977=Consulta!$L$3,$G977&lt;&gt;"",$G977&gt;=Consulta!$L$4,$G977&lt;=Consulta!$L$5),COUNTIFS($C$6:$C977,Consulta!$L$3,$G$6:$G977,"&gt;="&amp;Consulta!$L$4,$G$6:$G977,"&lt;="&amp;Consulta!$L$5),""))</f>
        <v/>
      </c>
      <c r="L977" s="48" t="str">
        <f aca="false">IF($D977="","",IF($D977=Consulta!$S$3,COUNTIF($D$6:$D977,Consulta!$S$3),""))</f>
        <v/>
      </c>
      <c r="M977" s="48" t="str">
        <f aca="false">IF($N977="","",IF(AND($N977='Comprovante DEV'!$D$6,$G977='Comprovante DEV'!$D$7),COUNTIFS($N$6:$N977,'Comprovante DEV'!$D$6,$G$6:$G977,'Comprovante DEV'!$D$7),""))</f>
        <v/>
      </c>
      <c r="N977" s="48" t="str">
        <f aca="false">IF($F977="","",IFERROR(VLOOKUP($F977,Apelidos_Tecnico!$A:$B,2,0),$F977))</f>
        <v/>
      </c>
    </row>
    <row r="978" customFormat="false" ht="15" hidden="false" customHeight="false" outlineLevel="0" collapsed="false">
      <c r="A978" s="25"/>
      <c r="B978" s="25"/>
      <c r="C978" s="26"/>
      <c r="D978" s="25"/>
      <c r="E978" s="25"/>
      <c r="F978" s="25"/>
      <c r="G978" s="27"/>
      <c r="H978" s="25"/>
      <c r="I978" s="26"/>
      <c r="J978" s="48" t="str">
        <f aca="false">IF($N978="","",IF(AND($N978=Consulta!$C$3,$G978&lt;&gt;"",$G978&gt;=Consulta!$C$4,$G978&lt;=Consulta!$C$5),COUNTIFS($N$6:$N978,Consulta!$C$3,$G$6:$G978,"&gt;="&amp;Consulta!$C$4,$G$6:$G978,"&lt;="&amp;Consulta!$C$5),""))</f>
        <v/>
      </c>
      <c r="K978" s="48" t="str">
        <f aca="false">IF($C978="","",IF(AND($C978=Consulta!$L$3,$G978&lt;&gt;"",$G978&gt;=Consulta!$L$4,$G978&lt;=Consulta!$L$5),COUNTIFS($C$6:$C978,Consulta!$L$3,$G$6:$G978,"&gt;="&amp;Consulta!$L$4,$G$6:$G978,"&lt;="&amp;Consulta!$L$5),""))</f>
        <v/>
      </c>
      <c r="L978" s="48" t="str">
        <f aca="false">IF($D978="","",IF($D978=Consulta!$S$3,COUNTIF($D$6:$D978,Consulta!$S$3),""))</f>
        <v/>
      </c>
      <c r="M978" s="48" t="str">
        <f aca="false">IF($N978="","",IF(AND($N978='Comprovante DEV'!$D$6,$G978='Comprovante DEV'!$D$7),COUNTIFS($N$6:$N978,'Comprovante DEV'!$D$6,$G$6:$G978,'Comprovante DEV'!$D$7),""))</f>
        <v/>
      </c>
      <c r="N978" s="48" t="str">
        <f aca="false">IF($F978="","",IFERROR(VLOOKUP($F978,Apelidos_Tecnico!$A:$B,2,0),$F978))</f>
        <v/>
      </c>
    </row>
    <row r="979" customFormat="false" ht="15" hidden="false" customHeight="false" outlineLevel="0" collapsed="false">
      <c r="A979" s="25"/>
      <c r="B979" s="25"/>
      <c r="C979" s="26"/>
      <c r="D979" s="25"/>
      <c r="E979" s="25"/>
      <c r="F979" s="25"/>
      <c r="G979" s="27"/>
      <c r="H979" s="25"/>
      <c r="I979" s="26"/>
      <c r="J979" s="48" t="str">
        <f aca="false">IF($N979="","",IF(AND($N979=Consulta!$C$3,$G979&lt;&gt;"",$G979&gt;=Consulta!$C$4,$G979&lt;=Consulta!$C$5),COUNTIFS($N$6:$N979,Consulta!$C$3,$G$6:$G979,"&gt;="&amp;Consulta!$C$4,$G$6:$G979,"&lt;="&amp;Consulta!$C$5),""))</f>
        <v/>
      </c>
      <c r="K979" s="48" t="str">
        <f aca="false">IF($C979="","",IF(AND($C979=Consulta!$L$3,$G979&lt;&gt;"",$G979&gt;=Consulta!$L$4,$G979&lt;=Consulta!$L$5),COUNTIFS($C$6:$C979,Consulta!$L$3,$G$6:$G979,"&gt;="&amp;Consulta!$L$4,$G$6:$G979,"&lt;="&amp;Consulta!$L$5),""))</f>
        <v/>
      </c>
      <c r="L979" s="48" t="str">
        <f aca="false">IF($D979="","",IF($D979=Consulta!$S$3,COUNTIF($D$6:$D979,Consulta!$S$3),""))</f>
        <v/>
      </c>
      <c r="M979" s="48" t="str">
        <f aca="false">IF($N979="","",IF(AND($N979='Comprovante DEV'!$D$6,$G979='Comprovante DEV'!$D$7),COUNTIFS($N$6:$N979,'Comprovante DEV'!$D$6,$G$6:$G979,'Comprovante DEV'!$D$7),""))</f>
        <v/>
      </c>
      <c r="N979" s="48" t="str">
        <f aca="false">IF($F979="","",IFERROR(VLOOKUP($F979,Apelidos_Tecnico!$A:$B,2,0),$F979))</f>
        <v/>
      </c>
    </row>
    <row r="980" customFormat="false" ht="15" hidden="false" customHeight="false" outlineLevel="0" collapsed="false">
      <c r="A980" s="25"/>
      <c r="B980" s="25"/>
      <c r="C980" s="26"/>
      <c r="D980" s="25"/>
      <c r="E980" s="25"/>
      <c r="F980" s="25"/>
      <c r="G980" s="27"/>
      <c r="H980" s="25"/>
      <c r="I980" s="26"/>
      <c r="J980" s="48" t="str">
        <f aca="false">IF($N980="","",IF(AND($N980=Consulta!$C$3,$G980&lt;&gt;"",$G980&gt;=Consulta!$C$4,$G980&lt;=Consulta!$C$5),COUNTIFS($N$6:$N980,Consulta!$C$3,$G$6:$G980,"&gt;="&amp;Consulta!$C$4,$G$6:$G980,"&lt;="&amp;Consulta!$C$5),""))</f>
        <v/>
      </c>
      <c r="K980" s="48" t="str">
        <f aca="false">IF($C980="","",IF(AND($C980=Consulta!$L$3,$G980&lt;&gt;"",$G980&gt;=Consulta!$L$4,$G980&lt;=Consulta!$L$5),COUNTIFS($C$6:$C980,Consulta!$L$3,$G$6:$G980,"&gt;="&amp;Consulta!$L$4,$G$6:$G980,"&lt;="&amp;Consulta!$L$5),""))</f>
        <v/>
      </c>
      <c r="L980" s="48" t="str">
        <f aca="false">IF($D980="","",IF($D980=Consulta!$S$3,COUNTIF($D$6:$D980,Consulta!$S$3),""))</f>
        <v/>
      </c>
      <c r="M980" s="48" t="str">
        <f aca="false">IF($N980="","",IF(AND($N980='Comprovante DEV'!$D$6,$G980='Comprovante DEV'!$D$7),COUNTIFS($N$6:$N980,'Comprovante DEV'!$D$6,$G$6:$G980,'Comprovante DEV'!$D$7),""))</f>
        <v/>
      </c>
      <c r="N980" s="48" t="str">
        <f aca="false">IF($F980="","",IFERROR(VLOOKUP($F980,Apelidos_Tecnico!$A:$B,2,0),$F980))</f>
        <v/>
      </c>
    </row>
    <row r="981" customFormat="false" ht="15" hidden="false" customHeight="false" outlineLevel="0" collapsed="false">
      <c r="A981" s="25"/>
      <c r="B981" s="25"/>
      <c r="C981" s="26"/>
      <c r="D981" s="25"/>
      <c r="E981" s="25"/>
      <c r="F981" s="25"/>
      <c r="G981" s="27"/>
      <c r="H981" s="25"/>
      <c r="I981" s="26"/>
      <c r="J981" s="48" t="str">
        <f aca="false">IF($N981="","",IF(AND($N981=Consulta!$C$3,$G981&lt;&gt;"",$G981&gt;=Consulta!$C$4,$G981&lt;=Consulta!$C$5),COUNTIFS($N$6:$N981,Consulta!$C$3,$G$6:$G981,"&gt;="&amp;Consulta!$C$4,$G$6:$G981,"&lt;="&amp;Consulta!$C$5),""))</f>
        <v/>
      </c>
      <c r="K981" s="48" t="str">
        <f aca="false">IF($C981="","",IF(AND($C981=Consulta!$L$3,$G981&lt;&gt;"",$G981&gt;=Consulta!$L$4,$G981&lt;=Consulta!$L$5),COUNTIFS($C$6:$C981,Consulta!$L$3,$G$6:$G981,"&gt;="&amp;Consulta!$L$4,$G$6:$G981,"&lt;="&amp;Consulta!$L$5),""))</f>
        <v/>
      </c>
      <c r="L981" s="48" t="str">
        <f aca="false">IF($D981="","",IF($D981=Consulta!$S$3,COUNTIF($D$6:$D981,Consulta!$S$3),""))</f>
        <v/>
      </c>
      <c r="M981" s="48" t="str">
        <f aca="false">IF($N981="","",IF(AND($N981='Comprovante DEV'!$D$6,$G981='Comprovante DEV'!$D$7),COUNTIFS($N$6:$N981,'Comprovante DEV'!$D$6,$G$6:$G981,'Comprovante DEV'!$D$7),""))</f>
        <v/>
      </c>
      <c r="N981" s="48" t="str">
        <f aca="false">IF($F981="","",IFERROR(VLOOKUP($F981,Apelidos_Tecnico!$A:$B,2,0),$F981))</f>
        <v/>
      </c>
    </row>
    <row r="982" customFormat="false" ht="15" hidden="false" customHeight="false" outlineLevel="0" collapsed="false">
      <c r="A982" s="25"/>
      <c r="B982" s="25"/>
      <c r="C982" s="26"/>
      <c r="D982" s="25"/>
      <c r="E982" s="25"/>
      <c r="F982" s="25"/>
      <c r="G982" s="27"/>
      <c r="H982" s="25"/>
      <c r="I982" s="26"/>
      <c r="J982" s="48" t="str">
        <f aca="false">IF($N982="","",IF(AND($N982=Consulta!$C$3,$G982&lt;&gt;"",$G982&gt;=Consulta!$C$4,$G982&lt;=Consulta!$C$5),COUNTIFS($N$6:$N982,Consulta!$C$3,$G$6:$G982,"&gt;="&amp;Consulta!$C$4,$G$6:$G982,"&lt;="&amp;Consulta!$C$5),""))</f>
        <v/>
      </c>
      <c r="K982" s="48" t="str">
        <f aca="false">IF($C982="","",IF(AND($C982=Consulta!$L$3,$G982&lt;&gt;"",$G982&gt;=Consulta!$L$4,$G982&lt;=Consulta!$L$5),COUNTIFS($C$6:$C982,Consulta!$L$3,$G$6:$G982,"&gt;="&amp;Consulta!$L$4,$G$6:$G982,"&lt;="&amp;Consulta!$L$5),""))</f>
        <v/>
      </c>
      <c r="L982" s="48" t="str">
        <f aca="false">IF($D982="","",IF($D982=Consulta!$S$3,COUNTIF($D$6:$D982,Consulta!$S$3),""))</f>
        <v/>
      </c>
      <c r="M982" s="48" t="str">
        <f aca="false">IF($N982="","",IF(AND($N982='Comprovante DEV'!$D$6,$G982='Comprovante DEV'!$D$7),COUNTIFS($N$6:$N982,'Comprovante DEV'!$D$6,$G$6:$G982,'Comprovante DEV'!$D$7),""))</f>
        <v/>
      </c>
      <c r="N982" s="48" t="str">
        <f aca="false">IF($F982="","",IFERROR(VLOOKUP($F982,Apelidos_Tecnico!$A:$B,2,0),$F982))</f>
        <v/>
      </c>
    </row>
    <row r="983" customFormat="false" ht="15" hidden="false" customHeight="false" outlineLevel="0" collapsed="false">
      <c r="A983" s="25"/>
      <c r="B983" s="25"/>
      <c r="C983" s="26"/>
      <c r="D983" s="25"/>
      <c r="E983" s="25"/>
      <c r="F983" s="25"/>
      <c r="G983" s="27"/>
      <c r="H983" s="25"/>
      <c r="I983" s="26"/>
      <c r="J983" s="48" t="str">
        <f aca="false">IF($N983="","",IF(AND($N983=Consulta!$C$3,$G983&lt;&gt;"",$G983&gt;=Consulta!$C$4,$G983&lt;=Consulta!$C$5),COUNTIFS($N$6:$N983,Consulta!$C$3,$G$6:$G983,"&gt;="&amp;Consulta!$C$4,$G$6:$G983,"&lt;="&amp;Consulta!$C$5),""))</f>
        <v/>
      </c>
      <c r="K983" s="48" t="str">
        <f aca="false">IF($C983="","",IF(AND($C983=Consulta!$L$3,$G983&lt;&gt;"",$G983&gt;=Consulta!$L$4,$G983&lt;=Consulta!$L$5),COUNTIFS($C$6:$C983,Consulta!$L$3,$G$6:$G983,"&gt;="&amp;Consulta!$L$4,$G$6:$G983,"&lt;="&amp;Consulta!$L$5),""))</f>
        <v/>
      </c>
      <c r="L983" s="48" t="str">
        <f aca="false">IF($D983="","",IF($D983=Consulta!$S$3,COUNTIF($D$6:$D983,Consulta!$S$3),""))</f>
        <v/>
      </c>
      <c r="M983" s="48" t="str">
        <f aca="false">IF($N983="","",IF(AND($N983='Comprovante DEV'!$D$6,$G983='Comprovante DEV'!$D$7),COUNTIFS($N$6:$N983,'Comprovante DEV'!$D$6,$G$6:$G983,'Comprovante DEV'!$D$7),""))</f>
        <v/>
      </c>
      <c r="N983" s="48" t="str">
        <f aca="false">IF($F983="","",IFERROR(VLOOKUP($F983,Apelidos_Tecnico!$A:$B,2,0),$F983))</f>
        <v/>
      </c>
    </row>
    <row r="984" customFormat="false" ht="15" hidden="false" customHeight="false" outlineLevel="0" collapsed="false">
      <c r="A984" s="25"/>
      <c r="B984" s="25"/>
      <c r="C984" s="26"/>
      <c r="D984" s="25"/>
      <c r="E984" s="25"/>
      <c r="F984" s="25"/>
      <c r="G984" s="27"/>
      <c r="H984" s="25"/>
      <c r="I984" s="26"/>
      <c r="J984" s="48" t="str">
        <f aca="false">IF($N984="","",IF(AND($N984=Consulta!$C$3,$G984&lt;&gt;"",$G984&gt;=Consulta!$C$4,$G984&lt;=Consulta!$C$5),COUNTIFS($N$6:$N984,Consulta!$C$3,$G$6:$G984,"&gt;="&amp;Consulta!$C$4,$G$6:$G984,"&lt;="&amp;Consulta!$C$5),""))</f>
        <v/>
      </c>
      <c r="K984" s="48" t="str">
        <f aca="false">IF($C984="","",IF(AND($C984=Consulta!$L$3,$G984&lt;&gt;"",$G984&gt;=Consulta!$L$4,$G984&lt;=Consulta!$L$5),COUNTIFS($C$6:$C984,Consulta!$L$3,$G$6:$G984,"&gt;="&amp;Consulta!$L$4,$G$6:$G984,"&lt;="&amp;Consulta!$L$5),""))</f>
        <v/>
      </c>
      <c r="L984" s="48" t="str">
        <f aca="false">IF($D984="","",IF($D984=Consulta!$S$3,COUNTIF($D$6:$D984,Consulta!$S$3),""))</f>
        <v/>
      </c>
      <c r="M984" s="48" t="str">
        <f aca="false">IF($N984="","",IF(AND($N984='Comprovante DEV'!$D$6,$G984='Comprovante DEV'!$D$7),COUNTIFS($N$6:$N984,'Comprovante DEV'!$D$6,$G$6:$G984,'Comprovante DEV'!$D$7),""))</f>
        <v/>
      </c>
      <c r="N984" s="48" t="str">
        <f aca="false">IF($F984="","",IFERROR(VLOOKUP($F984,Apelidos_Tecnico!$A:$B,2,0),$F984))</f>
        <v/>
      </c>
    </row>
    <row r="985" customFormat="false" ht="15" hidden="false" customHeight="false" outlineLevel="0" collapsed="false">
      <c r="A985" s="25"/>
      <c r="B985" s="25"/>
      <c r="C985" s="26"/>
      <c r="D985" s="25"/>
      <c r="E985" s="25"/>
      <c r="F985" s="25"/>
      <c r="G985" s="27"/>
      <c r="H985" s="25"/>
      <c r="I985" s="26"/>
      <c r="J985" s="48" t="str">
        <f aca="false">IF($N985="","",IF(AND($N985=Consulta!$C$3,$G985&lt;&gt;"",$G985&gt;=Consulta!$C$4,$G985&lt;=Consulta!$C$5),COUNTIFS($N$6:$N985,Consulta!$C$3,$G$6:$G985,"&gt;="&amp;Consulta!$C$4,$G$6:$G985,"&lt;="&amp;Consulta!$C$5),""))</f>
        <v/>
      </c>
      <c r="K985" s="48" t="str">
        <f aca="false">IF($C985="","",IF(AND($C985=Consulta!$L$3,$G985&lt;&gt;"",$G985&gt;=Consulta!$L$4,$G985&lt;=Consulta!$L$5),COUNTIFS($C$6:$C985,Consulta!$L$3,$G$6:$G985,"&gt;="&amp;Consulta!$L$4,$G$6:$G985,"&lt;="&amp;Consulta!$L$5),""))</f>
        <v/>
      </c>
      <c r="L985" s="48" t="str">
        <f aca="false">IF($D985="","",IF($D985=Consulta!$S$3,COUNTIF($D$6:$D985,Consulta!$S$3),""))</f>
        <v/>
      </c>
      <c r="M985" s="48" t="str">
        <f aca="false">IF($N985="","",IF(AND($N985='Comprovante DEV'!$D$6,$G985='Comprovante DEV'!$D$7),COUNTIFS($N$6:$N985,'Comprovante DEV'!$D$6,$G$6:$G985,'Comprovante DEV'!$D$7),""))</f>
        <v/>
      </c>
      <c r="N985" s="48" t="str">
        <f aca="false">IF($F985="","",IFERROR(VLOOKUP($F985,Apelidos_Tecnico!$A:$B,2,0),$F985))</f>
        <v/>
      </c>
    </row>
    <row r="986" customFormat="false" ht="15" hidden="false" customHeight="false" outlineLevel="0" collapsed="false">
      <c r="A986" s="25"/>
      <c r="B986" s="25"/>
      <c r="C986" s="26"/>
      <c r="D986" s="25"/>
      <c r="E986" s="25"/>
      <c r="F986" s="25"/>
      <c r="G986" s="27"/>
      <c r="H986" s="25"/>
      <c r="I986" s="26"/>
      <c r="J986" s="48" t="str">
        <f aca="false">IF($N986="","",IF(AND($N986=Consulta!$C$3,$G986&lt;&gt;"",$G986&gt;=Consulta!$C$4,$G986&lt;=Consulta!$C$5),COUNTIFS($N$6:$N986,Consulta!$C$3,$G$6:$G986,"&gt;="&amp;Consulta!$C$4,$G$6:$G986,"&lt;="&amp;Consulta!$C$5),""))</f>
        <v/>
      </c>
      <c r="K986" s="48" t="str">
        <f aca="false">IF($C986="","",IF(AND($C986=Consulta!$L$3,$G986&lt;&gt;"",$G986&gt;=Consulta!$L$4,$G986&lt;=Consulta!$L$5),COUNTIFS($C$6:$C986,Consulta!$L$3,$G$6:$G986,"&gt;="&amp;Consulta!$L$4,$G$6:$G986,"&lt;="&amp;Consulta!$L$5),""))</f>
        <v/>
      </c>
      <c r="L986" s="48" t="str">
        <f aca="false">IF($D986="","",IF($D986=Consulta!$S$3,COUNTIF($D$6:$D986,Consulta!$S$3),""))</f>
        <v/>
      </c>
      <c r="M986" s="48" t="str">
        <f aca="false">IF($N986="","",IF(AND($N986='Comprovante DEV'!$D$6,$G986='Comprovante DEV'!$D$7),COUNTIFS($N$6:$N986,'Comprovante DEV'!$D$6,$G$6:$G986,'Comprovante DEV'!$D$7),""))</f>
        <v/>
      </c>
      <c r="N986" s="48" t="str">
        <f aca="false">IF($F986="","",IFERROR(VLOOKUP($F986,Apelidos_Tecnico!$A:$B,2,0),$F986))</f>
        <v/>
      </c>
    </row>
    <row r="987" customFormat="false" ht="15" hidden="false" customHeight="false" outlineLevel="0" collapsed="false">
      <c r="A987" s="25"/>
      <c r="B987" s="25"/>
      <c r="C987" s="26"/>
      <c r="D987" s="25"/>
      <c r="E987" s="25"/>
      <c r="F987" s="25"/>
      <c r="G987" s="27"/>
      <c r="H987" s="25"/>
      <c r="I987" s="26"/>
      <c r="J987" s="48" t="str">
        <f aca="false">IF($N987="","",IF(AND($N987=Consulta!$C$3,$G987&lt;&gt;"",$G987&gt;=Consulta!$C$4,$G987&lt;=Consulta!$C$5),COUNTIFS($N$6:$N987,Consulta!$C$3,$G$6:$G987,"&gt;="&amp;Consulta!$C$4,$G$6:$G987,"&lt;="&amp;Consulta!$C$5),""))</f>
        <v/>
      </c>
      <c r="K987" s="48" t="str">
        <f aca="false">IF($C987="","",IF(AND($C987=Consulta!$L$3,$G987&lt;&gt;"",$G987&gt;=Consulta!$L$4,$G987&lt;=Consulta!$L$5),COUNTIFS($C$6:$C987,Consulta!$L$3,$G$6:$G987,"&gt;="&amp;Consulta!$L$4,$G$6:$G987,"&lt;="&amp;Consulta!$L$5),""))</f>
        <v/>
      </c>
      <c r="L987" s="48" t="str">
        <f aca="false">IF($D987="","",IF($D987=Consulta!$S$3,COUNTIF($D$6:$D987,Consulta!$S$3),""))</f>
        <v/>
      </c>
      <c r="M987" s="48" t="str">
        <f aca="false">IF($N987="","",IF(AND($N987='Comprovante DEV'!$D$6,$G987='Comprovante DEV'!$D$7),COUNTIFS($N$6:$N987,'Comprovante DEV'!$D$6,$G$6:$G987,'Comprovante DEV'!$D$7),""))</f>
        <v/>
      </c>
      <c r="N987" s="48" t="str">
        <f aca="false">IF($F987="","",IFERROR(VLOOKUP($F987,Apelidos_Tecnico!$A:$B,2,0),$F987))</f>
        <v/>
      </c>
    </row>
    <row r="988" customFormat="false" ht="15" hidden="false" customHeight="false" outlineLevel="0" collapsed="false">
      <c r="A988" s="25"/>
      <c r="B988" s="25"/>
      <c r="C988" s="26"/>
      <c r="D988" s="25"/>
      <c r="E988" s="25"/>
      <c r="F988" s="25"/>
      <c r="G988" s="27"/>
      <c r="H988" s="25"/>
      <c r="I988" s="26"/>
      <c r="J988" s="48" t="str">
        <f aca="false">IF($N988="","",IF(AND($N988=Consulta!$C$3,$G988&lt;&gt;"",$G988&gt;=Consulta!$C$4,$G988&lt;=Consulta!$C$5),COUNTIFS($N$6:$N988,Consulta!$C$3,$G$6:$G988,"&gt;="&amp;Consulta!$C$4,$G$6:$G988,"&lt;="&amp;Consulta!$C$5),""))</f>
        <v/>
      </c>
      <c r="K988" s="48" t="str">
        <f aca="false">IF($C988="","",IF(AND($C988=Consulta!$L$3,$G988&lt;&gt;"",$G988&gt;=Consulta!$L$4,$G988&lt;=Consulta!$L$5),COUNTIFS($C$6:$C988,Consulta!$L$3,$G$6:$G988,"&gt;="&amp;Consulta!$L$4,$G$6:$G988,"&lt;="&amp;Consulta!$L$5),""))</f>
        <v/>
      </c>
      <c r="L988" s="48" t="str">
        <f aca="false">IF($D988="","",IF($D988=Consulta!$S$3,COUNTIF($D$6:$D988,Consulta!$S$3),""))</f>
        <v/>
      </c>
      <c r="M988" s="48" t="str">
        <f aca="false">IF($N988="","",IF(AND($N988='Comprovante DEV'!$D$6,$G988='Comprovante DEV'!$D$7),COUNTIFS($N$6:$N988,'Comprovante DEV'!$D$6,$G$6:$G988,'Comprovante DEV'!$D$7),""))</f>
        <v/>
      </c>
      <c r="N988" s="48" t="str">
        <f aca="false">IF($F988="","",IFERROR(VLOOKUP($F988,Apelidos_Tecnico!$A:$B,2,0),$F988))</f>
        <v/>
      </c>
    </row>
    <row r="989" customFormat="false" ht="15" hidden="false" customHeight="false" outlineLevel="0" collapsed="false">
      <c r="A989" s="25"/>
      <c r="B989" s="25"/>
      <c r="C989" s="26"/>
      <c r="D989" s="25"/>
      <c r="E989" s="25"/>
      <c r="F989" s="25"/>
      <c r="G989" s="27"/>
      <c r="H989" s="25"/>
      <c r="I989" s="26"/>
      <c r="J989" s="48" t="str">
        <f aca="false">IF($N989="","",IF(AND($N989=Consulta!$C$3,$G989&lt;&gt;"",$G989&gt;=Consulta!$C$4,$G989&lt;=Consulta!$C$5),COUNTIFS($N$6:$N989,Consulta!$C$3,$G$6:$G989,"&gt;="&amp;Consulta!$C$4,$G$6:$G989,"&lt;="&amp;Consulta!$C$5),""))</f>
        <v/>
      </c>
      <c r="K989" s="48" t="str">
        <f aca="false">IF($C989="","",IF(AND($C989=Consulta!$L$3,$G989&lt;&gt;"",$G989&gt;=Consulta!$L$4,$G989&lt;=Consulta!$L$5),COUNTIFS($C$6:$C989,Consulta!$L$3,$G$6:$G989,"&gt;="&amp;Consulta!$L$4,$G$6:$G989,"&lt;="&amp;Consulta!$L$5),""))</f>
        <v/>
      </c>
      <c r="L989" s="48" t="str">
        <f aca="false">IF($D989="","",IF($D989=Consulta!$S$3,COUNTIF($D$6:$D989,Consulta!$S$3),""))</f>
        <v/>
      </c>
      <c r="M989" s="48" t="str">
        <f aca="false">IF($N989="","",IF(AND($N989='Comprovante DEV'!$D$6,$G989='Comprovante DEV'!$D$7),COUNTIFS($N$6:$N989,'Comprovante DEV'!$D$6,$G$6:$G989,'Comprovante DEV'!$D$7),""))</f>
        <v/>
      </c>
      <c r="N989" s="48" t="str">
        <f aca="false">IF($F989="","",IFERROR(VLOOKUP($F989,Apelidos_Tecnico!$A:$B,2,0),$F989))</f>
        <v/>
      </c>
    </row>
    <row r="990" customFormat="false" ht="15" hidden="false" customHeight="false" outlineLevel="0" collapsed="false">
      <c r="A990" s="25"/>
      <c r="B990" s="25"/>
      <c r="C990" s="26"/>
      <c r="D990" s="25"/>
      <c r="E990" s="25"/>
      <c r="F990" s="25"/>
      <c r="G990" s="27"/>
      <c r="H990" s="25"/>
      <c r="I990" s="26"/>
      <c r="J990" s="48" t="str">
        <f aca="false">IF($N990="","",IF(AND($N990=Consulta!$C$3,$G990&lt;&gt;"",$G990&gt;=Consulta!$C$4,$G990&lt;=Consulta!$C$5),COUNTIFS($N$6:$N990,Consulta!$C$3,$G$6:$G990,"&gt;="&amp;Consulta!$C$4,$G$6:$G990,"&lt;="&amp;Consulta!$C$5),""))</f>
        <v/>
      </c>
      <c r="K990" s="48" t="str">
        <f aca="false">IF($C990="","",IF(AND($C990=Consulta!$L$3,$G990&lt;&gt;"",$G990&gt;=Consulta!$L$4,$G990&lt;=Consulta!$L$5),COUNTIFS($C$6:$C990,Consulta!$L$3,$G$6:$G990,"&gt;="&amp;Consulta!$L$4,$G$6:$G990,"&lt;="&amp;Consulta!$L$5),""))</f>
        <v/>
      </c>
      <c r="L990" s="48" t="str">
        <f aca="false">IF($D990="","",IF($D990=Consulta!$S$3,COUNTIF($D$6:$D990,Consulta!$S$3),""))</f>
        <v/>
      </c>
      <c r="M990" s="48" t="str">
        <f aca="false">IF($N990="","",IF(AND($N990='Comprovante DEV'!$D$6,$G990='Comprovante DEV'!$D$7),COUNTIFS($N$6:$N990,'Comprovante DEV'!$D$6,$G$6:$G990,'Comprovante DEV'!$D$7),""))</f>
        <v/>
      </c>
      <c r="N990" s="48" t="str">
        <f aca="false">IF($F990="","",IFERROR(VLOOKUP($F990,Apelidos_Tecnico!$A:$B,2,0),$F990))</f>
        <v/>
      </c>
    </row>
    <row r="991" customFormat="false" ht="15" hidden="false" customHeight="false" outlineLevel="0" collapsed="false">
      <c r="A991" s="25"/>
      <c r="B991" s="25"/>
      <c r="C991" s="26"/>
      <c r="D991" s="25"/>
      <c r="E991" s="25"/>
      <c r="F991" s="25"/>
      <c r="G991" s="27"/>
      <c r="H991" s="25"/>
      <c r="I991" s="26"/>
      <c r="J991" s="48" t="str">
        <f aca="false">IF($N991="","",IF(AND($N991=Consulta!$C$3,$G991&lt;&gt;"",$G991&gt;=Consulta!$C$4,$G991&lt;=Consulta!$C$5),COUNTIFS($N$6:$N991,Consulta!$C$3,$G$6:$G991,"&gt;="&amp;Consulta!$C$4,$G$6:$G991,"&lt;="&amp;Consulta!$C$5),""))</f>
        <v/>
      </c>
      <c r="K991" s="48" t="str">
        <f aca="false">IF($C991="","",IF(AND($C991=Consulta!$L$3,$G991&lt;&gt;"",$G991&gt;=Consulta!$L$4,$G991&lt;=Consulta!$L$5),COUNTIFS($C$6:$C991,Consulta!$L$3,$G$6:$G991,"&gt;="&amp;Consulta!$L$4,$G$6:$G991,"&lt;="&amp;Consulta!$L$5),""))</f>
        <v/>
      </c>
      <c r="L991" s="48" t="str">
        <f aca="false">IF($D991="","",IF($D991=Consulta!$S$3,COUNTIF($D$6:$D991,Consulta!$S$3),""))</f>
        <v/>
      </c>
      <c r="M991" s="48" t="str">
        <f aca="false">IF($N991="","",IF(AND($N991='Comprovante DEV'!$D$6,$G991='Comprovante DEV'!$D$7),COUNTIFS($N$6:$N991,'Comprovante DEV'!$D$6,$G$6:$G991,'Comprovante DEV'!$D$7),""))</f>
        <v/>
      </c>
      <c r="N991" s="48" t="str">
        <f aca="false">IF($F991="","",IFERROR(VLOOKUP($F991,Apelidos_Tecnico!$A:$B,2,0),$F991))</f>
        <v/>
      </c>
    </row>
    <row r="992" customFormat="false" ht="15" hidden="false" customHeight="false" outlineLevel="0" collapsed="false">
      <c r="A992" s="25"/>
      <c r="B992" s="25"/>
      <c r="C992" s="26"/>
      <c r="D992" s="25"/>
      <c r="E992" s="25"/>
      <c r="F992" s="25"/>
      <c r="G992" s="27"/>
      <c r="H992" s="25"/>
      <c r="I992" s="26"/>
      <c r="J992" s="48" t="str">
        <f aca="false">IF($N992="","",IF(AND($N992=Consulta!$C$3,$G992&lt;&gt;"",$G992&gt;=Consulta!$C$4,$G992&lt;=Consulta!$C$5),COUNTIFS($N$6:$N992,Consulta!$C$3,$G$6:$G992,"&gt;="&amp;Consulta!$C$4,$G$6:$G992,"&lt;="&amp;Consulta!$C$5),""))</f>
        <v/>
      </c>
      <c r="K992" s="48" t="str">
        <f aca="false">IF($C992="","",IF(AND($C992=Consulta!$L$3,$G992&lt;&gt;"",$G992&gt;=Consulta!$L$4,$G992&lt;=Consulta!$L$5),COUNTIFS($C$6:$C992,Consulta!$L$3,$G$6:$G992,"&gt;="&amp;Consulta!$L$4,$G$6:$G992,"&lt;="&amp;Consulta!$L$5),""))</f>
        <v/>
      </c>
      <c r="L992" s="48" t="str">
        <f aca="false">IF($D992="","",IF($D992=Consulta!$S$3,COUNTIF($D$6:$D992,Consulta!$S$3),""))</f>
        <v/>
      </c>
      <c r="M992" s="48" t="str">
        <f aca="false">IF($N992="","",IF(AND($N992='Comprovante DEV'!$D$6,$G992='Comprovante DEV'!$D$7),COUNTIFS($N$6:$N992,'Comprovante DEV'!$D$6,$G$6:$G992,'Comprovante DEV'!$D$7),""))</f>
        <v/>
      </c>
      <c r="N992" s="48" t="str">
        <f aca="false">IF($F992="","",IFERROR(VLOOKUP($F992,Apelidos_Tecnico!$A:$B,2,0),$F992))</f>
        <v/>
      </c>
    </row>
    <row r="993" customFormat="false" ht="15" hidden="false" customHeight="false" outlineLevel="0" collapsed="false">
      <c r="A993" s="25"/>
      <c r="B993" s="25"/>
      <c r="C993" s="26"/>
      <c r="D993" s="25"/>
      <c r="E993" s="25"/>
      <c r="F993" s="25"/>
      <c r="G993" s="27"/>
      <c r="H993" s="25"/>
      <c r="I993" s="26"/>
      <c r="J993" s="48" t="str">
        <f aca="false">IF($N993="","",IF(AND($N993=Consulta!$C$3,$G993&lt;&gt;"",$G993&gt;=Consulta!$C$4,$G993&lt;=Consulta!$C$5),COUNTIFS($N$6:$N993,Consulta!$C$3,$G$6:$G993,"&gt;="&amp;Consulta!$C$4,$G$6:$G993,"&lt;="&amp;Consulta!$C$5),""))</f>
        <v/>
      </c>
      <c r="K993" s="48" t="str">
        <f aca="false">IF($C993="","",IF(AND($C993=Consulta!$L$3,$G993&lt;&gt;"",$G993&gt;=Consulta!$L$4,$G993&lt;=Consulta!$L$5),COUNTIFS($C$6:$C993,Consulta!$L$3,$G$6:$G993,"&gt;="&amp;Consulta!$L$4,$G$6:$G993,"&lt;="&amp;Consulta!$L$5),""))</f>
        <v/>
      </c>
      <c r="L993" s="48" t="str">
        <f aca="false">IF($D993="","",IF($D993=Consulta!$S$3,COUNTIF($D$6:$D993,Consulta!$S$3),""))</f>
        <v/>
      </c>
      <c r="M993" s="48" t="str">
        <f aca="false">IF($N993="","",IF(AND($N993='Comprovante DEV'!$D$6,$G993='Comprovante DEV'!$D$7),COUNTIFS($N$6:$N993,'Comprovante DEV'!$D$6,$G$6:$G993,'Comprovante DEV'!$D$7),""))</f>
        <v/>
      </c>
      <c r="N993" s="48" t="str">
        <f aca="false">IF($F993="","",IFERROR(VLOOKUP($F993,Apelidos_Tecnico!$A:$B,2,0),$F993))</f>
        <v/>
      </c>
    </row>
    <row r="994" customFormat="false" ht="15" hidden="false" customHeight="false" outlineLevel="0" collapsed="false">
      <c r="A994" s="25"/>
      <c r="B994" s="25"/>
      <c r="C994" s="26"/>
      <c r="D994" s="25"/>
      <c r="E994" s="25"/>
      <c r="F994" s="25"/>
      <c r="G994" s="27"/>
      <c r="H994" s="25"/>
      <c r="I994" s="26"/>
      <c r="J994" s="48" t="str">
        <f aca="false">IF($N994="","",IF(AND($N994=Consulta!$C$3,$G994&lt;&gt;"",$G994&gt;=Consulta!$C$4,$G994&lt;=Consulta!$C$5),COUNTIFS($N$6:$N994,Consulta!$C$3,$G$6:$G994,"&gt;="&amp;Consulta!$C$4,$G$6:$G994,"&lt;="&amp;Consulta!$C$5),""))</f>
        <v/>
      </c>
      <c r="K994" s="48" t="str">
        <f aca="false">IF($C994="","",IF(AND($C994=Consulta!$L$3,$G994&lt;&gt;"",$G994&gt;=Consulta!$L$4,$G994&lt;=Consulta!$L$5),COUNTIFS($C$6:$C994,Consulta!$L$3,$G$6:$G994,"&gt;="&amp;Consulta!$L$4,$G$6:$G994,"&lt;="&amp;Consulta!$L$5),""))</f>
        <v/>
      </c>
      <c r="L994" s="48" t="str">
        <f aca="false">IF($D994="","",IF($D994=Consulta!$S$3,COUNTIF($D$6:$D994,Consulta!$S$3),""))</f>
        <v/>
      </c>
      <c r="M994" s="48" t="str">
        <f aca="false">IF($N994="","",IF(AND($N994='Comprovante DEV'!$D$6,$G994='Comprovante DEV'!$D$7),COUNTIFS($N$6:$N994,'Comprovante DEV'!$D$6,$G$6:$G994,'Comprovante DEV'!$D$7),""))</f>
        <v/>
      </c>
      <c r="N994" s="48" t="str">
        <f aca="false">IF($F994="","",IFERROR(VLOOKUP($F994,Apelidos_Tecnico!$A:$B,2,0),$F994))</f>
        <v/>
      </c>
    </row>
    <row r="995" customFormat="false" ht="15" hidden="false" customHeight="false" outlineLevel="0" collapsed="false">
      <c r="A995" s="25"/>
      <c r="B995" s="25"/>
      <c r="C995" s="26"/>
      <c r="D995" s="25"/>
      <c r="E995" s="25"/>
      <c r="F995" s="25"/>
      <c r="G995" s="27"/>
      <c r="H995" s="25"/>
      <c r="I995" s="26"/>
      <c r="J995" s="48" t="str">
        <f aca="false">IF($N995="","",IF(AND($N995=Consulta!$C$3,$G995&lt;&gt;"",$G995&gt;=Consulta!$C$4,$G995&lt;=Consulta!$C$5),COUNTIFS($N$6:$N995,Consulta!$C$3,$G$6:$G995,"&gt;="&amp;Consulta!$C$4,$G$6:$G995,"&lt;="&amp;Consulta!$C$5),""))</f>
        <v/>
      </c>
      <c r="K995" s="48" t="str">
        <f aca="false">IF($C995="","",IF(AND($C995=Consulta!$L$3,$G995&lt;&gt;"",$G995&gt;=Consulta!$L$4,$G995&lt;=Consulta!$L$5),COUNTIFS($C$6:$C995,Consulta!$L$3,$G$6:$G995,"&gt;="&amp;Consulta!$L$4,$G$6:$G995,"&lt;="&amp;Consulta!$L$5),""))</f>
        <v/>
      </c>
      <c r="L995" s="48" t="str">
        <f aca="false">IF($D995="","",IF($D995=Consulta!$S$3,COUNTIF($D$6:$D995,Consulta!$S$3),""))</f>
        <v/>
      </c>
      <c r="M995" s="48" t="str">
        <f aca="false">IF($N995="","",IF(AND($N995='Comprovante DEV'!$D$6,$G995='Comprovante DEV'!$D$7),COUNTIFS($N$6:$N995,'Comprovante DEV'!$D$6,$G$6:$G995,'Comprovante DEV'!$D$7),""))</f>
        <v/>
      </c>
      <c r="N995" s="48" t="str">
        <f aca="false">IF($F995="","",IFERROR(VLOOKUP($F995,Apelidos_Tecnico!$A:$B,2,0),$F995))</f>
        <v/>
      </c>
    </row>
    <row r="996" customFormat="false" ht="15" hidden="false" customHeight="false" outlineLevel="0" collapsed="false">
      <c r="A996" s="25"/>
      <c r="B996" s="25"/>
      <c r="C996" s="26"/>
      <c r="D996" s="25"/>
      <c r="E996" s="25"/>
      <c r="F996" s="25"/>
      <c r="G996" s="27"/>
      <c r="H996" s="25"/>
      <c r="I996" s="26"/>
      <c r="J996" s="48" t="str">
        <f aca="false">IF($N996="","",IF(AND($N996=Consulta!$C$3,$G996&lt;&gt;"",$G996&gt;=Consulta!$C$4,$G996&lt;=Consulta!$C$5),COUNTIFS($N$6:$N996,Consulta!$C$3,$G$6:$G996,"&gt;="&amp;Consulta!$C$4,$G$6:$G996,"&lt;="&amp;Consulta!$C$5),""))</f>
        <v/>
      </c>
      <c r="K996" s="48" t="str">
        <f aca="false">IF($C996="","",IF(AND($C996=Consulta!$L$3,$G996&lt;&gt;"",$G996&gt;=Consulta!$L$4,$G996&lt;=Consulta!$L$5),COUNTIFS($C$6:$C996,Consulta!$L$3,$G$6:$G996,"&gt;="&amp;Consulta!$L$4,$G$6:$G996,"&lt;="&amp;Consulta!$L$5),""))</f>
        <v/>
      </c>
      <c r="L996" s="48" t="str">
        <f aca="false">IF($D996="","",IF($D996=Consulta!$S$3,COUNTIF($D$6:$D996,Consulta!$S$3),""))</f>
        <v/>
      </c>
      <c r="M996" s="48" t="str">
        <f aca="false">IF($N996="","",IF(AND($N996='Comprovante DEV'!$D$6,$G996='Comprovante DEV'!$D$7),COUNTIFS($N$6:$N996,'Comprovante DEV'!$D$6,$G$6:$G996,'Comprovante DEV'!$D$7),""))</f>
        <v/>
      </c>
      <c r="N996" s="48" t="str">
        <f aca="false">IF($F996="","",IFERROR(VLOOKUP($F996,Apelidos_Tecnico!$A:$B,2,0),$F996))</f>
        <v/>
      </c>
    </row>
    <row r="997" customFormat="false" ht="15" hidden="false" customHeight="false" outlineLevel="0" collapsed="false">
      <c r="A997" s="25"/>
      <c r="B997" s="25"/>
      <c r="C997" s="26"/>
      <c r="D997" s="25"/>
      <c r="E997" s="25"/>
      <c r="F997" s="25"/>
      <c r="G997" s="27"/>
      <c r="H997" s="25"/>
      <c r="I997" s="26"/>
      <c r="J997" s="48" t="str">
        <f aca="false">IF($N997="","",IF(AND($N997=Consulta!$C$3,$G997&lt;&gt;"",$G997&gt;=Consulta!$C$4,$G997&lt;=Consulta!$C$5),COUNTIFS($N$6:$N997,Consulta!$C$3,$G$6:$G997,"&gt;="&amp;Consulta!$C$4,$G$6:$G997,"&lt;="&amp;Consulta!$C$5),""))</f>
        <v/>
      </c>
      <c r="K997" s="48" t="str">
        <f aca="false">IF($C997="","",IF(AND($C997=Consulta!$L$3,$G997&lt;&gt;"",$G997&gt;=Consulta!$L$4,$G997&lt;=Consulta!$L$5),COUNTIFS($C$6:$C997,Consulta!$L$3,$G$6:$G997,"&gt;="&amp;Consulta!$L$4,$G$6:$G997,"&lt;="&amp;Consulta!$L$5),""))</f>
        <v/>
      </c>
      <c r="L997" s="48" t="str">
        <f aca="false">IF($D997="","",IF($D997=Consulta!$S$3,COUNTIF($D$6:$D997,Consulta!$S$3),""))</f>
        <v/>
      </c>
      <c r="M997" s="48" t="str">
        <f aca="false">IF($N997="","",IF(AND($N997='Comprovante DEV'!$D$6,$G997='Comprovante DEV'!$D$7),COUNTIFS($N$6:$N997,'Comprovante DEV'!$D$6,$G$6:$G997,'Comprovante DEV'!$D$7),""))</f>
        <v/>
      </c>
      <c r="N997" s="48" t="str">
        <f aca="false">IF($F997="","",IFERROR(VLOOKUP($F997,Apelidos_Tecnico!$A:$B,2,0),$F997))</f>
        <v/>
      </c>
    </row>
    <row r="998" customFormat="false" ht="15" hidden="false" customHeight="false" outlineLevel="0" collapsed="false">
      <c r="A998" s="25"/>
      <c r="B998" s="25"/>
      <c r="C998" s="26"/>
      <c r="D998" s="25"/>
      <c r="E998" s="25"/>
      <c r="F998" s="25"/>
      <c r="G998" s="27"/>
      <c r="H998" s="25"/>
      <c r="I998" s="26"/>
      <c r="J998" s="48" t="str">
        <f aca="false">IF($N998="","",IF(AND($N998=Consulta!$C$3,$G998&lt;&gt;"",$G998&gt;=Consulta!$C$4,$G998&lt;=Consulta!$C$5),COUNTIFS($N$6:$N998,Consulta!$C$3,$G$6:$G998,"&gt;="&amp;Consulta!$C$4,$G$6:$G998,"&lt;="&amp;Consulta!$C$5),""))</f>
        <v/>
      </c>
      <c r="K998" s="48" t="str">
        <f aca="false">IF($C998="","",IF(AND($C998=Consulta!$L$3,$G998&lt;&gt;"",$G998&gt;=Consulta!$L$4,$G998&lt;=Consulta!$L$5),COUNTIFS($C$6:$C998,Consulta!$L$3,$G$6:$G998,"&gt;="&amp;Consulta!$L$4,$G$6:$G998,"&lt;="&amp;Consulta!$L$5),""))</f>
        <v/>
      </c>
      <c r="L998" s="48" t="str">
        <f aca="false">IF($D998="","",IF($D998=Consulta!$S$3,COUNTIF($D$6:$D998,Consulta!$S$3),""))</f>
        <v/>
      </c>
      <c r="M998" s="48" t="str">
        <f aca="false">IF($N998="","",IF(AND($N998='Comprovante DEV'!$D$6,$G998='Comprovante DEV'!$D$7),COUNTIFS($N$6:$N998,'Comprovante DEV'!$D$6,$G$6:$G998,'Comprovante DEV'!$D$7),""))</f>
        <v/>
      </c>
      <c r="N998" s="48" t="str">
        <f aca="false">IF($F998="","",IFERROR(VLOOKUP($F998,Apelidos_Tecnico!$A:$B,2,0),$F998))</f>
        <v/>
      </c>
    </row>
    <row r="999" customFormat="false" ht="15" hidden="false" customHeight="false" outlineLevel="0" collapsed="false">
      <c r="A999" s="25"/>
      <c r="B999" s="25"/>
      <c r="C999" s="26"/>
      <c r="D999" s="25"/>
      <c r="E999" s="25"/>
      <c r="F999" s="25"/>
      <c r="G999" s="27"/>
      <c r="H999" s="25"/>
      <c r="I999" s="26"/>
      <c r="J999" s="48" t="str">
        <f aca="false">IF($N999="","",IF(AND($N999=Consulta!$C$3,$G999&lt;&gt;"",$G999&gt;=Consulta!$C$4,$G999&lt;=Consulta!$C$5),COUNTIFS($N$6:$N999,Consulta!$C$3,$G$6:$G999,"&gt;="&amp;Consulta!$C$4,$G$6:$G999,"&lt;="&amp;Consulta!$C$5),""))</f>
        <v/>
      </c>
      <c r="K999" s="48" t="str">
        <f aca="false">IF($C999="","",IF(AND($C999=Consulta!$L$3,$G999&lt;&gt;"",$G999&gt;=Consulta!$L$4,$G999&lt;=Consulta!$L$5),COUNTIFS($C$6:$C999,Consulta!$L$3,$G$6:$G999,"&gt;="&amp;Consulta!$L$4,$G$6:$G999,"&lt;="&amp;Consulta!$L$5),""))</f>
        <v/>
      </c>
      <c r="L999" s="48" t="str">
        <f aca="false">IF($D999="","",IF($D999=Consulta!$S$3,COUNTIF($D$6:$D999,Consulta!$S$3),""))</f>
        <v/>
      </c>
      <c r="M999" s="48" t="str">
        <f aca="false">IF($N999="","",IF(AND($N999='Comprovante DEV'!$D$6,$G999='Comprovante DEV'!$D$7),COUNTIFS($N$6:$N999,'Comprovante DEV'!$D$6,$G$6:$G999,'Comprovante DEV'!$D$7),""))</f>
        <v/>
      </c>
      <c r="N999" s="48" t="str">
        <f aca="false">IF($F999="","",IFERROR(VLOOKUP($F999,Apelidos_Tecnico!$A:$B,2,0),$F999))</f>
        <v/>
      </c>
    </row>
    <row r="1000" customFormat="false" ht="15" hidden="false" customHeight="false" outlineLevel="0" collapsed="false">
      <c r="A1000" s="25"/>
      <c r="B1000" s="25"/>
      <c r="C1000" s="26"/>
      <c r="D1000" s="25"/>
      <c r="E1000" s="25"/>
      <c r="F1000" s="25"/>
      <c r="G1000" s="27"/>
      <c r="H1000" s="25"/>
      <c r="I1000" s="26"/>
      <c r="J1000" s="48" t="str">
        <f aca="false">IF($N1000="","",IF(AND($N1000=Consulta!$C$3,$G1000&lt;&gt;"",$G1000&gt;=Consulta!$C$4,$G1000&lt;=Consulta!$C$5),COUNTIFS($N$6:$N1000,Consulta!$C$3,$G$6:$G1000,"&gt;="&amp;Consulta!$C$4,$G$6:$G1000,"&lt;="&amp;Consulta!$C$5),""))</f>
        <v/>
      </c>
      <c r="K1000" s="48" t="str">
        <f aca="false">IF($C1000="","",IF(AND($C1000=Consulta!$L$3,$G1000&lt;&gt;"",$G1000&gt;=Consulta!$L$4,$G1000&lt;=Consulta!$L$5),COUNTIFS($C$6:$C1000,Consulta!$L$3,$G$6:$G1000,"&gt;="&amp;Consulta!$L$4,$G$6:$G1000,"&lt;="&amp;Consulta!$L$5),""))</f>
        <v/>
      </c>
      <c r="L1000" s="48" t="str">
        <f aca="false">IF($D1000="","",IF($D1000=Consulta!$S$3,COUNTIF($D$6:$D1000,Consulta!$S$3),""))</f>
        <v/>
      </c>
      <c r="M1000" s="48" t="str">
        <f aca="false">IF($N1000="","",IF(AND($N1000='Comprovante DEV'!$D$6,$G1000='Comprovante DEV'!$D$7),COUNTIFS($N$6:$N1000,'Comprovante DEV'!$D$6,$G$6:$G1000,'Comprovante DEV'!$D$7),""))</f>
        <v/>
      </c>
      <c r="N1000" s="48" t="str">
        <f aca="false">IF($F1000="","",IFERROR(VLOOKUP($F1000,Apelidos_Tecnico!$A:$B,2,0),$F1000))</f>
        <v/>
      </c>
    </row>
    <row r="1001" customFormat="false" ht="15" hidden="false" customHeight="false" outlineLevel="0" collapsed="false">
      <c r="A1001" s="25"/>
      <c r="B1001" s="25"/>
      <c r="C1001" s="26"/>
      <c r="D1001" s="25"/>
      <c r="E1001" s="25"/>
      <c r="F1001" s="25"/>
      <c r="G1001" s="27"/>
      <c r="H1001" s="25"/>
      <c r="I1001" s="26"/>
      <c r="J1001" s="48" t="str">
        <f aca="false">IF($N1001="","",IF(AND($N1001=Consulta!$C$3,$G1001&lt;&gt;"",$G1001&gt;=Consulta!$C$4,$G1001&lt;=Consulta!$C$5),COUNTIFS($N$6:$N1001,Consulta!$C$3,$G$6:$G1001,"&gt;="&amp;Consulta!$C$4,$G$6:$G1001,"&lt;="&amp;Consulta!$C$5),""))</f>
        <v/>
      </c>
      <c r="K1001" s="48" t="str">
        <f aca="false">IF($C1001="","",IF(AND($C1001=Consulta!$L$3,$G1001&lt;&gt;"",$G1001&gt;=Consulta!$L$4,$G1001&lt;=Consulta!$L$5),COUNTIFS($C$6:$C1001,Consulta!$L$3,$G$6:$G1001,"&gt;="&amp;Consulta!$L$4,$G$6:$G1001,"&lt;="&amp;Consulta!$L$5),""))</f>
        <v/>
      </c>
      <c r="L1001" s="48" t="str">
        <f aca="false">IF($D1001="","",IF($D1001=Consulta!$S$3,COUNTIF($D$6:$D1001,Consulta!$S$3),""))</f>
        <v/>
      </c>
      <c r="M1001" s="48" t="str">
        <f aca="false">IF($N1001="","",IF(AND($N1001='Comprovante DEV'!$D$6,$G1001='Comprovante DEV'!$D$7),COUNTIFS($N$6:$N1001,'Comprovante DEV'!$D$6,$G$6:$G1001,'Comprovante DEV'!$D$7),""))</f>
        <v/>
      </c>
      <c r="N1001" s="48" t="str">
        <f aca="false">IF($F1001="","",IFERROR(VLOOKUP($F1001,Apelidos_Tecnico!$A:$B,2,0),$F1001))</f>
        <v/>
      </c>
    </row>
    <row r="1002" customFormat="false" ht="15" hidden="false" customHeight="false" outlineLevel="0" collapsed="false">
      <c r="A1002" s="25"/>
      <c r="B1002" s="25"/>
      <c r="C1002" s="26"/>
      <c r="D1002" s="25"/>
      <c r="E1002" s="25"/>
      <c r="F1002" s="25"/>
      <c r="G1002" s="27"/>
      <c r="H1002" s="25"/>
      <c r="I1002" s="26"/>
      <c r="J1002" s="48" t="str">
        <f aca="false">IF($N1002="","",IF(AND($N1002=Consulta!$C$3,$G1002&lt;&gt;"",$G1002&gt;=Consulta!$C$4,$G1002&lt;=Consulta!$C$5),COUNTIFS($N$6:$N1002,Consulta!$C$3,$G$6:$G1002,"&gt;="&amp;Consulta!$C$4,$G$6:$G1002,"&lt;="&amp;Consulta!$C$5),""))</f>
        <v/>
      </c>
      <c r="K1002" s="48" t="str">
        <f aca="false">IF($C1002="","",IF(AND($C1002=Consulta!$L$3,$G1002&lt;&gt;"",$G1002&gt;=Consulta!$L$4,$G1002&lt;=Consulta!$L$5),COUNTIFS($C$6:$C1002,Consulta!$L$3,$G$6:$G1002,"&gt;="&amp;Consulta!$L$4,$G$6:$G1002,"&lt;="&amp;Consulta!$L$5),""))</f>
        <v/>
      </c>
      <c r="L1002" s="48" t="str">
        <f aca="false">IF($D1002="","",IF($D1002=Consulta!$S$3,COUNTIF($D$6:$D1002,Consulta!$S$3),""))</f>
        <v/>
      </c>
      <c r="M1002" s="48" t="str">
        <f aca="false">IF($N1002="","",IF(AND($N1002='Comprovante DEV'!$D$6,$G1002='Comprovante DEV'!$D$7),COUNTIFS($N$6:$N1002,'Comprovante DEV'!$D$6,$G$6:$G1002,'Comprovante DEV'!$D$7),""))</f>
        <v/>
      </c>
      <c r="N1002" s="48" t="str">
        <f aca="false">IF($F1002="","",IFERROR(VLOOKUP($F1002,Apelidos_Tecnico!$A:$B,2,0),$F1002))</f>
        <v/>
      </c>
    </row>
    <row r="1003" customFormat="false" ht="15" hidden="false" customHeight="false" outlineLevel="0" collapsed="false">
      <c r="A1003" s="25"/>
      <c r="B1003" s="25"/>
      <c r="C1003" s="26"/>
      <c r="D1003" s="25"/>
      <c r="E1003" s="25"/>
      <c r="F1003" s="25"/>
      <c r="G1003" s="27"/>
      <c r="H1003" s="25"/>
      <c r="I1003" s="26"/>
      <c r="J1003" s="48" t="str">
        <f aca="false">IF($N1003="","",IF(AND($N1003=Consulta!$C$3,$G1003&lt;&gt;"",$G1003&gt;=Consulta!$C$4,$G1003&lt;=Consulta!$C$5),COUNTIFS($N$6:$N1003,Consulta!$C$3,$G$6:$G1003,"&gt;="&amp;Consulta!$C$4,$G$6:$G1003,"&lt;="&amp;Consulta!$C$5),""))</f>
        <v/>
      </c>
      <c r="K1003" s="48" t="str">
        <f aca="false">IF($C1003="","",IF(AND($C1003=Consulta!$L$3,$G1003&lt;&gt;"",$G1003&gt;=Consulta!$L$4,$G1003&lt;=Consulta!$L$5),COUNTIFS($C$6:$C1003,Consulta!$L$3,$G$6:$G1003,"&gt;="&amp;Consulta!$L$4,$G$6:$G1003,"&lt;="&amp;Consulta!$L$5),""))</f>
        <v/>
      </c>
      <c r="L1003" s="48" t="str">
        <f aca="false">IF($D1003="","",IF($D1003=Consulta!$S$3,COUNTIF($D$6:$D1003,Consulta!$S$3),""))</f>
        <v/>
      </c>
      <c r="M1003" s="48" t="str">
        <f aca="false">IF($N1003="","",IF(AND($N1003='Comprovante DEV'!$D$6,$G1003='Comprovante DEV'!$D$7),COUNTIFS($N$6:$N1003,'Comprovante DEV'!$D$6,$G$6:$G1003,'Comprovante DEV'!$D$7),""))</f>
        <v/>
      </c>
      <c r="N1003" s="48" t="str">
        <f aca="false">IF($F1003="","",IFERROR(VLOOKUP($F1003,Apelidos_Tecnico!$A:$B,2,0),$F1003))</f>
        <v/>
      </c>
    </row>
    <row r="1004" customFormat="false" ht="15" hidden="false" customHeight="false" outlineLevel="0" collapsed="false">
      <c r="A1004" s="25"/>
      <c r="B1004" s="25"/>
      <c r="C1004" s="26"/>
      <c r="D1004" s="25"/>
      <c r="E1004" s="25"/>
      <c r="F1004" s="25"/>
      <c r="G1004" s="27"/>
      <c r="H1004" s="25"/>
      <c r="I1004" s="26"/>
      <c r="J1004" s="48" t="str">
        <f aca="false">IF($N1004="","",IF(AND($N1004=Consulta!$C$3,$G1004&lt;&gt;"",$G1004&gt;=Consulta!$C$4,$G1004&lt;=Consulta!$C$5),COUNTIFS($N$6:$N1004,Consulta!$C$3,$G$6:$G1004,"&gt;="&amp;Consulta!$C$4,$G$6:$G1004,"&lt;="&amp;Consulta!$C$5),""))</f>
        <v/>
      </c>
      <c r="K1004" s="48" t="str">
        <f aca="false">IF($C1004="","",IF(AND($C1004=Consulta!$L$3,$G1004&lt;&gt;"",$G1004&gt;=Consulta!$L$4,$G1004&lt;=Consulta!$L$5),COUNTIFS($C$6:$C1004,Consulta!$L$3,$G$6:$G1004,"&gt;="&amp;Consulta!$L$4,$G$6:$G1004,"&lt;="&amp;Consulta!$L$5),""))</f>
        <v/>
      </c>
      <c r="L1004" s="48" t="str">
        <f aca="false">IF($D1004="","",IF($D1004=Consulta!$S$3,COUNTIF($D$6:$D1004,Consulta!$S$3),""))</f>
        <v/>
      </c>
      <c r="M1004" s="48" t="str">
        <f aca="false">IF($N1004="","",IF(AND($N1004='Comprovante DEV'!$D$6,$G1004='Comprovante DEV'!$D$7),COUNTIFS($N$6:$N1004,'Comprovante DEV'!$D$6,$G$6:$G1004,'Comprovante DEV'!$D$7),""))</f>
        <v/>
      </c>
      <c r="N1004" s="48" t="str">
        <f aca="false">IF($F1004="","",IFERROR(VLOOKUP($F1004,Apelidos_Tecnico!$A:$B,2,0),$F1004))</f>
        <v/>
      </c>
    </row>
    <row r="1005" customFormat="false" ht="15" hidden="false" customHeight="false" outlineLevel="0" collapsed="false">
      <c r="A1005" s="25"/>
      <c r="B1005" s="25"/>
      <c r="C1005" s="26"/>
      <c r="D1005" s="25"/>
      <c r="E1005" s="25"/>
      <c r="F1005" s="25"/>
      <c r="G1005" s="27"/>
      <c r="H1005" s="25"/>
      <c r="I1005" s="26"/>
      <c r="J1005" s="48" t="str">
        <f aca="false">IF($N1005="","",IF(AND($N1005=Consulta!$C$3,$G1005&lt;&gt;"",$G1005&gt;=Consulta!$C$4,$G1005&lt;=Consulta!$C$5),COUNTIFS($N$6:$N1005,Consulta!$C$3,$G$6:$G1005,"&gt;="&amp;Consulta!$C$4,$G$6:$G1005,"&lt;="&amp;Consulta!$C$5),""))</f>
        <v/>
      </c>
      <c r="K1005" s="48" t="str">
        <f aca="false">IF($C1005="","",IF(AND($C1005=Consulta!$L$3,$G1005&lt;&gt;"",$G1005&gt;=Consulta!$L$4,$G1005&lt;=Consulta!$L$5),COUNTIFS($C$6:$C1005,Consulta!$L$3,$G$6:$G1005,"&gt;="&amp;Consulta!$L$4,$G$6:$G1005,"&lt;="&amp;Consulta!$L$5),""))</f>
        <v/>
      </c>
      <c r="L1005" s="48" t="str">
        <f aca="false">IF($D1005="","",IF($D1005=Consulta!$S$3,COUNTIF($D$6:$D1005,Consulta!$S$3),""))</f>
        <v/>
      </c>
      <c r="M1005" s="48" t="str">
        <f aca="false">IF($N1005="","",IF(AND($N1005='Comprovante DEV'!$D$6,$G1005='Comprovante DEV'!$D$7),COUNTIFS($N$6:$N1005,'Comprovante DEV'!$D$6,$G$6:$G1005,'Comprovante DEV'!$D$7),""))</f>
        <v/>
      </c>
      <c r="N1005" s="48" t="str">
        <f aca="false">IF($F1005="","",IFERROR(VLOOKUP($F1005,Apelidos_Tecnico!$A:$B,2,0),$F1005))</f>
        <v/>
      </c>
    </row>
    <row r="1006" customFormat="false" ht="15" hidden="false" customHeight="false" outlineLevel="0" collapsed="false">
      <c r="A1006" s="25"/>
      <c r="B1006" s="25"/>
      <c r="C1006" s="26"/>
      <c r="D1006" s="25"/>
      <c r="E1006" s="25"/>
      <c r="F1006" s="25"/>
      <c r="G1006" s="27"/>
      <c r="H1006" s="25"/>
      <c r="I1006" s="26"/>
      <c r="J1006" s="48" t="str">
        <f aca="false">IF($N1006="","",IF(AND($N1006=Consulta!$C$3,$G1006&lt;&gt;"",$G1006&gt;=Consulta!$C$4,$G1006&lt;=Consulta!$C$5),COUNTIFS($N$6:$N1006,Consulta!$C$3,$G$6:$G1006,"&gt;="&amp;Consulta!$C$4,$G$6:$G1006,"&lt;="&amp;Consulta!$C$5),""))</f>
        <v/>
      </c>
      <c r="K1006" s="48" t="str">
        <f aca="false">IF($C1006="","",IF(AND($C1006=Consulta!$L$3,$G1006&lt;&gt;"",$G1006&gt;=Consulta!$L$4,$G1006&lt;=Consulta!$L$5),COUNTIFS($C$6:$C1006,Consulta!$L$3,$G$6:$G1006,"&gt;="&amp;Consulta!$L$4,$G$6:$G1006,"&lt;="&amp;Consulta!$L$5),""))</f>
        <v/>
      </c>
      <c r="L1006" s="48" t="str">
        <f aca="false">IF($D1006="","",IF($D1006=Consulta!$S$3,COUNTIF($D$6:$D1006,Consulta!$S$3),""))</f>
        <v/>
      </c>
      <c r="M1006" s="48" t="str">
        <f aca="false">IF($N1006="","",IF(AND($N1006='Comprovante DEV'!$D$6,$G1006='Comprovante DEV'!$D$7),COUNTIFS($N$6:$N1006,'Comprovante DEV'!$D$6,$G$6:$G1006,'Comprovante DEV'!$D$7),""))</f>
        <v/>
      </c>
      <c r="N1006" s="48" t="str">
        <f aca="false">IF($F1006="","",IFERROR(VLOOKUP($F1006,Apelidos_Tecnico!$A:$B,2,0),$F1006))</f>
        <v/>
      </c>
    </row>
    <row r="1007" customFormat="false" ht="15" hidden="false" customHeight="false" outlineLevel="0" collapsed="false">
      <c r="A1007" s="25"/>
      <c r="B1007" s="25"/>
      <c r="C1007" s="26"/>
      <c r="D1007" s="25"/>
      <c r="E1007" s="25"/>
      <c r="F1007" s="25"/>
      <c r="G1007" s="27"/>
      <c r="H1007" s="25"/>
      <c r="I1007" s="26"/>
      <c r="J1007" s="48" t="str">
        <f aca="false">IF($N1007="","",IF(AND($N1007=Consulta!$C$3,$G1007&lt;&gt;"",$G1007&gt;=Consulta!$C$4,$G1007&lt;=Consulta!$C$5),COUNTIFS($N$6:$N1007,Consulta!$C$3,$G$6:$G1007,"&gt;="&amp;Consulta!$C$4,$G$6:$G1007,"&lt;="&amp;Consulta!$C$5),""))</f>
        <v/>
      </c>
      <c r="K1007" s="48" t="str">
        <f aca="false">IF($C1007="","",IF(AND($C1007=Consulta!$L$3,$G1007&lt;&gt;"",$G1007&gt;=Consulta!$L$4,$G1007&lt;=Consulta!$L$5),COUNTIFS($C$6:$C1007,Consulta!$L$3,$G$6:$G1007,"&gt;="&amp;Consulta!$L$4,$G$6:$G1007,"&lt;="&amp;Consulta!$L$5),""))</f>
        <v/>
      </c>
      <c r="L1007" s="48" t="str">
        <f aca="false">IF($D1007="","",IF($D1007=Consulta!$S$3,COUNTIF($D$6:$D1007,Consulta!$S$3),""))</f>
        <v/>
      </c>
      <c r="M1007" s="48" t="str">
        <f aca="false">IF($N1007="","",IF(AND($N1007='Comprovante DEV'!$D$6,$G1007='Comprovante DEV'!$D$7),COUNTIFS($N$6:$N1007,'Comprovante DEV'!$D$6,$G$6:$G1007,'Comprovante DEV'!$D$7),""))</f>
        <v/>
      </c>
      <c r="N1007" s="48" t="str">
        <f aca="false">IF($F1007="","",IFERROR(VLOOKUP($F1007,Apelidos_Tecnico!$A:$B,2,0),$F1007))</f>
        <v/>
      </c>
    </row>
    <row r="1008" customFormat="false" ht="15" hidden="false" customHeight="false" outlineLevel="0" collapsed="false">
      <c r="A1008" s="25"/>
      <c r="B1008" s="25"/>
      <c r="C1008" s="26"/>
      <c r="D1008" s="25"/>
      <c r="E1008" s="25"/>
      <c r="F1008" s="25"/>
      <c r="G1008" s="27"/>
      <c r="H1008" s="25"/>
      <c r="I1008" s="26"/>
      <c r="J1008" s="48" t="str">
        <f aca="false">IF($N1008="","",IF(AND($N1008=Consulta!$C$3,$G1008&lt;&gt;"",$G1008&gt;=Consulta!$C$4,$G1008&lt;=Consulta!$C$5),COUNTIFS($N$6:$N1008,Consulta!$C$3,$G$6:$G1008,"&gt;="&amp;Consulta!$C$4,$G$6:$G1008,"&lt;="&amp;Consulta!$C$5),""))</f>
        <v/>
      </c>
      <c r="K1008" s="48" t="str">
        <f aca="false">IF($C1008="","",IF(AND($C1008=Consulta!$L$3,$G1008&lt;&gt;"",$G1008&gt;=Consulta!$L$4,$G1008&lt;=Consulta!$L$5),COUNTIFS($C$6:$C1008,Consulta!$L$3,$G$6:$G1008,"&gt;="&amp;Consulta!$L$4,$G$6:$G1008,"&lt;="&amp;Consulta!$L$5),""))</f>
        <v/>
      </c>
      <c r="L1008" s="48" t="str">
        <f aca="false">IF($D1008="","",IF($D1008=Consulta!$S$3,COUNTIF($D$6:$D1008,Consulta!$S$3),""))</f>
        <v/>
      </c>
      <c r="M1008" s="48" t="str">
        <f aca="false">IF($N1008="","",IF(AND($N1008='Comprovante DEV'!$D$6,$G1008='Comprovante DEV'!$D$7),COUNTIFS($N$6:$N1008,'Comprovante DEV'!$D$6,$G$6:$G1008,'Comprovante DEV'!$D$7),""))</f>
        <v/>
      </c>
      <c r="N1008" s="48" t="str">
        <f aca="false">IF($F1008="","",IFERROR(VLOOKUP($F1008,Apelidos_Tecnico!$A:$B,2,0),$F1008))</f>
        <v/>
      </c>
    </row>
    <row r="1009" customFormat="false" ht="15" hidden="false" customHeight="false" outlineLevel="0" collapsed="false">
      <c r="A1009" s="25"/>
      <c r="B1009" s="25"/>
      <c r="C1009" s="26"/>
      <c r="D1009" s="25"/>
      <c r="E1009" s="25"/>
      <c r="F1009" s="25"/>
      <c r="G1009" s="27"/>
      <c r="H1009" s="25"/>
      <c r="I1009" s="26"/>
      <c r="J1009" s="48" t="str">
        <f aca="false">IF($N1009="","",IF(AND($N1009=Consulta!$C$3,$G1009&lt;&gt;"",$G1009&gt;=Consulta!$C$4,$G1009&lt;=Consulta!$C$5),COUNTIFS($N$6:$N1009,Consulta!$C$3,$G$6:$G1009,"&gt;="&amp;Consulta!$C$4,$G$6:$G1009,"&lt;="&amp;Consulta!$C$5),""))</f>
        <v/>
      </c>
      <c r="K1009" s="48" t="str">
        <f aca="false">IF($C1009="","",IF(AND($C1009=Consulta!$L$3,$G1009&lt;&gt;"",$G1009&gt;=Consulta!$L$4,$G1009&lt;=Consulta!$L$5),COUNTIFS($C$6:$C1009,Consulta!$L$3,$G$6:$G1009,"&gt;="&amp;Consulta!$L$4,$G$6:$G1009,"&lt;="&amp;Consulta!$L$5),""))</f>
        <v/>
      </c>
      <c r="L1009" s="48" t="str">
        <f aca="false">IF($D1009="","",IF($D1009=Consulta!$S$3,COUNTIF($D$6:$D1009,Consulta!$S$3),""))</f>
        <v/>
      </c>
      <c r="M1009" s="48" t="str">
        <f aca="false">IF($N1009="","",IF(AND($N1009='Comprovante DEV'!$D$6,$G1009='Comprovante DEV'!$D$7),COUNTIFS($N$6:$N1009,'Comprovante DEV'!$D$6,$G$6:$G1009,'Comprovante DEV'!$D$7),""))</f>
        <v/>
      </c>
      <c r="N1009" s="48" t="str">
        <f aca="false">IF($F1009="","",IFERROR(VLOOKUP($F1009,Apelidos_Tecnico!$A:$B,2,0),$F1009))</f>
        <v/>
      </c>
    </row>
    <row r="1010" customFormat="false" ht="15" hidden="false" customHeight="false" outlineLevel="0" collapsed="false">
      <c r="A1010" s="25"/>
      <c r="B1010" s="25"/>
      <c r="C1010" s="26"/>
      <c r="D1010" s="25"/>
      <c r="E1010" s="25"/>
      <c r="F1010" s="25"/>
      <c r="G1010" s="27"/>
      <c r="H1010" s="25"/>
      <c r="I1010" s="26"/>
      <c r="J1010" s="48" t="str">
        <f aca="false">IF($N1010="","",IF(AND($N1010=Consulta!$C$3,$G1010&lt;&gt;"",$G1010&gt;=Consulta!$C$4,$G1010&lt;=Consulta!$C$5),COUNTIFS($N$6:$N1010,Consulta!$C$3,$G$6:$G1010,"&gt;="&amp;Consulta!$C$4,$G$6:$G1010,"&lt;="&amp;Consulta!$C$5),""))</f>
        <v/>
      </c>
      <c r="K1010" s="48" t="str">
        <f aca="false">IF($C1010="","",IF(AND($C1010=Consulta!$L$3,$G1010&lt;&gt;"",$G1010&gt;=Consulta!$L$4,$G1010&lt;=Consulta!$L$5),COUNTIFS($C$6:$C1010,Consulta!$L$3,$G$6:$G1010,"&gt;="&amp;Consulta!$L$4,$G$6:$G1010,"&lt;="&amp;Consulta!$L$5),""))</f>
        <v/>
      </c>
      <c r="L1010" s="48" t="str">
        <f aca="false">IF($D1010="","",IF($D1010=Consulta!$S$3,COUNTIF($D$6:$D1010,Consulta!$S$3),""))</f>
        <v/>
      </c>
      <c r="M1010" s="48" t="str">
        <f aca="false">IF($N1010="","",IF(AND($N1010='Comprovante DEV'!$D$6,$G1010='Comprovante DEV'!$D$7),COUNTIFS($N$6:$N1010,'Comprovante DEV'!$D$6,$G$6:$G1010,'Comprovante DEV'!$D$7),""))</f>
        <v/>
      </c>
      <c r="N1010" s="48" t="str">
        <f aca="false">IF($F1010="","",IFERROR(VLOOKUP($F1010,Apelidos_Tecnico!$A:$B,2,0),$F1010))</f>
        <v/>
      </c>
    </row>
    <row r="1011" customFormat="false" ht="15" hidden="false" customHeight="false" outlineLevel="0" collapsed="false">
      <c r="A1011" s="25"/>
      <c r="B1011" s="25"/>
      <c r="C1011" s="26"/>
      <c r="D1011" s="25"/>
      <c r="E1011" s="25"/>
      <c r="F1011" s="25"/>
      <c r="G1011" s="27"/>
      <c r="H1011" s="25"/>
      <c r="I1011" s="26"/>
      <c r="J1011" s="48" t="str">
        <f aca="false">IF($N1011="","",IF(AND($N1011=Consulta!$C$3,$G1011&lt;&gt;"",$G1011&gt;=Consulta!$C$4,$G1011&lt;=Consulta!$C$5),COUNTIFS($N$6:$N1011,Consulta!$C$3,$G$6:$G1011,"&gt;="&amp;Consulta!$C$4,$G$6:$G1011,"&lt;="&amp;Consulta!$C$5),""))</f>
        <v/>
      </c>
      <c r="K1011" s="48" t="str">
        <f aca="false">IF($C1011="","",IF(AND($C1011=Consulta!$L$3,$G1011&lt;&gt;"",$G1011&gt;=Consulta!$L$4,$G1011&lt;=Consulta!$L$5),COUNTIFS($C$6:$C1011,Consulta!$L$3,$G$6:$G1011,"&gt;="&amp;Consulta!$L$4,$G$6:$G1011,"&lt;="&amp;Consulta!$L$5),""))</f>
        <v/>
      </c>
      <c r="L1011" s="48" t="str">
        <f aca="false">IF($D1011="","",IF($D1011=Consulta!$S$3,COUNTIF($D$6:$D1011,Consulta!$S$3),""))</f>
        <v/>
      </c>
      <c r="M1011" s="48" t="str">
        <f aca="false">IF($N1011="","",IF(AND($N1011='Comprovante DEV'!$D$6,$G1011='Comprovante DEV'!$D$7),COUNTIFS($N$6:$N1011,'Comprovante DEV'!$D$6,$G$6:$G1011,'Comprovante DEV'!$D$7),""))</f>
        <v/>
      </c>
      <c r="N1011" s="48" t="str">
        <f aca="false">IF($F1011="","",IFERROR(VLOOKUP($F1011,Apelidos_Tecnico!$A:$B,2,0),$F1011))</f>
        <v/>
      </c>
    </row>
    <row r="1012" customFormat="false" ht="15" hidden="false" customHeight="false" outlineLevel="0" collapsed="false">
      <c r="A1012" s="25"/>
      <c r="B1012" s="25"/>
      <c r="C1012" s="26"/>
      <c r="D1012" s="25"/>
      <c r="E1012" s="25"/>
      <c r="F1012" s="25"/>
      <c r="G1012" s="27"/>
      <c r="H1012" s="25"/>
      <c r="I1012" s="26"/>
      <c r="J1012" s="48" t="str">
        <f aca="false">IF($N1012="","",IF(AND($N1012=Consulta!$C$3,$G1012&lt;&gt;"",$G1012&gt;=Consulta!$C$4,$G1012&lt;=Consulta!$C$5),COUNTIFS($N$6:$N1012,Consulta!$C$3,$G$6:$G1012,"&gt;="&amp;Consulta!$C$4,$G$6:$G1012,"&lt;="&amp;Consulta!$C$5),""))</f>
        <v/>
      </c>
      <c r="K1012" s="48" t="str">
        <f aca="false">IF($C1012="","",IF(AND($C1012=Consulta!$L$3,$G1012&lt;&gt;"",$G1012&gt;=Consulta!$L$4,$G1012&lt;=Consulta!$L$5),COUNTIFS($C$6:$C1012,Consulta!$L$3,$G$6:$G1012,"&gt;="&amp;Consulta!$L$4,$G$6:$G1012,"&lt;="&amp;Consulta!$L$5),""))</f>
        <v/>
      </c>
      <c r="L1012" s="48" t="str">
        <f aca="false">IF($D1012="","",IF($D1012=Consulta!$S$3,COUNTIF($D$6:$D1012,Consulta!$S$3),""))</f>
        <v/>
      </c>
      <c r="M1012" s="48" t="str">
        <f aca="false">IF($N1012="","",IF(AND($N1012='Comprovante DEV'!$D$6,$G1012='Comprovante DEV'!$D$7),COUNTIFS($N$6:$N1012,'Comprovante DEV'!$D$6,$G$6:$G1012,'Comprovante DEV'!$D$7),""))</f>
        <v/>
      </c>
      <c r="N1012" s="48" t="str">
        <f aca="false">IF($F1012="","",IFERROR(VLOOKUP($F1012,Apelidos_Tecnico!$A:$B,2,0),$F1012))</f>
        <v/>
      </c>
    </row>
    <row r="1013" customFormat="false" ht="15" hidden="false" customHeight="false" outlineLevel="0" collapsed="false">
      <c r="A1013" s="25"/>
      <c r="B1013" s="25"/>
      <c r="C1013" s="26"/>
      <c r="D1013" s="25"/>
      <c r="E1013" s="25"/>
      <c r="F1013" s="25"/>
      <c r="G1013" s="27"/>
      <c r="H1013" s="25"/>
      <c r="I1013" s="26"/>
      <c r="J1013" s="48" t="str">
        <f aca="false">IF($N1013="","",IF(AND($N1013=Consulta!$C$3,$G1013&lt;&gt;"",$G1013&gt;=Consulta!$C$4,$G1013&lt;=Consulta!$C$5),COUNTIFS($N$6:$N1013,Consulta!$C$3,$G$6:$G1013,"&gt;="&amp;Consulta!$C$4,$G$6:$G1013,"&lt;="&amp;Consulta!$C$5),""))</f>
        <v/>
      </c>
      <c r="K1013" s="48" t="str">
        <f aca="false">IF($C1013="","",IF(AND($C1013=Consulta!$L$3,$G1013&lt;&gt;"",$G1013&gt;=Consulta!$L$4,$G1013&lt;=Consulta!$L$5),COUNTIFS($C$6:$C1013,Consulta!$L$3,$G$6:$G1013,"&gt;="&amp;Consulta!$L$4,$G$6:$G1013,"&lt;="&amp;Consulta!$L$5),""))</f>
        <v/>
      </c>
      <c r="L1013" s="48" t="str">
        <f aca="false">IF($D1013="","",IF($D1013=Consulta!$S$3,COUNTIF($D$6:$D1013,Consulta!$S$3),""))</f>
        <v/>
      </c>
      <c r="M1013" s="48" t="str">
        <f aca="false">IF($N1013="","",IF(AND($N1013='Comprovante DEV'!$D$6,$G1013='Comprovante DEV'!$D$7),COUNTIFS($N$6:$N1013,'Comprovante DEV'!$D$6,$G$6:$G1013,'Comprovante DEV'!$D$7),""))</f>
        <v/>
      </c>
      <c r="N1013" s="48" t="str">
        <f aca="false">IF($F1013="","",IFERROR(VLOOKUP($F1013,Apelidos_Tecnico!$A:$B,2,0),$F1013))</f>
        <v/>
      </c>
    </row>
    <row r="1014" customFormat="false" ht="15" hidden="false" customHeight="false" outlineLevel="0" collapsed="false">
      <c r="A1014" s="25"/>
      <c r="B1014" s="25"/>
      <c r="C1014" s="26"/>
      <c r="D1014" s="25"/>
      <c r="E1014" s="25"/>
      <c r="F1014" s="25"/>
      <c r="G1014" s="27"/>
      <c r="H1014" s="25"/>
      <c r="I1014" s="26"/>
      <c r="J1014" s="48" t="str">
        <f aca="false">IF($N1014="","",IF(AND($N1014=Consulta!$C$3,$G1014&lt;&gt;"",$G1014&gt;=Consulta!$C$4,$G1014&lt;=Consulta!$C$5),COUNTIFS($N$6:$N1014,Consulta!$C$3,$G$6:$G1014,"&gt;="&amp;Consulta!$C$4,$G$6:$G1014,"&lt;="&amp;Consulta!$C$5),""))</f>
        <v/>
      </c>
      <c r="K1014" s="48" t="str">
        <f aca="false">IF($C1014="","",IF(AND($C1014=Consulta!$L$3,$G1014&lt;&gt;"",$G1014&gt;=Consulta!$L$4,$G1014&lt;=Consulta!$L$5),COUNTIFS($C$6:$C1014,Consulta!$L$3,$G$6:$G1014,"&gt;="&amp;Consulta!$L$4,$G$6:$G1014,"&lt;="&amp;Consulta!$L$5),""))</f>
        <v/>
      </c>
      <c r="L1014" s="48" t="str">
        <f aca="false">IF($D1014="","",IF($D1014=Consulta!$S$3,COUNTIF($D$6:$D1014,Consulta!$S$3),""))</f>
        <v/>
      </c>
      <c r="M1014" s="48" t="str">
        <f aca="false">IF($N1014="","",IF(AND($N1014='Comprovante DEV'!$D$6,$G1014='Comprovante DEV'!$D$7),COUNTIFS($N$6:$N1014,'Comprovante DEV'!$D$6,$G$6:$G1014,'Comprovante DEV'!$D$7),""))</f>
        <v/>
      </c>
      <c r="N1014" s="48" t="str">
        <f aca="false">IF($F1014="","",IFERROR(VLOOKUP($F1014,Apelidos_Tecnico!$A:$B,2,0),$F1014))</f>
        <v/>
      </c>
    </row>
    <row r="1015" customFormat="false" ht="15" hidden="false" customHeight="false" outlineLevel="0" collapsed="false">
      <c r="A1015" s="25"/>
      <c r="B1015" s="25"/>
      <c r="C1015" s="26"/>
      <c r="D1015" s="25"/>
      <c r="E1015" s="25"/>
      <c r="F1015" s="25"/>
      <c r="G1015" s="27"/>
      <c r="H1015" s="25"/>
      <c r="I1015" s="26"/>
      <c r="J1015" s="48" t="str">
        <f aca="false">IF($N1015="","",IF(AND($N1015=Consulta!$C$3,$G1015&lt;&gt;"",$G1015&gt;=Consulta!$C$4,$G1015&lt;=Consulta!$C$5),COUNTIFS($N$6:$N1015,Consulta!$C$3,$G$6:$G1015,"&gt;="&amp;Consulta!$C$4,$G$6:$G1015,"&lt;="&amp;Consulta!$C$5),""))</f>
        <v/>
      </c>
      <c r="K1015" s="48" t="str">
        <f aca="false">IF($C1015="","",IF(AND($C1015=Consulta!$L$3,$G1015&lt;&gt;"",$G1015&gt;=Consulta!$L$4,$G1015&lt;=Consulta!$L$5),COUNTIFS($C$6:$C1015,Consulta!$L$3,$G$6:$G1015,"&gt;="&amp;Consulta!$L$4,$G$6:$G1015,"&lt;="&amp;Consulta!$L$5),""))</f>
        <v/>
      </c>
      <c r="L1015" s="48" t="str">
        <f aca="false">IF($D1015="","",IF($D1015=Consulta!$S$3,COUNTIF($D$6:$D1015,Consulta!$S$3),""))</f>
        <v/>
      </c>
      <c r="M1015" s="48" t="str">
        <f aca="false">IF($N1015="","",IF(AND($N1015='Comprovante DEV'!$D$6,$G1015='Comprovante DEV'!$D$7),COUNTIFS($N$6:$N1015,'Comprovante DEV'!$D$6,$G$6:$G1015,'Comprovante DEV'!$D$7),""))</f>
        <v/>
      </c>
      <c r="N1015" s="48" t="str">
        <f aca="false">IF($F1015="","",IFERROR(VLOOKUP($F1015,Apelidos_Tecnico!$A:$B,2,0),$F1015))</f>
        <v/>
      </c>
    </row>
    <row r="1016" customFormat="false" ht="15" hidden="false" customHeight="false" outlineLevel="0" collapsed="false">
      <c r="A1016" s="25"/>
      <c r="B1016" s="25"/>
      <c r="C1016" s="26"/>
      <c r="D1016" s="25"/>
      <c r="E1016" s="25"/>
      <c r="F1016" s="25"/>
      <c r="G1016" s="27"/>
      <c r="H1016" s="25"/>
      <c r="I1016" s="26"/>
      <c r="J1016" s="48" t="str">
        <f aca="false">IF($N1016="","",IF(AND($N1016=Consulta!$C$3,$G1016&lt;&gt;"",$G1016&gt;=Consulta!$C$4,$G1016&lt;=Consulta!$C$5),COUNTIFS($N$6:$N1016,Consulta!$C$3,$G$6:$G1016,"&gt;="&amp;Consulta!$C$4,$G$6:$G1016,"&lt;="&amp;Consulta!$C$5),""))</f>
        <v/>
      </c>
      <c r="K1016" s="48" t="str">
        <f aca="false">IF($C1016="","",IF(AND($C1016=Consulta!$L$3,$G1016&lt;&gt;"",$G1016&gt;=Consulta!$L$4,$G1016&lt;=Consulta!$L$5),COUNTIFS($C$6:$C1016,Consulta!$L$3,$G$6:$G1016,"&gt;="&amp;Consulta!$L$4,$G$6:$G1016,"&lt;="&amp;Consulta!$L$5),""))</f>
        <v/>
      </c>
      <c r="L1016" s="48" t="str">
        <f aca="false">IF($D1016="","",IF($D1016=Consulta!$S$3,COUNTIF($D$6:$D1016,Consulta!$S$3),""))</f>
        <v/>
      </c>
      <c r="M1016" s="48" t="str">
        <f aca="false">IF($N1016="","",IF(AND($N1016='Comprovante DEV'!$D$6,$G1016='Comprovante DEV'!$D$7),COUNTIFS($N$6:$N1016,'Comprovante DEV'!$D$6,$G$6:$G1016,'Comprovante DEV'!$D$7),""))</f>
        <v/>
      </c>
      <c r="N1016" s="48" t="str">
        <f aca="false">IF($F1016="","",IFERROR(VLOOKUP($F1016,Apelidos_Tecnico!$A:$B,2,0),$F1016))</f>
        <v/>
      </c>
    </row>
    <row r="1017" customFormat="false" ht="15" hidden="false" customHeight="false" outlineLevel="0" collapsed="false">
      <c r="A1017" s="25"/>
      <c r="B1017" s="25"/>
      <c r="C1017" s="26"/>
      <c r="D1017" s="25"/>
      <c r="E1017" s="25"/>
      <c r="F1017" s="25"/>
      <c r="G1017" s="27"/>
      <c r="H1017" s="25"/>
      <c r="I1017" s="26"/>
      <c r="J1017" s="48" t="str">
        <f aca="false">IF($N1017="","",IF(AND($N1017=Consulta!$C$3,$G1017&lt;&gt;"",$G1017&gt;=Consulta!$C$4,$G1017&lt;=Consulta!$C$5),COUNTIFS($N$6:$N1017,Consulta!$C$3,$G$6:$G1017,"&gt;="&amp;Consulta!$C$4,$G$6:$G1017,"&lt;="&amp;Consulta!$C$5),""))</f>
        <v/>
      </c>
      <c r="K1017" s="48" t="str">
        <f aca="false">IF($C1017="","",IF(AND($C1017=Consulta!$L$3,$G1017&lt;&gt;"",$G1017&gt;=Consulta!$L$4,$G1017&lt;=Consulta!$L$5),COUNTIFS($C$6:$C1017,Consulta!$L$3,$G$6:$G1017,"&gt;="&amp;Consulta!$L$4,$G$6:$G1017,"&lt;="&amp;Consulta!$L$5),""))</f>
        <v/>
      </c>
      <c r="L1017" s="48" t="str">
        <f aca="false">IF($D1017="","",IF($D1017=Consulta!$S$3,COUNTIF($D$6:$D1017,Consulta!$S$3),""))</f>
        <v/>
      </c>
      <c r="M1017" s="48" t="str">
        <f aca="false">IF($N1017="","",IF(AND($N1017='Comprovante DEV'!$D$6,$G1017='Comprovante DEV'!$D$7),COUNTIFS($N$6:$N1017,'Comprovante DEV'!$D$6,$G$6:$G1017,'Comprovante DEV'!$D$7),""))</f>
        <v/>
      </c>
      <c r="N1017" s="48" t="str">
        <f aca="false">IF($F1017="","",IFERROR(VLOOKUP($F1017,Apelidos_Tecnico!$A:$B,2,0),$F1017))</f>
        <v/>
      </c>
    </row>
    <row r="1018" customFormat="false" ht="15" hidden="false" customHeight="false" outlineLevel="0" collapsed="false">
      <c r="A1018" s="25"/>
      <c r="B1018" s="25"/>
      <c r="C1018" s="26"/>
      <c r="D1018" s="25"/>
      <c r="E1018" s="25"/>
      <c r="F1018" s="25"/>
      <c r="G1018" s="27"/>
      <c r="H1018" s="25"/>
      <c r="I1018" s="26"/>
      <c r="J1018" s="48" t="str">
        <f aca="false">IF($N1018="","",IF(AND($N1018=Consulta!$C$3,$G1018&lt;&gt;"",$G1018&gt;=Consulta!$C$4,$G1018&lt;=Consulta!$C$5),COUNTIFS($N$6:$N1018,Consulta!$C$3,$G$6:$G1018,"&gt;="&amp;Consulta!$C$4,$G$6:$G1018,"&lt;="&amp;Consulta!$C$5),""))</f>
        <v/>
      </c>
      <c r="K1018" s="48" t="str">
        <f aca="false">IF($C1018="","",IF(AND($C1018=Consulta!$L$3,$G1018&lt;&gt;"",$G1018&gt;=Consulta!$L$4,$G1018&lt;=Consulta!$L$5),COUNTIFS($C$6:$C1018,Consulta!$L$3,$G$6:$G1018,"&gt;="&amp;Consulta!$L$4,$G$6:$G1018,"&lt;="&amp;Consulta!$L$5),""))</f>
        <v/>
      </c>
      <c r="L1018" s="48" t="str">
        <f aca="false">IF($D1018="","",IF($D1018=Consulta!$S$3,COUNTIF($D$6:$D1018,Consulta!$S$3),""))</f>
        <v/>
      </c>
      <c r="M1018" s="48" t="str">
        <f aca="false">IF($N1018="","",IF(AND($N1018='Comprovante DEV'!$D$6,$G1018='Comprovante DEV'!$D$7),COUNTIFS($N$6:$N1018,'Comprovante DEV'!$D$6,$G$6:$G1018,'Comprovante DEV'!$D$7),""))</f>
        <v/>
      </c>
      <c r="N1018" s="48" t="str">
        <f aca="false">IF($F1018="","",IFERROR(VLOOKUP($F1018,Apelidos_Tecnico!$A:$B,2,0),$F1018))</f>
        <v/>
      </c>
    </row>
    <row r="1019" customFormat="false" ht="15" hidden="false" customHeight="false" outlineLevel="0" collapsed="false">
      <c r="A1019" s="25"/>
      <c r="B1019" s="25"/>
      <c r="C1019" s="26"/>
      <c r="D1019" s="25"/>
      <c r="E1019" s="25"/>
      <c r="F1019" s="25"/>
      <c r="G1019" s="27"/>
      <c r="H1019" s="25"/>
      <c r="I1019" s="26"/>
      <c r="J1019" s="48" t="str">
        <f aca="false">IF($N1019="","",IF(AND($N1019=Consulta!$C$3,$G1019&lt;&gt;"",$G1019&gt;=Consulta!$C$4,$G1019&lt;=Consulta!$C$5),COUNTIFS($N$6:$N1019,Consulta!$C$3,$G$6:$G1019,"&gt;="&amp;Consulta!$C$4,$G$6:$G1019,"&lt;="&amp;Consulta!$C$5),""))</f>
        <v/>
      </c>
      <c r="K1019" s="48" t="str">
        <f aca="false">IF($C1019="","",IF(AND($C1019=Consulta!$L$3,$G1019&lt;&gt;"",$G1019&gt;=Consulta!$L$4,$G1019&lt;=Consulta!$L$5),COUNTIFS($C$6:$C1019,Consulta!$L$3,$G$6:$G1019,"&gt;="&amp;Consulta!$L$4,$G$6:$G1019,"&lt;="&amp;Consulta!$L$5),""))</f>
        <v/>
      </c>
      <c r="L1019" s="48" t="str">
        <f aca="false">IF($D1019="","",IF($D1019=Consulta!$S$3,COUNTIF($D$6:$D1019,Consulta!$S$3),""))</f>
        <v/>
      </c>
      <c r="M1019" s="48" t="str">
        <f aca="false">IF($N1019="","",IF(AND($N1019='Comprovante DEV'!$D$6,$G1019='Comprovante DEV'!$D$7),COUNTIFS($N$6:$N1019,'Comprovante DEV'!$D$6,$G$6:$G1019,'Comprovante DEV'!$D$7),""))</f>
        <v/>
      </c>
      <c r="N1019" s="48" t="str">
        <f aca="false">IF($F1019="","",IFERROR(VLOOKUP($F1019,Apelidos_Tecnico!$A:$B,2,0),$F1019))</f>
        <v/>
      </c>
    </row>
    <row r="1020" customFormat="false" ht="15" hidden="false" customHeight="false" outlineLevel="0" collapsed="false">
      <c r="A1020" s="25"/>
      <c r="B1020" s="25"/>
      <c r="C1020" s="26"/>
      <c r="D1020" s="25"/>
      <c r="E1020" s="25"/>
      <c r="F1020" s="25"/>
      <c r="G1020" s="27"/>
      <c r="H1020" s="25"/>
      <c r="I1020" s="26"/>
      <c r="J1020" s="48" t="str">
        <f aca="false">IF($N1020="","",IF(AND($N1020=Consulta!$C$3,$G1020&lt;&gt;"",$G1020&gt;=Consulta!$C$4,$G1020&lt;=Consulta!$C$5),COUNTIFS($N$6:$N1020,Consulta!$C$3,$G$6:$G1020,"&gt;="&amp;Consulta!$C$4,$G$6:$G1020,"&lt;="&amp;Consulta!$C$5),""))</f>
        <v/>
      </c>
      <c r="K1020" s="48" t="str">
        <f aca="false">IF($C1020="","",IF(AND($C1020=Consulta!$L$3,$G1020&lt;&gt;"",$G1020&gt;=Consulta!$L$4,$G1020&lt;=Consulta!$L$5),COUNTIFS($C$6:$C1020,Consulta!$L$3,$G$6:$G1020,"&gt;="&amp;Consulta!$L$4,$G$6:$G1020,"&lt;="&amp;Consulta!$L$5),""))</f>
        <v/>
      </c>
      <c r="L1020" s="48" t="str">
        <f aca="false">IF($D1020="","",IF($D1020=Consulta!$S$3,COUNTIF($D$6:$D1020,Consulta!$S$3),""))</f>
        <v/>
      </c>
      <c r="M1020" s="48" t="str">
        <f aca="false">IF($N1020="","",IF(AND($N1020='Comprovante DEV'!$D$6,$G1020='Comprovante DEV'!$D$7),COUNTIFS($N$6:$N1020,'Comprovante DEV'!$D$6,$G$6:$G1020,'Comprovante DEV'!$D$7),""))</f>
        <v/>
      </c>
      <c r="N1020" s="48" t="str">
        <f aca="false">IF($F1020="","",IFERROR(VLOOKUP($F1020,Apelidos_Tecnico!$A:$B,2,0),$F1020))</f>
        <v/>
      </c>
    </row>
    <row r="1021" customFormat="false" ht="15" hidden="false" customHeight="false" outlineLevel="0" collapsed="false">
      <c r="A1021" s="25"/>
      <c r="B1021" s="25"/>
      <c r="C1021" s="26"/>
      <c r="D1021" s="25"/>
      <c r="E1021" s="25"/>
      <c r="F1021" s="25"/>
      <c r="G1021" s="27"/>
      <c r="H1021" s="25"/>
      <c r="I1021" s="26"/>
      <c r="J1021" s="48" t="str">
        <f aca="false">IF($N1021="","",IF(AND($N1021=Consulta!$C$3,$G1021&lt;&gt;"",$G1021&gt;=Consulta!$C$4,$G1021&lt;=Consulta!$C$5),COUNTIFS($N$6:$N1021,Consulta!$C$3,$G$6:$G1021,"&gt;="&amp;Consulta!$C$4,$G$6:$G1021,"&lt;="&amp;Consulta!$C$5),""))</f>
        <v/>
      </c>
      <c r="K1021" s="48" t="str">
        <f aca="false">IF($C1021="","",IF(AND($C1021=Consulta!$L$3,$G1021&lt;&gt;"",$G1021&gt;=Consulta!$L$4,$G1021&lt;=Consulta!$L$5),COUNTIFS($C$6:$C1021,Consulta!$L$3,$G$6:$G1021,"&gt;="&amp;Consulta!$L$4,$G$6:$G1021,"&lt;="&amp;Consulta!$L$5),""))</f>
        <v/>
      </c>
      <c r="L1021" s="48" t="str">
        <f aca="false">IF($D1021="","",IF($D1021=Consulta!$S$3,COUNTIF($D$6:$D1021,Consulta!$S$3),""))</f>
        <v/>
      </c>
      <c r="M1021" s="48" t="str">
        <f aca="false">IF($N1021="","",IF(AND($N1021='Comprovante DEV'!$D$6,$G1021='Comprovante DEV'!$D$7),COUNTIFS($N$6:$N1021,'Comprovante DEV'!$D$6,$G$6:$G1021,'Comprovante DEV'!$D$7),""))</f>
        <v/>
      </c>
      <c r="N1021" s="48" t="str">
        <f aca="false">IF($F1021="","",IFERROR(VLOOKUP($F1021,Apelidos_Tecnico!$A:$B,2,0),$F1021))</f>
        <v/>
      </c>
    </row>
    <row r="1022" customFormat="false" ht="15" hidden="false" customHeight="false" outlineLevel="0" collapsed="false">
      <c r="A1022" s="25"/>
      <c r="B1022" s="25"/>
      <c r="C1022" s="26"/>
      <c r="D1022" s="25"/>
      <c r="E1022" s="25"/>
      <c r="F1022" s="25"/>
      <c r="G1022" s="27"/>
      <c r="H1022" s="25"/>
      <c r="I1022" s="26"/>
      <c r="J1022" s="48" t="str">
        <f aca="false">IF($N1022="","",IF(AND($N1022=Consulta!$C$3,$G1022&lt;&gt;"",$G1022&gt;=Consulta!$C$4,$G1022&lt;=Consulta!$C$5),COUNTIFS($N$6:$N1022,Consulta!$C$3,$G$6:$G1022,"&gt;="&amp;Consulta!$C$4,$G$6:$G1022,"&lt;="&amp;Consulta!$C$5),""))</f>
        <v/>
      </c>
      <c r="K1022" s="48" t="str">
        <f aca="false">IF($C1022="","",IF(AND($C1022=Consulta!$L$3,$G1022&lt;&gt;"",$G1022&gt;=Consulta!$L$4,$G1022&lt;=Consulta!$L$5),COUNTIFS($C$6:$C1022,Consulta!$L$3,$G$6:$G1022,"&gt;="&amp;Consulta!$L$4,$G$6:$G1022,"&lt;="&amp;Consulta!$L$5),""))</f>
        <v/>
      </c>
      <c r="L1022" s="48" t="str">
        <f aca="false">IF($D1022="","",IF($D1022=Consulta!$S$3,COUNTIF($D$6:$D1022,Consulta!$S$3),""))</f>
        <v/>
      </c>
      <c r="M1022" s="48" t="str">
        <f aca="false">IF($N1022="","",IF(AND($N1022='Comprovante DEV'!$D$6,$G1022='Comprovante DEV'!$D$7),COUNTIFS($N$6:$N1022,'Comprovante DEV'!$D$6,$G$6:$G1022,'Comprovante DEV'!$D$7),""))</f>
        <v/>
      </c>
      <c r="N1022" s="48" t="str">
        <f aca="false">IF($F1022="","",IFERROR(VLOOKUP($F1022,Apelidos_Tecnico!$A:$B,2,0),$F1022))</f>
        <v/>
      </c>
    </row>
    <row r="1023" customFormat="false" ht="15" hidden="false" customHeight="false" outlineLevel="0" collapsed="false">
      <c r="A1023" s="25"/>
      <c r="B1023" s="25"/>
      <c r="C1023" s="26"/>
      <c r="D1023" s="25"/>
      <c r="E1023" s="25"/>
      <c r="F1023" s="25"/>
      <c r="G1023" s="27"/>
      <c r="H1023" s="25"/>
      <c r="I1023" s="26"/>
      <c r="J1023" s="48" t="str">
        <f aca="false">IF($N1023="","",IF(AND($N1023=Consulta!$C$3,$G1023&lt;&gt;"",$G1023&gt;=Consulta!$C$4,$G1023&lt;=Consulta!$C$5),COUNTIFS($N$6:$N1023,Consulta!$C$3,$G$6:$G1023,"&gt;="&amp;Consulta!$C$4,$G$6:$G1023,"&lt;="&amp;Consulta!$C$5),""))</f>
        <v/>
      </c>
      <c r="K1023" s="48" t="str">
        <f aca="false">IF($C1023="","",IF(AND($C1023=Consulta!$L$3,$G1023&lt;&gt;"",$G1023&gt;=Consulta!$L$4,$G1023&lt;=Consulta!$L$5),COUNTIFS($C$6:$C1023,Consulta!$L$3,$G$6:$G1023,"&gt;="&amp;Consulta!$L$4,$G$6:$G1023,"&lt;="&amp;Consulta!$L$5),""))</f>
        <v/>
      </c>
      <c r="L1023" s="48" t="str">
        <f aca="false">IF($D1023="","",IF($D1023=Consulta!$S$3,COUNTIF($D$6:$D1023,Consulta!$S$3),""))</f>
        <v/>
      </c>
      <c r="M1023" s="48" t="str">
        <f aca="false">IF($N1023="","",IF(AND($N1023='Comprovante DEV'!$D$6,$G1023='Comprovante DEV'!$D$7),COUNTIFS($N$6:$N1023,'Comprovante DEV'!$D$6,$G$6:$G1023,'Comprovante DEV'!$D$7),""))</f>
        <v/>
      </c>
      <c r="N1023" s="48" t="str">
        <f aca="false">IF($F1023="","",IFERROR(VLOOKUP($F1023,Apelidos_Tecnico!$A:$B,2,0),$F1023))</f>
        <v/>
      </c>
    </row>
    <row r="1024" customFormat="false" ht="15" hidden="false" customHeight="false" outlineLevel="0" collapsed="false">
      <c r="A1024" s="25"/>
      <c r="B1024" s="25"/>
      <c r="C1024" s="26"/>
      <c r="D1024" s="25"/>
      <c r="E1024" s="25"/>
      <c r="F1024" s="25"/>
      <c r="G1024" s="27"/>
      <c r="H1024" s="25"/>
      <c r="I1024" s="26"/>
      <c r="J1024" s="48" t="str">
        <f aca="false">IF($N1024="","",IF(AND($N1024=Consulta!$C$3,$G1024&lt;&gt;"",$G1024&gt;=Consulta!$C$4,$G1024&lt;=Consulta!$C$5),COUNTIFS($N$6:$N1024,Consulta!$C$3,$G$6:$G1024,"&gt;="&amp;Consulta!$C$4,$G$6:$G1024,"&lt;="&amp;Consulta!$C$5),""))</f>
        <v/>
      </c>
      <c r="K1024" s="48" t="str">
        <f aca="false">IF($C1024="","",IF(AND($C1024=Consulta!$L$3,$G1024&lt;&gt;"",$G1024&gt;=Consulta!$L$4,$G1024&lt;=Consulta!$L$5),COUNTIFS($C$6:$C1024,Consulta!$L$3,$G$6:$G1024,"&gt;="&amp;Consulta!$L$4,$G$6:$G1024,"&lt;="&amp;Consulta!$L$5),""))</f>
        <v/>
      </c>
      <c r="L1024" s="48" t="str">
        <f aca="false">IF($D1024="","",IF($D1024=Consulta!$S$3,COUNTIF($D$6:$D1024,Consulta!$S$3),""))</f>
        <v/>
      </c>
      <c r="M1024" s="48" t="str">
        <f aca="false">IF($N1024="","",IF(AND($N1024='Comprovante DEV'!$D$6,$G1024='Comprovante DEV'!$D$7),COUNTIFS($N$6:$N1024,'Comprovante DEV'!$D$6,$G$6:$G1024,'Comprovante DEV'!$D$7),""))</f>
        <v/>
      </c>
      <c r="N1024" s="48" t="str">
        <f aca="false">IF($F1024="","",IFERROR(VLOOKUP($F1024,Apelidos_Tecnico!$A:$B,2,0),$F1024))</f>
        <v/>
      </c>
    </row>
    <row r="1025" customFormat="false" ht="15" hidden="false" customHeight="false" outlineLevel="0" collapsed="false">
      <c r="A1025" s="25"/>
      <c r="B1025" s="25"/>
      <c r="C1025" s="26"/>
      <c r="D1025" s="25"/>
      <c r="E1025" s="25"/>
      <c r="F1025" s="25"/>
      <c r="G1025" s="27"/>
      <c r="H1025" s="25"/>
      <c r="I1025" s="26"/>
      <c r="J1025" s="48" t="str">
        <f aca="false">IF($N1025="","",IF(AND($N1025=Consulta!$C$3,$G1025&lt;&gt;"",$G1025&gt;=Consulta!$C$4,$G1025&lt;=Consulta!$C$5),COUNTIFS($N$6:$N1025,Consulta!$C$3,$G$6:$G1025,"&gt;="&amp;Consulta!$C$4,$G$6:$G1025,"&lt;="&amp;Consulta!$C$5),""))</f>
        <v/>
      </c>
      <c r="K1025" s="48" t="str">
        <f aca="false">IF($C1025="","",IF(AND($C1025=Consulta!$L$3,$G1025&lt;&gt;"",$G1025&gt;=Consulta!$L$4,$G1025&lt;=Consulta!$L$5),COUNTIFS($C$6:$C1025,Consulta!$L$3,$G$6:$G1025,"&gt;="&amp;Consulta!$L$4,$G$6:$G1025,"&lt;="&amp;Consulta!$L$5),""))</f>
        <v/>
      </c>
      <c r="L1025" s="48" t="str">
        <f aca="false">IF($D1025="","",IF($D1025=Consulta!$S$3,COUNTIF($D$6:$D1025,Consulta!$S$3),""))</f>
        <v/>
      </c>
      <c r="M1025" s="48" t="str">
        <f aca="false">IF($N1025="","",IF(AND($N1025='Comprovante DEV'!$D$6,$G1025='Comprovante DEV'!$D$7),COUNTIFS($N$6:$N1025,'Comprovante DEV'!$D$6,$G$6:$G1025,'Comprovante DEV'!$D$7),""))</f>
        <v/>
      </c>
      <c r="N1025" s="48" t="str">
        <f aca="false">IF($F1025="","",IFERROR(VLOOKUP($F1025,Apelidos_Tecnico!$A:$B,2,0),$F1025))</f>
        <v/>
      </c>
    </row>
    <row r="1026" customFormat="false" ht="15" hidden="false" customHeight="false" outlineLevel="0" collapsed="false">
      <c r="A1026" s="25"/>
      <c r="B1026" s="25"/>
      <c r="C1026" s="26"/>
      <c r="D1026" s="25"/>
      <c r="E1026" s="25"/>
      <c r="F1026" s="25"/>
      <c r="G1026" s="27"/>
      <c r="H1026" s="25"/>
      <c r="I1026" s="26"/>
      <c r="J1026" s="48" t="str">
        <f aca="false">IF($N1026="","",IF(AND($N1026=Consulta!$C$3,$G1026&lt;&gt;"",$G1026&gt;=Consulta!$C$4,$G1026&lt;=Consulta!$C$5),COUNTIFS($N$6:$N1026,Consulta!$C$3,$G$6:$G1026,"&gt;="&amp;Consulta!$C$4,$G$6:$G1026,"&lt;="&amp;Consulta!$C$5),""))</f>
        <v/>
      </c>
      <c r="K1026" s="48" t="str">
        <f aca="false">IF($C1026="","",IF(AND($C1026=Consulta!$L$3,$G1026&lt;&gt;"",$G1026&gt;=Consulta!$L$4,$G1026&lt;=Consulta!$L$5),COUNTIFS($C$6:$C1026,Consulta!$L$3,$G$6:$G1026,"&gt;="&amp;Consulta!$L$4,$G$6:$G1026,"&lt;="&amp;Consulta!$L$5),""))</f>
        <v/>
      </c>
      <c r="L1026" s="48" t="str">
        <f aca="false">IF($D1026="","",IF($D1026=Consulta!$S$3,COUNTIF($D$6:$D1026,Consulta!$S$3),""))</f>
        <v/>
      </c>
      <c r="M1026" s="48" t="str">
        <f aca="false">IF($N1026="","",IF(AND($N1026='Comprovante DEV'!$D$6,$G1026='Comprovante DEV'!$D$7),COUNTIFS($N$6:$N1026,'Comprovante DEV'!$D$6,$G$6:$G1026,'Comprovante DEV'!$D$7),""))</f>
        <v/>
      </c>
      <c r="N1026" s="48" t="str">
        <f aca="false">IF($F1026="","",IFERROR(VLOOKUP($F1026,Apelidos_Tecnico!$A:$B,2,0),$F1026))</f>
        <v/>
      </c>
    </row>
    <row r="1027" customFormat="false" ht="15" hidden="false" customHeight="false" outlineLevel="0" collapsed="false">
      <c r="A1027" s="25"/>
      <c r="B1027" s="25"/>
      <c r="C1027" s="26"/>
      <c r="D1027" s="25"/>
      <c r="E1027" s="25"/>
      <c r="F1027" s="25"/>
      <c r="G1027" s="27"/>
      <c r="H1027" s="25"/>
      <c r="I1027" s="26"/>
      <c r="J1027" s="48" t="str">
        <f aca="false">IF($N1027="","",IF(AND($N1027=Consulta!$C$3,$G1027&lt;&gt;"",$G1027&gt;=Consulta!$C$4,$G1027&lt;=Consulta!$C$5),COUNTIFS($N$6:$N1027,Consulta!$C$3,$G$6:$G1027,"&gt;="&amp;Consulta!$C$4,$G$6:$G1027,"&lt;="&amp;Consulta!$C$5),""))</f>
        <v/>
      </c>
      <c r="K1027" s="48" t="str">
        <f aca="false">IF($C1027="","",IF(AND($C1027=Consulta!$L$3,$G1027&lt;&gt;"",$G1027&gt;=Consulta!$L$4,$G1027&lt;=Consulta!$L$5),COUNTIFS($C$6:$C1027,Consulta!$L$3,$G$6:$G1027,"&gt;="&amp;Consulta!$L$4,$G$6:$G1027,"&lt;="&amp;Consulta!$L$5),""))</f>
        <v/>
      </c>
      <c r="L1027" s="48" t="str">
        <f aca="false">IF($D1027="","",IF($D1027=Consulta!$S$3,COUNTIF($D$6:$D1027,Consulta!$S$3),""))</f>
        <v/>
      </c>
      <c r="M1027" s="48" t="str">
        <f aca="false">IF($N1027="","",IF(AND($N1027='Comprovante DEV'!$D$6,$G1027='Comprovante DEV'!$D$7),COUNTIFS($N$6:$N1027,'Comprovante DEV'!$D$6,$G$6:$G1027,'Comprovante DEV'!$D$7),""))</f>
        <v/>
      </c>
      <c r="N1027" s="48" t="str">
        <f aca="false">IF($F1027="","",IFERROR(VLOOKUP($F1027,Apelidos_Tecnico!$A:$B,2,0),$F1027))</f>
        <v/>
      </c>
    </row>
    <row r="1028" customFormat="false" ht="15" hidden="false" customHeight="false" outlineLevel="0" collapsed="false">
      <c r="A1028" s="25"/>
      <c r="B1028" s="25"/>
      <c r="C1028" s="26"/>
      <c r="D1028" s="25"/>
      <c r="E1028" s="25"/>
      <c r="F1028" s="25"/>
      <c r="G1028" s="27"/>
      <c r="H1028" s="25"/>
      <c r="I1028" s="26"/>
      <c r="J1028" s="48" t="str">
        <f aca="false">IF($N1028="","",IF(AND($N1028=Consulta!$C$3,$G1028&lt;&gt;"",$G1028&gt;=Consulta!$C$4,$G1028&lt;=Consulta!$C$5),COUNTIFS($N$6:$N1028,Consulta!$C$3,$G$6:$G1028,"&gt;="&amp;Consulta!$C$4,$G$6:$G1028,"&lt;="&amp;Consulta!$C$5),""))</f>
        <v/>
      </c>
      <c r="K1028" s="48" t="str">
        <f aca="false">IF($C1028="","",IF(AND($C1028=Consulta!$L$3,$G1028&lt;&gt;"",$G1028&gt;=Consulta!$L$4,$G1028&lt;=Consulta!$L$5),COUNTIFS($C$6:$C1028,Consulta!$L$3,$G$6:$G1028,"&gt;="&amp;Consulta!$L$4,$G$6:$G1028,"&lt;="&amp;Consulta!$L$5),""))</f>
        <v/>
      </c>
      <c r="L1028" s="48" t="str">
        <f aca="false">IF($D1028="","",IF($D1028=Consulta!$S$3,COUNTIF($D$6:$D1028,Consulta!$S$3),""))</f>
        <v/>
      </c>
      <c r="M1028" s="48" t="str">
        <f aca="false">IF($N1028="","",IF(AND($N1028='Comprovante DEV'!$D$6,$G1028='Comprovante DEV'!$D$7),COUNTIFS($N$6:$N1028,'Comprovante DEV'!$D$6,$G$6:$G1028,'Comprovante DEV'!$D$7),""))</f>
        <v/>
      </c>
      <c r="N1028" s="48" t="str">
        <f aca="false">IF($F1028="","",IFERROR(VLOOKUP($F1028,Apelidos_Tecnico!$A:$B,2,0),$F1028))</f>
        <v/>
      </c>
    </row>
    <row r="1029" customFormat="false" ht="15" hidden="false" customHeight="false" outlineLevel="0" collapsed="false">
      <c r="A1029" s="25"/>
      <c r="B1029" s="25"/>
      <c r="C1029" s="26"/>
      <c r="D1029" s="25"/>
      <c r="E1029" s="25"/>
      <c r="F1029" s="25"/>
      <c r="G1029" s="27"/>
      <c r="H1029" s="25"/>
      <c r="I1029" s="26"/>
      <c r="J1029" s="48" t="str">
        <f aca="false">IF($N1029="","",IF(AND($N1029=Consulta!$C$3,$G1029&lt;&gt;"",$G1029&gt;=Consulta!$C$4,$G1029&lt;=Consulta!$C$5),COUNTIFS($N$6:$N1029,Consulta!$C$3,$G$6:$G1029,"&gt;="&amp;Consulta!$C$4,$G$6:$G1029,"&lt;="&amp;Consulta!$C$5),""))</f>
        <v/>
      </c>
      <c r="K1029" s="48" t="str">
        <f aca="false">IF($C1029="","",IF(AND($C1029=Consulta!$L$3,$G1029&lt;&gt;"",$G1029&gt;=Consulta!$L$4,$G1029&lt;=Consulta!$L$5),COUNTIFS($C$6:$C1029,Consulta!$L$3,$G$6:$G1029,"&gt;="&amp;Consulta!$L$4,$G$6:$G1029,"&lt;="&amp;Consulta!$L$5),""))</f>
        <v/>
      </c>
      <c r="L1029" s="48" t="str">
        <f aca="false">IF($D1029="","",IF($D1029=Consulta!$S$3,COUNTIF($D$6:$D1029,Consulta!$S$3),""))</f>
        <v/>
      </c>
      <c r="M1029" s="48" t="str">
        <f aca="false">IF($N1029="","",IF(AND($N1029='Comprovante DEV'!$D$6,$G1029='Comprovante DEV'!$D$7),COUNTIFS($N$6:$N1029,'Comprovante DEV'!$D$6,$G$6:$G1029,'Comprovante DEV'!$D$7),""))</f>
        <v/>
      </c>
      <c r="N1029" s="48" t="str">
        <f aca="false">IF($F1029="","",IFERROR(VLOOKUP($F1029,Apelidos_Tecnico!$A:$B,2,0),$F1029))</f>
        <v/>
      </c>
    </row>
    <row r="1030" customFormat="false" ht="15" hidden="false" customHeight="false" outlineLevel="0" collapsed="false">
      <c r="A1030" s="25"/>
      <c r="B1030" s="25"/>
      <c r="C1030" s="26"/>
      <c r="D1030" s="25"/>
      <c r="E1030" s="25"/>
      <c r="F1030" s="25"/>
      <c r="G1030" s="27"/>
      <c r="H1030" s="25"/>
      <c r="I1030" s="26"/>
      <c r="J1030" s="48" t="str">
        <f aca="false">IF($N1030="","",IF(AND($N1030=Consulta!$C$3,$G1030&lt;&gt;"",$G1030&gt;=Consulta!$C$4,$G1030&lt;=Consulta!$C$5),COUNTIFS($N$6:$N1030,Consulta!$C$3,$G$6:$G1030,"&gt;="&amp;Consulta!$C$4,$G$6:$G1030,"&lt;="&amp;Consulta!$C$5),""))</f>
        <v/>
      </c>
      <c r="K1030" s="48" t="str">
        <f aca="false">IF($C1030="","",IF(AND($C1030=Consulta!$L$3,$G1030&lt;&gt;"",$G1030&gt;=Consulta!$L$4,$G1030&lt;=Consulta!$L$5),COUNTIFS($C$6:$C1030,Consulta!$L$3,$G$6:$G1030,"&gt;="&amp;Consulta!$L$4,$G$6:$G1030,"&lt;="&amp;Consulta!$L$5),""))</f>
        <v/>
      </c>
      <c r="L1030" s="48" t="str">
        <f aca="false">IF($D1030="","",IF($D1030=Consulta!$S$3,COUNTIF($D$6:$D1030,Consulta!$S$3),""))</f>
        <v/>
      </c>
      <c r="M1030" s="48" t="str">
        <f aca="false">IF($N1030="","",IF(AND($N1030='Comprovante DEV'!$D$6,$G1030='Comprovante DEV'!$D$7),COUNTIFS($N$6:$N1030,'Comprovante DEV'!$D$6,$G$6:$G1030,'Comprovante DEV'!$D$7),""))</f>
        <v/>
      </c>
      <c r="N1030" s="48" t="str">
        <f aca="false">IF($F1030="","",IFERROR(VLOOKUP($F1030,Apelidos_Tecnico!$A:$B,2,0),$F1030))</f>
        <v/>
      </c>
    </row>
    <row r="1031" customFormat="false" ht="15" hidden="false" customHeight="false" outlineLevel="0" collapsed="false">
      <c r="A1031" s="25"/>
      <c r="B1031" s="25"/>
      <c r="C1031" s="26"/>
      <c r="D1031" s="25"/>
      <c r="E1031" s="25"/>
      <c r="F1031" s="25"/>
      <c r="G1031" s="27"/>
      <c r="H1031" s="25"/>
      <c r="I1031" s="26"/>
      <c r="J1031" s="48" t="str">
        <f aca="false">IF($N1031="","",IF(AND($N1031=Consulta!$C$3,$G1031&lt;&gt;"",$G1031&gt;=Consulta!$C$4,$G1031&lt;=Consulta!$C$5),COUNTIFS($N$6:$N1031,Consulta!$C$3,$G$6:$G1031,"&gt;="&amp;Consulta!$C$4,$G$6:$G1031,"&lt;="&amp;Consulta!$C$5),""))</f>
        <v/>
      </c>
      <c r="K1031" s="48" t="str">
        <f aca="false">IF($C1031="","",IF(AND($C1031=Consulta!$L$3,$G1031&lt;&gt;"",$G1031&gt;=Consulta!$L$4,$G1031&lt;=Consulta!$L$5),COUNTIFS($C$6:$C1031,Consulta!$L$3,$G$6:$G1031,"&gt;="&amp;Consulta!$L$4,$G$6:$G1031,"&lt;="&amp;Consulta!$L$5),""))</f>
        <v/>
      </c>
      <c r="L1031" s="48" t="str">
        <f aca="false">IF($D1031="","",IF($D1031=Consulta!$S$3,COUNTIF($D$6:$D1031,Consulta!$S$3),""))</f>
        <v/>
      </c>
      <c r="M1031" s="48" t="str">
        <f aca="false">IF($N1031="","",IF(AND($N1031='Comprovante DEV'!$D$6,$G1031='Comprovante DEV'!$D$7),COUNTIFS($N$6:$N1031,'Comprovante DEV'!$D$6,$G$6:$G1031,'Comprovante DEV'!$D$7),""))</f>
        <v/>
      </c>
      <c r="N1031" s="48" t="str">
        <f aca="false">IF($F1031="","",IFERROR(VLOOKUP($F1031,Apelidos_Tecnico!$A:$B,2,0),$F1031))</f>
        <v/>
      </c>
    </row>
    <row r="1032" customFormat="false" ht="15" hidden="false" customHeight="false" outlineLevel="0" collapsed="false">
      <c r="A1032" s="25"/>
      <c r="B1032" s="25"/>
      <c r="C1032" s="26"/>
      <c r="D1032" s="25"/>
      <c r="E1032" s="25"/>
      <c r="F1032" s="25"/>
      <c r="G1032" s="27"/>
      <c r="H1032" s="25"/>
      <c r="I1032" s="26"/>
      <c r="J1032" s="48" t="str">
        <f aca="false">IF($N1032="","",IF(AND($N1032=Consulta!$C$3,$G1032&lt;&gt;"",$G1032&gt;=Consulta!$C$4,$G1032&lt;=Consulta!$C$5),COUNTIFS($N$6:$N1032,Consulta!$C$3,$G$6:$G1032,"&gt;="&amp;Consulta!$C$4,$G$6:$G1032,"&lt;="&amp;Consulta!$C$5),""))</f>
        <v/>
      </c>
      <c r="K1032" s="48" t="str">
        <f aca="false">IF($C1032="","",IF(AND($C1032=Consulta!$L$3,$G1032&lt;&gt;"",$G1032&gt;=Consulta!$L$4,$G1032&lt;=Consulta!$L$5),COUNTIFS($C$6:$C1032,Consulta!$L$3,$G$6:$G1032,"&gt;="&amp;Consulta!$L$4,$G$6:$G1032,"&lt;="&amp;Consulta!$L$5),""))</f>
        <v/>
      </c>
      <c r="L1032" s="48" t="str">
        <f aca="false">IF($D1032="","",IF($D1032=Consulta!$S$3,COUNTIF($D$6:$D1032,Consulta!$S$3),""))</f>
        <v/>
      </c>
      <c r="M1032" s="48" t="str">
        <f aca="false">IF($N1032="","",IF(AND($N1032='Comprovante DEV'!$D$6,$G1032='Comprovante DEV'!$D$7),COUNTIFS($N$6:$N1032,'Comprovante DEV'!$D$6,$G$6:$G1032,'Comprovante DEV'!$D$7),""))</f>
        <v/>
      </c>
      <c r="N1032" s="48" t="str">
        <f aca="false">IF($F1032="","",IFERROR(VLOOKUP($F1032,Apelidos_Tecnico!$A:$B,2,0),$F1032))</f>
        <v/>
      </c>
    </row>
    <row r="1033" customFormat="false" ht="15" hidden="false" customHeight="false" outlineLevel="0" collapsed="false">
      <c r="A1033" s="25"/>
      <c r="B1033" s="25"/>
      <c r="C1033" s="26"/>
      <c r="D1033" s="25"/>
      <c r="E1033" s="25"/>
      <c r="F1033" s="25"/>
      <c r="G1033" s="27"/>
      <c r="H1033" s="25"/>
      <c r="I1033" s="26"/>
      <c r="J1033" s="48" t="str">
        <f aca="false">IF($N1033="","",IF(AND($N1033=Consulta!$C$3,$G1033&lt;&gt;"",$G1033&gt;=Consulta!$C$4,$G1033&lt;=Consulta!$C$5),COUNTIFS($N$6:$N1033,Consulta!$C$3,$G$6:$G1033,"&gt;="&amp;Consulta!$C$4,$G$6:$G1033,"&lt;="&amp;Consulta!$C$5),""))</f>
        <v/>
      </c>
      <c r="K1033" s="48" t="str">
        <f aca="false">IF($C1033="","",IF(AND($C1033=Consulta!$L$3,$G1033&lt;&gt;"",$G1033&gt;=Consulta!$L$4,$G1033&lt;=Consulta!$L$5),COUNTIFS($C$6:$C1033,Consulta!$L$3,$G$6:$G1033,"&gt;="&amp;Consulta!$L$4,$G$6:$G1033,"&lt;="&amp;Consulta!$L$5),""))</f>
        <v/>
      </c>
      <c r="L1033" s="48" t="str">
        <f aca="false">IF($D1033="","",IF($D1033=Consulta!$S$3,COUNTIF($D$6:$D1033,Consulta!$S$3),""))</f>
        <v/>
      </c>
      <c r="M1033" s="48" t="str">
        <f aca="false">IF($N1033="","",IF(AND($N1033='Comprovante DEV'!$D$6,$G1033='Comprovante DEV'!$D$7),COUNTIFS($N$6:$N1033,'Comprovante DEV'!$D$6,$G$6:$G1033,'Comprovante DEV'!$D$7),""))</f>
        <v/>
      </c>
      <c r="N1033" s="48" t="str">
        <f aca="false">IF($F1033="","",IFERROR(VLOOKUP($F1033,Apelidos_Tecnico!$A:$B,2,0),$F1033))</f>
        <v/>
      </c>
    </row>
    <row r="1034" customFormat="false" ht="15" hidden="false" customHeight="false" outlineLevel="0" collapsed="false">
      <c r="A1034" s="25"/>
      <c r="B1034" s="25"/>
      <c r="C1034" s="26"/>
      <c r="D1034" s="25"/>
      <c r="E1034" s="25"/>
      <c r="F1034" s="25"/>
      <c r="G1034" s="27"/>
      <c r="H1034" s="25"/>
      <c r="I1034" s="26"/>
      <c r="J1034" s="48" t="str">
        <f aca="false">IF($N1034="","",IF(AND($N1034=Consulta!$C$3,$G1034&lt;&gt;"",$G1034&gt;=Consulta!$C$4,$G1034&lt;=Consulta!$C$5),COUNTIFS($N$6:$N1034,Consulta!$C$3,$G$6:$G1034,"&gt;="&amp;Consulta!$C$4,$G$6:$G1034,"&lt;="&amp;Consulta!$C$5),""))</f>
        <v/>
      </c>
      <c r="K1034" s="48" t="str">
        <f aca="false">IF($C1034="","",IF(AND($C1034=Consulta!$L$3,$G1034&lt;&gt;"",$G1034&gt;=Consulta!$L$4,$G1034&lt;=Consulta!$L$5),COUNTIFS($C$6:$C1034,Consulta!$L$3,$G$6:$G1034,"&gt;="&amp;Consulta!$L$4,$G$6:$G1034,"&lt;="&amp;Consulta!$L$5),""))</f>
        <v/>
      </c>
      <c r="L1034" s="48" t="str">
        <f aca="false">IF($D1034="","",IF($D1034=Consulta!$S$3,COUNTIF($D$6:$D1034,Consulta!$S$3),""))</f>
        <v/>
      </c>
      <c r="M1034" s="48" t="str">
        <f aca="false">IF($N1034="","",IF(AND($N1034='Comprovante DEV'!$D$6,$G1034='Comprovante DEV'!$D$7),COUNTIFS($N$6:$N1034,'Comprovante DEV'!$D$6,$G$6:$G1034,'Comprovante DEV'!$D$7),""))</f>
        <v/>
      </c>
      <c r="N1034" s="48" t="str">
        <f aca="false">IF($F1034="","",IFERROR(VLOOKUP($F1034,Apelidos_Tecnico!$A:$B,2,0),$F1034))</f>
        <v/>
      </c>
    </row>
    <row r="1035" customFormat="false" ht="15" hidden="false" customHeight="false" outlineLevel="0" collapsed="false">
      <c r="A1035" s="25"/>
      <c r="B1035" s="25"/>
      <c r="C1035" s="26"/>
      <c r="D1035" s="25"/>
      <c r="E1035" s="25"/>
      <c r="F1035" s="25"/>
      <c r="G1035" s="27"/>
      <c r="H1035" s="25"/>
      <c r="I1035" s="26"/>
      <c r="J1035" s="48" t="str">
        <f aca="false">IF($N1035="","",IF(AND($N1035=Consulta!$C$3,$G1035&lt;&gt;"",$G1035&gt;=Consulta!$C$4,$G1035&lt;=Consulta!$C$5),COUNTIFS($N$6:$N1035,Consulta!$C$3,$G$6:$G1035,"&gt;="&amp;Consulta!$C$4,$G$6:$G1035,"&lt;="&amp;Consulta!$C$5),""))</f>
        <v/>
      </c>
      <c r="K1035" s="48" t="str">
        <f aca="false">IF($C1035="","",IF(AND($C1035=Consulta!$L$3,$G1035&lt;&gt;"",$G1035&gt;=Consulta!$L$4,$G1035&lt;=Consulta!$L$5),COUNTIFS($C$6:$C1035,Consulta!$L$3,$G$6:$G1035,"&gt;="&amp;Consulta!$L$4,$G$6:$G1035,"&lt;="&amp;Consulta!$L$5),""))</f>
        <v/>
      </c>
      <c r="L1035" s="48" t="str">
        <f aca="false">IF($D1035="","",IF($D1035=Consulta!$S$3,COUNTIF($D$6:$D1035,Consulta!$S$3),""))</f>
        <v/>
      </c>
      <c r="M1035" s="48" t="str">
        <f aca="false">IF($N1035="","",IF(AND($N1035='Comprovante DEV'!$D$6,$G1035='Comprovante DEV'!$D$7),COUNTIFS($N$6:$N1035,'Comprovante DEV'!$D$6,$G$6:$G1035,'Comprovante DEV'!$D$7),""))</f>
        <v/>
      </c>
      <c r="N1035" s="48" t="str">
        <f aca="false">IF($F1035="","",IFERROR(VLOOKUP($F1035,Apelidos_Tecnico!$A:$B,2,0),$F1035))</f>
        <v/>
      </c>
    </row>
    <row r="1036" customFormat="false" ht="15" hidden="false" customHeight="false" outlineLevel="0" collapsed="false">
      <c r="A1036" s="25"/>
      <c r="B1036" s="25"/>
      <c r="C1036" s="26"/>
      <c r="D1036" s="25"/>
      <c r="E1036" s="25"/>
      <c r="F1036" s="25"/>
      <c r="G1036" s="27"/>
      <c r="H1036" s="25"/>
      <c r="I1036" s="26"/>
      <c r="J1036" s="48" t="str">
        <f aca="false">IF($N1036="","",IF(AND($N1036=Consulta!$C$3,$G1036&lt;&gt;"",$G1036&gt;=Consulta!$C$4,$G1036&lt;=Consulta!$C$5),COUNTIFS($N$6:$N1036,Consulta!$C$3,$G$6:$G1036,"&gt;="&amp;Consulta!$C$4,$G$6:$G1036,"&lt;="&amp;Consulta!$C$5),""))</f>
        <v/>
      </c>
      <c r="K1036" s="48" t="str">
        <f aca="false">IF($C1036="","",IF(AND($C1036=Consulta!$L$3,$G1036&lt;&gt;"",$G1036&gt;=Consulta!$L$4,$G1036&lt;=Consulta!$L$5),COUNTIFS($C$6:$C1036,Consulta!$L$3,$G$6:$G1036,"&gt;="&amp;Consulta!$L$4,$G$6:$G1036,"&lt;="&amp;Consulta!$L$5),""))</f>
        <v/>
      </c>
      <c r="L1036" s="48" t="str">
        <f aca="false">IF($D1036="","",IF($D1036=Consulta!$S$3,COUNTIF($D$6:$D1036,Consulta!$S$3),""))</f>
        <v/>
      </c>
      <c r="M1036" s="48" t="str">
        <f aca="false">IF($N1036="","",IF(AND($N1036='Comprovante DEV'!$D$6,$G1036='Comprovante DEV'!$D$7),COUNTIFS($N$6:$N1036,'Comprovante DEV'!$D$6,$G$6:$G1036,'Comprovante DEV'!$D$7),""))</f>
        <v/>
      </c>
      <c r="N1036" s="48" t="str">
        <f aca="false">IF($F1036="","",IFERROR(VLOOKUP($F1036,Apelidos_Tecnico!$A:$B,2,0),$F1036))</f>
        <v/>
      </c>
    </row>
    <row r="1037" customFormat="false" ht="15" hidden="false" customHeight="false" outlineLevel="0" collapsed="false">
      <c r="A1037" s="25"/>
      <c r="B1037" s="25"/>
      <c r="C1037" s="26"/>
      <c r="D1037" s="25"/>
      <c r="E1037" s="25"/>
      <c r="F1037" s="25"/>
      <c r="G1037" s="27"/>
      <c r="H1037" s="25"/>
      <c r="I1037" s="26"/>
      <c r="J1037" s="48" t="str">
        <f aca="false">IF($N1037="","",IF(AND($N1037=Consulta!$C$3,$G1037&lt;&gt;"",$G1037&gt;=Consulta!$C$4,$G1037&lt;=Consulta!$C$5),COUNTIFS($N$6:$N1037,Consulta!$C$3,$G$6:$G1037,"&gt;="&amp;Consulta!$C$4,$G$6:$G1037,"&lt;="&amp;Consulta!$C$5),""))</f>
        <v/>
      </c>
      <c r="K1037" s="48" t="str">
        <f aca="false">IF($C1037="","",IF(AND($C1037=Consulta!$L$3,$G1037&lt;&gt;"",$G1037&gt;=Consulta!$L$4,$G1037&lt;=Consulta!$L$5),COUNTIFS($C$6:$C1037,Consulta!$L$3,$G$6:$G1037,"&gt;="&amp;Consulta!$L$4,$G$6:$G1037,"&lt;="&amp;Consulta!$L$5),""))</f>
        <v/>
      </c>
      <c r="L1037" s="48" t="str">
        <f aca="false">IF($D1037="","",IF($D1037=Consulta!$S$3,COUNTIF($D$6:$D1037,Consulta!$S$3),""))</f>
        <v/>
      </c>
      <c r="M1037" s="48" t="str">
        <f aca="false">IF($N1037="","",IF(AND($N1037='Comprovante DEV'!$D$6,$G1037='Comprovante DEV'!$D$7),COUNTIFS($N$6:$N1037,'Comprovante DEV'!$D$6,$G$6:$G1037,'Comprovante DEV'!$D$7),""))</f>
        <v/>
      </c>
      <c r="N1037" s="48" t="str">
        <f aca="false">IF($F1037="","",IFERROR(VLOOKUP($F1037,Apelidos_Tecnico!$A:$B,2,0),$F1037))</f>
        <v/>
      </c>
    </row>
    <row r="1038" customFormat="false" ht="15" hidden="false" customHeight="false" outlineLevel="0" collapsed="false">
      <c r="A1038" s="25"/>
      <c r="B1038" s="25"/>
      <c r="C1038" s="26"/>
      <c r="D1038" s="25"/>
      <c r="E1038" s="25"/>
      <c r="F1038" s="25"/>
      <c r="G1038" s="27"/>
      <c r="H1038" s="25"/>
      <c r="I1038" s="26"/>
      <c r="J1038" s="48" t="str">
        <f aca="false">IF($N1038="","",IF(AND($N1038=Consulta!$C$3,$G1038&lt;&gt;"",$G1038&gt;=Consulta!$C$4,$G1038&lt;=Consulta!$C$5),COUNTIFS($N$6:$N1038,Consulta!$C$3,$G$6:$G1038,"&gt;="&amp;Consulta!$C$4,$G$6:$G1038,"&lt;="&amp;Consulta!$C$5),""))</f>
        <v/>
      </c>
      <c r="K1038" s="48" t="str">
        <f aca="false">IF($C1038="","",IF(AND($C1038=Consulta!$L$3,$G1038&lt;&gt;"",$G1038&gt;=Consulta!$L$4,$G1038&lt;=Consulta!$L$5),COUNTIFS($C$6:$C1038,Consulta!$L$3,$G$6:$G1038,"&gt;="&amp;Consulta!$L$4,$G$6:$G1038,"&lt;="&amp;Consulta!$L$5),""))</f>
        <v/>
      </c>
      <c r="L1038" s="48" t="str">
        <f aca="false">IF($D1038="","",IF($D1038=Consulta!$S$3,COUNTIF($D$6:$D1038,Consulta!$S$3),""))</f>
        <v/>
      </c>
      <c r="M1038" s="48" t="str">
        <f aca="false">IF($N1038="","",IF(AND($N1038='Comprovante DEV'!$D$6,$G1038='Comprovante DEV'!$D$7),COUNTIFS($N$6:$N1038,'Comprovante DEV'!$D$6,$G$6:$G1038,'Comprovante DEV'!$D$7),""))</f>
        <v/>
      </c>
      <c r="N1038" s="48" t="str">
        <f aca="false">IF($F1038="","",IFERROR(VLOOKUP($F1038,Apelidos_Tecnico!$A:$B,2,0),$F1038))</f>
        <v/>
      </c>
    </row>
    <row r="1039" customFormat="false" ht="15" hidden="false" customHeight="false" outlineLevel="0" collapsed="false">
      <c r="A1039" s="25"/>
      <c r="B1039" s="25"/>
      <c r="C1039" s="26"/>
      <c r="D1039" s="25"/>
      <c r="E1039" s="25"/>
      <c r="F1039" s="25"/>
      <c r="G1039" s="27"/>
      <c r="H1039" s="25"/>
      <c r="I1039" s="26"/>
      <c r="J1039" s="48" t="str">
        <f aca="false">IF($N1039="","",IF(AND($N1039=Consulta!$C$3,$G1039&lt;&gt;"",$G1039&gt;=Consulta!$C$4,$G1039&lt;=Consulta!$C$5),COUNTIFS($N$6:$N1039,Consulta!$C$3,$G$6:$G1039,"&gt;="&amp;Consulta!$C$4,$G$6:$G1039,"&lt;="&amp;Consulta!$C$5),""))</f>
        <v/>
      </c>
      <c r="K1039" s="48" t="str">
        <f aca="false">IF($C1039="","",IF(AND($C1039=Consulta!$L$3,$G1039&lt;&gt;"",$G1039&gt;=Consulta!$L$4,$G1039&lt;=Consulta!$L$5),COUNTIFS($C$6:$C1039,Consulta!$L$3,$G$6:$G1039,"&gt;="&amp;Consulta!$L$4,$G$6:$G1039,"&lt;="&amp;Consulta!$L$5),""))</f>
        <v/>
      </c>
      <c r="L1039" s="48" t="str">
        <f aca="false">IF($D1039="","",IF($D1039=Consulta!$S$3,COUNTIF($D$6:$D1039,Consulta!$S$3),""))</f>
        <v/>
      </c>
      <c r="M1039" s="48" t="str">
        <f aca="false">IF($N1039="","",IF(AND($N1039='Comprovante DEV'!$D$6,$G1039='Comprovante DEV'!$D$7),COUNTIFS($N$6:$N1039,'Comprovante DEV'!$D$6,$G$6:$G1039,'Comprovante DEV'!$D$7),""))</f>
        <v/>
      </c>
      <c r="N1039" s="48" t="str">
        <f aca="false">IF($F1039="","",IFERROR(VLOOKUP($F1039,Apelidos_Tecnico!$A:$B,2,0),$F1039))</f>
        <v/>
      </c>
    </row>
    <row r="1040" customFormat="false" ht="15" hidden="false" customHeight="false" outlineLevel="0" collapsed="false">
      <c r="A1040" s="25"/>
      <c r="B1040" s="25"/>
      <c r="C1040" s="26"/>
      <c r="D1040" s="25"/>
      <c r="E1040" s="25"/>
      <c r="F1040" s="25"/>
      <c r="G1040" s="27"/>
      <c r="H1040" s="25"/>
      <c r="I1040" s="26"/>
      <c r="J1040" s="48" t="str">
        <f aca="false">IF($N1040="","",IF(AND($N1040=Consulta!$C$3,$G1040&lt;&gt;"",$G1040&gt;=Consulta!$C$4,$G1040&lt;=Consulta!$C$5),COUNTIFS($N$6:$N1040,Consulta!$C$3,$G$6:$G1040,"&gt;="&amp;Consulta!$C$4,$G$6:$G1040,"&lt;="&amp;Consulta!$C$5),""))</f>
        <v/>
      </c>
      <c r="K1040" s="48" t="str">
        <f aca="false">IF($C1040="","",IF(AND($C1040=Consulta!$L$3,$G1040&lt;&gt;"",$G1040&gt;=Consulta!$L$4,$G1040&lt;=Consulta!$L$5),COUNTIFS($C$6:$C1040,Consulta!$L$3,$G$6:$G1040,"&gt;="&amp;Consulta!$L$4,$G$6:$G1040,"&lt;="&amp;Consulta!$L$5),""))</f>
        <v/>
      </c>
      <c r="L1040" s="48" t="str">
        <f aca="false">IF($D1040="","",IF($D1040=Consulta!$S$3,COUNTIF($D$6:$D1040,Consulta!$S$3),""))</f>
        <v/>
      </c>
      <c r="M1040" s="48" t="str">
        <f aca="false">IF($N1040="","",IF(AND($N1040='Comprovante DEV'!$D$6,$G1040='Comprovante DEV'!$D$7),COUNTIFS($N$6:$N1040,'Comprovante DEV'!$D$6,$G$6:$G1040,'Comprovante DEV'!$D$7),""))</f>
        <v/>
      </c>
      <c r="N1040" s="48" t="str">
        <f aca="false">IF($F1040="","",IFERROR(VLOOKUP($F1040,Apelidos_Tecnico!$A:$B,2,0),$F1040))</f>
        <v/>
      </c>
    </row>
    <row r="1041" customFormat="false" ht="15" hidden="false" customHeight="false" outlineLevel="0" collapsed="false">
      <c r="A1041" s="25"/>
      <c r="B1041" s="25"/>
      <c r="C1041" s="26"/>
      <c r="D1041" s="25"/>
      <c r="E1041" s="25"/>
      <c r="F1041" s="25"/>
      <c r="G1041" s="27"/>
      <c r="H1041" s="25"/>
      <c r="I1041" s="26"/>
      <c r="J1041" s="48" t="str">
        <f aca="false">IF($N1041="","",IF(AND($N1041=Consulta!$C$3,$G1041&lt;&gt;"",$G1041&gt;=Consulta!$C$4,$G1041&lt;=Consulta!$C$5),COUNTIFS($N$6:$N1041,Consulta!$C$3,$G$6:$G1041,"&gt;="&amp;Consulta!$C$4,$G$6:$G1041,"&lt;="&amp;Consulta!$C$5),""))</f>
        <v/>
      </c>
      <c r="K1041" s="48" t="str">
        <f aca="false">IF($C1041="","",IF(AND($C1041=Consulta!$L$3,$G1041&lt;&gt;"",$G1041&gt;=Consulta!$L$4,$G1041&lt;=Consulta!$L$5),COUNTIFS($C$6:$C1041,Consulta!$L$3,$G$6:$G1041,"&gt;="&amp;Consulta!$L$4,$G$6:$G1041,"&lt;="&amp;Consulta!$L$5),""))</f>
        <v/>
      </c>
      <c r="L1041" s="48" t="str">
        <f aca="false">IF($D1041="","",IF($D1041=Consulta!$S$3,COUNTIF($D$6:$D1041,Consulta!$S$3),""))</f>
        <v/>
      </c>
      <c r="M1041" s="48" t="str">
        <f aca="false">IF($N1041="","",IF(AND($N1041='Comprovante DEV'!$D$6,$G1041='Comprovante DEV'!$D$7),COUNTIFS($N$6:$N1041,'Comprovante DEV'!$D$6,$G$6:$G1041,'Comprovante DEV'!$D$7),""))</f>
        <v/>
      </c>
      <c r="N1041" s="48" t="str">
        <f aca="false">IF($F1041="","",IFERROR(VLOOKUP($F1041,Apelidos_Tecnico!$A:$B,2,0),$F1041))</f>
        <v/>
      </c>
    </row>
    <row r="1042" customFormat="false" ht="15" hidden="false" customHeight="false" outlineLevel="0" collapsed="false">
      <c r="A1042" s="25"/>
      <c r="B1042" s="25"/>
      <c r="C1042" s="26"/>
      <c r="D1042" s="25"/>
      <c r="E1042" s="25"/>
      <c r="F1042" s="25"/>
      <c r="G1042" s="27"/>
      <c r="H1042" s="25"/>
      <c r="I1042" s="26"/>
      <c r="J1042" s="48" t="str">
        <f aca="false">IF($N1042="","",IF(AND($N1042=Consulta!$C$3,$G1042&lt;&gt;"",$G1042&gt;=Consulta!$C$4,$G1042&lt;=Consulta!$C$5),COUNTIFS($N$6:$N1042,Consulta!$C$3,$G$6:$G1042,"&gt;="&amp;Consulta!$C$4,$G$6:$G1042,"&lt;="&amp;Consulta!$C$5),""))</f>
        <v/>
      </c>
      <c r="K1042" s="48" t="str">
        <f aca="false">IF($C1042="","",IF(AND($C1042=Consulta!$L$3,$G1042&lt;&gt;"",$G1042&gt;=Consulta!$L$4,$G1042&lt;=Consulta!$L$5),COUNTIFS($C$6:$C1042,Consulta!$L$3,$G$6:$G1042,"&gt;="&amp;Consulta!$L$4,$G$6:$G1042,"&lt;="&amp;Consulta!$L$5),""))</f>
        <v/>
      </c>
      <c r="L1042" s="48" t="str">
        <f aca="false">IF($D1042="","",IF($D1042=Consulta!$S$3,COUNTIF($D$6:$D1042,Consulta!$S$3),""))</f>
        <v/>
      </c>
      <c r="M1042" s="48" t="str">
        <f aca="false">IF($N1042="","",IF(AND($N1042='Comprovante DEV'!$D$6,$G1042='Comprovante DEV'!$D$7),COUNTIFS($N$6:$N1042,'Comprovante DEV'!$D$6,$G$6:$G1042,'Comprovante DEV'!$D$7),""))</f>
        <v/>
      </c>
      <c r="N1042" s="48" t="str">
        <f aca="false">IF($F1042="","",IFERROR(VLOOKUP($F1042,Apelidos_Tecnico!$A:$B,2,0),$F1042))</f>
        <v/>
      </c>
    </row>
    <row r="1043" customFormat="false" ht="15" hidden="false" customHeight="false" outlineLevel="0" collapsed="false">
      <c r="A1043" s="25"/>
      <c r="B1043" s="25"/>
      <c r="C1043" s="26"/>
      <c r="D1043" s="25"/>
      <c r="E1043" s="25"/>
      <c r="F1043" s="25"/>
      <c r="G1043" s="27"/>
      <c r="H1043" s="25"/>
      <c r="I1043" s="26"/>
      <c r="J1043" s="48" t="str">
        <f aca="false">IF($N1043="","",IF(AND($N1043=Consulta!$C$3,$G1043&lt;&gt;"",$G1043&gt;=Consulta!$C$4,$G1043&lt;=Consulta!$C$5),COUNTIFS($N$6:$N1043,Consulta!$C$3,$G$6:$G1043,"&gt;="&amp;Consulta!$C$4,$G$6:$G1043,"&lt;="&amp;Consulta!$C$5),""))</f>
        <v/>
      </c>
      <c r="K1043" s="48" t="str">
        <f aca="false">IF($C1043="","",IF(AND($C1043=Consulta!$L$3,$G1043&lt;&gt;"",$G1043&gt;=Consulta!$L$4,$G1043&lt;=Consulta!$L$5),COUNTIFS($C$6:$C1043,Consulta!$L$3,$G$6:$G1043,"&gt;="&amp;Consulta!$L$4,$G$6:$G1043,"&lt;="&amp;Consulta!$L$5),""))</f>
        <v/>
      </c>
      <c r="L1043" s="48" t="str">
        <f aca="false">IF($D1043="","",IF($D1043=Consulta!$S$3,COUNTIF($D$6:$D1043,Consulta!$S$3),""))</f>
        <v/>
      </c>
      <c r="M1043" s="48" t="str">
        <f aca="false">IF($N1043="","",IF(AND($N1043='Comprovante DEV'!$D$6,$G1043='Comprovante DEV'!$D$7),COUNTIFS($N$6:$N1043,'Comprovante DEV'!$D$6,$G$6:$G1043,'Comprovante DEV'!$D$7),""))</f>
        <v/>
      </c>
      <c r="N1043" s="48" t="str">
        <f aca="false">IF($F1043="","",IFERROR(VLOOKUP($F1043,Apelidos_Tecnico!$A:$B,2,0),$F1043))</f>
        <v/>
      </c>
    </row>
    <row r="1044" customFormat="false" ht="15" hidden="false" customHeight="false" outlineLevel="0" collapsed="false">
      <c r="A1044" s="25"/>
      <c r="B1044" s="25"/>
      <c r="C1044" s="26"/>
      <c r="D1044" s="25"/>
      <c r="E1044" s="25"/>
      <c r="F1044" s="25"/>
      <c r="G1044" s="27"/>
      <c r="H1044" s="25"/>
      <c r="I1044" s="26"/>
      <c r="J1044" s="48" t="str">
        <f aca="false">IF($N1044="","",IF(AND($N1044=Consulta!$C$3,$G1044&lt;&gt;"",$G1044&gt;=Consulta!$C$4,$G1044&lt;=Consulta!$C$5),COUNTIFS($N$6:$N1044,Consulta!$C$3,$G$6:$G1044,"&gt;="&amp;Consulta!$C$4,$G$6:$G1044,"&lt;="&amp;Consulta!$C$5),""))</f>
        <v/>
      </c>
      <c r="K1044" s="48" t="str">
        <f aca="false">IF($C1044="","",IF(AND($C1044=Consulta!$L$3,$G1044&lt;&gt;"",$G1044&gt;=Consulta!$L$4,$G1044&lt;=Consulta!$L$5),COUNTIFS($C$6:$C1044,Consulta!$L$3,$G$6:$G1044,"&gt;="&amp;Consulta!$L$4,$G$6:$G1044,"&lt;="&amp;Consulta!$L$5),""))</f>
        <v/>
      </c>
      <c r="L1044" s="48" t="str">
        <f aca="false">IF($D1044="","",IF($D1044=Consulta!$S$3,COUNTIF($D$6:$D1044,Consulta!$S$3),""))</f>
        <v/>
      </c>
      <c r="M1044" s="48" t="str">
        <f aca="false">IF($N1044="","",IF(AND($N1044='Comprovante DEV'!$D$6,$G1044='Comprovante DEV'!$D$7),COUNTIFS($N$6:$N1044,'Comprovante DEV'!$D$6,$G$6:$G1044,'Comprovante DEV'!$D$7),""))</f>
        <v/>
      </c>
      <c r="N1044" s="48" t="str">
        <f aca="false">IF($F1044="","",IFERROR(VLOOKUP($F1044,Apelidos_Tecnico!$A:$B,2,0),$F1044))</f>
        <v/>
      </c>
    </row>
    <row r="1045" customFormat="false" ht="15" hidden="false" customHeight="false" outlineLevel="0" collapsed="false">
      <c r="A1045" s="25"/>
      <c r="B1045" s="25"/>
      <c r="C1045" s="26"/>
      <c r="D1045" s="25"/>
      <c r="E1045" s="25"/>
      <c r="F1045" s="25"/>
      <c r="G1045" s="27"/>
      <c r="H1045" s="25"/>
      <c r="I1045" s="26"/>
      <c r="J1045" s="48" t="str">
        <f aca="false">IF($N1045="","",IF(AND($N1045=Consulta!$C$3,$G1045&lt;&gt;"",$G1045&gt;=Consulta!$C$4,$G1045&lt;=Consulta!$C$5),COUNTIFS($N$6:$N1045,Consulta!$C$3,$G$6:$G1045,"&gt;="&amp;Consulta!$C$4,$G$6:$G1045,"&lt;="&amp;Consulta!$C$5),""))</f>
        <v/>
      </c>
      <c r="K1045" s="48" t="str">
        <f aca="false">IF($C1045="","",IF(AND($C1045=Consulta!$L$3,$G1045&lt;&gt;"",$G1045&gt;=Consulta!$L$4,$G1045&lt;=Consulta!$L$5),COUNTIFS($C$6:$C1045,Consulta!$L$3,$G$6:$G1045,"&gt;="&amp;Consulta!$L$4,$G$6:$G1045,"&lt;="&amp;Consulta!$L$5),""))</f>
        <v/>
      </c>
      <c r="L1045" s="48" t="str">
        <f aca="false">IF($D1045="","",IF($D1045=Consulta!$S$3,COUNTIF($D$6:$D1045,Consulta!$S$3),""))</f>
        <v/>
      </c>
      <c r="M1045" s="48" t="str">
        <f aca="false">IF($N1045="","",IF(AND($N1045='Comprovante DEV'!$D$6,$G1045='Comprovante DEV'!$D$7),COUNTIFS($N$6:$N1045,'Comprovante DEV'!$D$6,$G$6:$G1045,'Comprovante DEV'!$D$7),""))</f>
        <v/>
      </c>
      <c r="N1045" s="48" t="str">
        <f aca="false">IF($F1045="","",IFERROR(VLOOKUP($F1045,Apelidos_Tecnico!$A:$B,2,0),$F1045))</f>
        <v/>
      </c>
    </row>
  </sheetData>
  <autoFilter ref="A5:I1273"/>
  <mergeCells count="2">
    <mergeCell ref="A1:I1"/>
    <mergeCell ref="A2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1484375" defaultRowHeight="15" zeroHeight="false" outlineLevelRow="0" outlineLevelCol="0"/>
  <cols>
    <col collapsed="false" customWidth="true" hidden="false" outlineLevel="0" max="2" min="1" style="0" width="40"/>
  </cols>
  <sheetData>
    <row r="1" customFormat="false" ht="15" hidden="false" customHeight="false" outlineLevel="0" collapsed="false">
      <c r="A1" s="3" t="s">
        <v>282</v>
      </c>
      <c r="B1" s="3" t="s">
        <v>283</v>
      </c>
    </row>
    <row r="2" customFormat="false" ht="15" hidden="false" customHeight="false" outlineLevel="0" collapsed="false">
      <c r="A2" s="56" t="s">
        <v>240</v>
      </c>
      <c r="B2" s="56" t="s">
        <v>24</v>
      </c>
    </row>
    <row r="3" customFormat="false" ht="15" hidden="false" customHeight="false" outlineLevel="0" collapsed="false">
      <c r="A3" s="56" t="s">
        <v>248</v>
      </c>
      <c r="B3" s="56" t="s">
        <v>27</v>
      </c>
    </row>
    <row r="4" customFormat="false" ht="15" hidden="false" customHeight="false" outlineLevel="0" collapsed="false">
      <c r="A4" s="56"/>
      <c r="B4" s="56"/>
    </row>
    <row r="5" customFormat="false" ht="15" hidden="false" customHeight="false" outlineLevel="0" collapsed="false">
      <c r="A5" s="56"/>
      <c r="B5" s="56"/>
    </row>
    <row r="6" customFormat="false" ht="15" hidden="false" customHeight="false" outlineLevel="0" collapsed="false">
      <c r="A6" s="56"/>
      <c r="B6" s="56"/>
    </row>
    <row r="7" customFormat="false" ht="15" hidden="false" customHeight="false" outlineLevel="0" collapsed="false">
      <c r="A7" s="56"/>
      <c r="B7" s="56"/>
    </row>
    <row r="8" customFormat="false" ht="15" hidden="false" customHeight="false" outlineLevel="0" collapsed="false">
      <c r="A8" s="56"/>
      <c r="B8" s="5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2026-07-26T01:31:02Z</dcterms:created>
  <dc:creator>openpyxl</dc:creator>
  <dc:description/>
  <dc:language>en-US</dc:language>
  <cp:lastModifiedBy/>
  <cp:lastPrinted>2026-07-26T01:48:06Z</cp:lastPrinted>
  <dcterms:modified xsi:type="dcterms:W3CDTF">2026-07-27T21:30:12Z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